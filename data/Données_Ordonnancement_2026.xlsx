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acbookpro/Documents/PhD - ULaval/Rendus/Ordonnancement industriel/TPs/TP1/"/>
    </mc:Choice>
  </mc:AlternateContent>
  <xr:revisionPtr revIDLastSave="0" documentId="13_ncr:1_{82F8FE1C-4434-A041-B20F-9D5CC1E4467B}" xr6:coauthVersionLast="37" xr6:coauthVersionMax="47" xr10:uidLastSave="{00000000-0000-0000-0000-000000000000}"/>
  <bookViews>
    <workbookView xWindow="0" yWindow="0" windowWidth="28800" windowHeight="18000" activeTab="4" xr2:uid="{8B6A703F-1550-4C89-970D-D5414EC56F7C}"/>
  </bookViews>
  <sheets>
    <sheet name="Demand" sheetId="4" r:id="rId1"/>
    <sheet name="Family" sheetId="3" r:id="rId2"/>
    <sheet name="Production Plan" sheetId="2" r:id="rId3"/>
    <sheet name="Rotation" sheetId="1" r:id="rId4"/>
    <sheet name="Collecte" sheetId="5" r:id="rId5"/>
  </sheets>
  <definedNames>
    <definedName name="_xlnm._FilterDatabase" localSheetId="4" hidden="1">Collecte!$A$1:$A$1008</definedName>
    <definedName name="_xlnm._FilterDatabase" localSheetId="0" hidden="1">Demand!$A$1:$H$1003</definedName>
    <definedName name="_xlnm._FilterDatabase" localSheetId="1" hidden="1">Family!$A$1:$C$1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04" i="5" l="1"/>
  <c r="H1004" i="5" s="1"/>
  <c r="G1003" i="5"/>
  <c r="H1003" i="5" s="1"/>
  <c r="G1002" i="5"/>
  <c r="H1002" i="5" s="1"/>
  <c r="G1001" i="5"/>
  <c r="H1001" i="5" s="1"/>
  <c r="G1000" i="5"/>
  <c r="H1000" i="5" s="1"/>
  <c r="G999" i="5"/>
  <c r="H999" i="5" s="1"/>
  <c r="G998" i="5"/>
  <c r="H998" i="5" s="1"/>
  <c r="G997" i="5"/>
  <c r="H997" i="5" s="1"/>
  <c r="G996" i="5"/>
  <c r="H996" i="5" s="1"/>
  <c r="G995" i="5"/>
  <c r="H995" i="5" s="1"/>
  <c r="G994" i="5"/>
  <c r="H994" i="5" s="1"/>
  <c r="G993" i="5"/>
  <c r="H993" i="5" s="1"/>
  <c r="G992" i="5"/>
  <c r="H992" i="5" s="1"/>
  <c r="G991" i="5"/>
  <c r="H991" i="5" s="1"/>
  <c r="G990" i="5"/>
  <c r="H990" i="5" s="1"/>
  <c r="G989" i="5"/>
  <c r="H989" i="5" s="1"/>
  <c r="G988" i="5"/>
  <c r="H988" i="5" s="1"/>
  <c r="G987" i="5"/>
  <c r="H987" i="5" s="1"/>
  <c r="G986" i="5"/>
  <c r="H986" i="5" s="1"/>
  <c r="G985" i="5"/>
  <c r="H985" i="5" s="1"/>
  <c r="G984" i="5"/>
  <c r="H984" i="5" s="1"/>
  <c r="G983" i="5"/>
  <c r="H983" i="5" s="1"/>
  <c r="G982" i="5"/>
  <c r="H982" i="5" s="1"/>
  <c r="G981" i="5"/>
  <c r="H981" i="5" s="1"/>
  <c r="G980" i="5"/>
  <c r="H980" i="5" s="1"/>
  <c r="G979" i="5"/>
  <c r="H979" i="5" s="1"/>
  <c r="G978" i="5"/>
  <c r="H978" i="5" s="1"/>
  <c r="G977" i="5"/>
  <c r="H977" i="5" s="1"/>
  <c r="G976" i="5"/>
  <c r="H976" i="5" s="1"/>
  <c r="G975" i="5"/>
  <c r="H975" i="5" s="1"/>
  <c r="G974" i="5"/>
  <c r="H974" i="5" s="1"/>
  <c r="G973" i="5"/>
  <c r="H973" i="5" s="1"/>
  <c r="G972" i="5"/>
  <c r="H972" i="5" s="1"/>
  <c r="G971" i="5"/>
  <c r="H971" i="5" s="1"/>
  <c r="G970" i="5"/>
  <c r="H970" i="5" s="1"/>
  <c r="G969" i="5"/>
  <c r="H969" i="5" s="1"/>
  <c r="G968" i="5"/>
  <c r="H968" i="5" s="1"/>
  <c r="G967" i="5"/>
  <c r="H967" i="5" s="1"/>
  <c r="G966" i="5"/>
  <c r="H966" i="5" s="1"/>
  <c r="G965" i="5"/>
  <c r="H965" i="5" s="1"/>
  <c r="G964" i="5"/>
  <c r="H964" i="5" s="1"/>
  <c r="G963" i="5"/>
  <c r="H963" i="5" s="1"/>
  <c r="G962" i="5"/>
  <c r="H962" i="5" s="1"/>
  <c r="G961" i="5"/>
  <c r="H961" i="5" s="1"/>
  <c r="G960" i="5"/>
  <c r="H960" i="5" s="1"/>
  <c r="G959" i="5"/>
  <c r="H959" i="5" s="1"/>
  <c r="G958" i="5"/>
  <c r="H958" i="5" s="1"/>
  <c r="G957" i="5"/>
  <c r="H957" i="5" s="1"/>
  <c r="G956" i="5"/>
  <c r="H956" i="5" s="1"/>
  <c r="G955" i="5"/>
  <c r="H955" i="5" s="1"/>
  <c r="G954" i="5"/>
  <c r="H954" i="5" s="1"/>
  <c r="G953" i="5"/>
  <c r="H953" i="5" s="1"/>
  <c r="G952" i="5"/>
  <c r="H952" i="5" s="1"/>
  <c r="G951" i="5"/>
  <c r="H951" i="5" s="1"/>
  <c r="G950" i="5"/>
  <c r="H950" i="5" s="1"/>
  <c r="G949" i="5"/>
  <c r="H949" i="5" s="1"/>
  <c r="G948" i="5"/>
  <c r="H948" i="5" s="1"/>
  <c r="G947" i="5"/>
  <c r="H947" i="5" s="1"/>
  <c r="G946" i="5"/>
  <c r="H946" i="5" s="1"/>
  <c r="G945" i="5"/>
  <c r="H945" i="5" s="1"/>
  <c r="G944" i="5"/>
  <c r="H944" i="5" s="1"/>
  <c r="G943" i="5"/>
  <c r="H943" i="5" s="1"/>
  <c r="G942" i="5"/>
  <c r="H942" i="5" s="1"/>
  <c r="G941" i="5"/>
  <c r="H941" i="5" s="1"/>
  <c r="G940" i="5"/>
  <c r="H940" i="5" s="1"/>
  <c r="G939" i="5"/>
  <c r="H939" i="5" s="1"/>
  <c r="G938" i="5"/>
  <c r="H938" i="5" s="1"/>
  <c r="G937" i="5"/>
  <c r="H937" i="5" s="1"/>
  <c r="G936" i="5"/>
  <c r="H936" i="5" s="1"/>
  <c r="G935" i="5"/>
  <c r="H935" i="5" s="1"/>
  <c r="G934" i="5"/>
  <c r="H934" i="5" s="1"/>
  <c r="G933" i="5"/>
  <c r="H933" i="5" s="1"/>
  <c r="G932" i="5"/>
  <c r="H932" i="5" s="1"/>
  <c r="G931" i="5"/>
  <c r="H931" i="5" s="1"/>
  <c r="G930" i="5"/>
  <c r="H930" i="5" s="1"/>
  <c r="G929" i="5"/>
  <c r="H929" i="5" s="1"/>
  <c r="G928" i="5"/>
  <c r="H928" i="5" s="1"/>
  <c r="G927" i="5"/>
  <c r="H927" i="5" s="1"/>
  <c r="G926" i="5"/>
  <c r="H926" i="5" s="1"/>
  <c r="G925" i="5"/>
  <c r="H925" i="5" s="1"/>
  <c r="G924" i="5"/>
  <c r="H924" i="5" s="1"/>
  <c r="G923" i="5"/>
  <c r="H923" i="5" s="1"/>
  <c r="G922" i="5"/>
  <c r="H922" i="5" s="1"/>
  <c r="G921" i="5"/>
  <c r="H921" i="5" s="1"/>
  <c r="G920" i="5"/>
  <c r="H920" i="5" s="1"/>
  <c r="G919" i="5"/>
  <c r="H919" i="5" s="1"/>
  <c r="G918" i="5"/>
  <c r="H918" i="5" s="1"/>
  <c r="G917" i="5"/>
  <c r="H917" i="5" s="1"/>
  <c r="G916" i="5"/>
  <c r="H916" i="5" s="1"/>
  <c r="G915" i="5"/>
  <c r="H915" i="5" s="1"/>
  <c r="G914" i="5"/>
  <c r="H914" i="5" s="1"/>
  <c r="G913" i="5"/>
  <c r="H913" i="5" s="1"/>
  <c r="G912" i="5"/>
  <c r="H912" i="5" s="1"/>
  <c r="G911" i="5"/>
  <c r="H911" i="5" s="1"/>
  <c r="G910" i="5"/>
  <c r="H910" i="5" s="1"/>
  <c r="G909" i="5"/>
  <c r="H909" i="5" s="1"/>
  <c r="G908" i="5"/>
  <c r="H908" i="5" s="1"/>
  <c r="G907" i="5"/>
  <c r="H907" i="5" s="1"/>
  <c r="G906" i="5"/>
  <c r="H906" i="5" s="1"/>
  <c r="G905" i="5"/>
  <c r="H905" i="5" s="1"/>
  <c r="G904" i="5"/>
  <c r="H904" i="5" s="1"/>
  <c r="G903" i="5"/>
  <c r="H903" i="5" s="1"/>
  <c r="G902" i="5"/>
  <c r="H902" i="5" s="1"/>
  <c r="G901" i="5"/>
  <c r="H901" i="5" s="1"/>
  <c r="G900" i="5"/>
  <c r="H900" i="5" s="1"/>
  <c r="G899" i="5"/>
  <c r="H899" i="5" s="1"/>
  <c r="G898" i="5"/>
  <c r="H898" i="5" s="1"/>
  <c r="G897" i="5"/>
  <c r="H897" i="5" s="1"/>
  <c r="G896" i="5"/>
  <c r="H896" i="5" s="1"/>
  <c r="G895" i="5"/>
  <c r="H895" i="5" s="1"/>
  <c r="G894" i="5"/>
  <c r="H894" i="5" s="1"/>
  <c r="G893" i="5"/>
  <c r="H893" i="5" s="1"/>
  <c r="G892" i="5"/>
  <c r="H892" i="5" s="1"/>
  <c r="G891" i="5"/>
  <c r="H891" i="5" s="1"/>
  <c r="G890" i="5"/>
  <c r="H890" i="5" s="1"/>
  <c r="G889" i="5"/>
  <c r="H889" i="5" s="1"/>
  <c r="G888" i="5"/>
  <c r="H888" i="5" s="1"/>
  <c r="G887" i="5"/>
  <c r="H887" i="5" s="1"/>
  <c r="G886" i="5"/>
  <c r="H886" i="5" s="1"/>
  <c r="G885" i="5"/>
  <c r="H885" i="5" s="1"/>
  <c r="G884" i="5"/>
  <c r="H884" i="5" s="1"/>
  <c r="G883" i="5"/>
  <c r="H883" i="5" s="1"/>
  <c r="G882" i="5"/>
  <c r="H882" i="5" s="1"/>
  <c r="G881" i="5"/>
  <c r="H881" i="5" s="1"/>
  <c r="G880" i="5"/>
  <c r="H880" i="5" s="1"/>
  <c r="G879" i="5"/>
  <c r="H879" i="5" s="1"/>
  <c r="G878" i="5"/>
  <c r="H878" i="5" s="1"/>
  <c r="G877" i="5"/>
  <c r="H877" i="5" s="1"/>
  <c r="G876" i="5"/>
  <c r="H876" i="5" s="1"/>
  <c r="G875" i="5"/>
  <c r="H875" i="5" s="1"/>
  <c r="G874" i="5"/>
  <c r="H874" i="5" s="1"/>
  <c r="G873" i="5"/>
  <c r="H873" i="5" s="1"/>
  <c r="G872" i="5"/>
  <c r="H872" i="5" s="1"/>
  <c r="G871" i="5"/>
  <c r="H871" i="5" s="1"/>
  <c r="G870" i="5"/>
  <c r="H870" i="5" s="1"/>
  <c r="G869" i="5"/>
  <c r="H869" i="5" s="1"/>
  <c r="G868" i="5"/>
  <c r="H868" i="5" s="1"/>
  <c r="G867" i="5"/>
  <c r="H867" i="5" s="1"/>
  <c r="G866" i="5"/>
  <c r="H866" i="5" s="1"/>
  <c r="G865" i="5"/>
  <c r="H865" i="5" s="1"/>
  <c r="G864" i="5"/>
  <c r="H864" i="5" s="1"/>
  <c r="G863" i="5"/>
  <c r="H863" i="5" s="1"/>
  <c r="G862" i="5"/>
  <c r="H862" i="5" s="1"/>
  <c r="G861" i="5"/>
  <c r="H861" i="5" s="1"/>
  <c r="G860" i="5"/>
  <c r="H860" i="5" s="1"/>
  <c r="G859" i="5"/>
  <c r="H859" i="5" s="1"/>
  <c r="G858" i="5"/>
  <c r="H858" i="5" s="1"/>
  <c r="G857" i="5"/>
  <c r="H857" i="5" s="1"/>
  <c r="G856" i="5"/>
  <c r="H856" i="5" s="1"/>
  <c r="G855" i="5"/>
  <c r="H855" i="5" s="1"/>
  <c r="G854" i="5"/>
  <c r="H854" i="5" s="1"/>
  <c r="G853" i="5"/>
  <c r="H853" i="5" s="1"/>
  <c r="G852" i="5"/>
  <c r="H852" i="5" s="1"/>
  <c r="G851" i="5"/>
  <c r="H851" i="5" s="1"/>
  <c r="G850" i="5"/>
  <c r="H850" i="5" s="1"/>
  <c r="G849" i="5"/>
  <c r="H849" i="5" s="1"/>
  <c r="G848" i="5"/>
  <c r="H848" i="5" s="1"/>
  <c r="G847" i="5"/>
  <c r="H847" i="5" s="1"/>
  <c r="G846" i="5"/>
  <c r="H846" i="5" s="1"/>
  <c r="G845" i="5"/>
  <c r="H845" i="5" s="1"/>
  <c r="G844" i="5"/>
  <c r="H844" i="5" s="1"/>
  <c r="G843" i="5"/>
  <c r="H843" i="5" s="1"/>
  <c r="G842" i="5"/>
  <c r="H842" i="5" s="1"/>
  <c r="G841" i="5"/>
  <c r="H841" i="5" s="1"/>
  <c r="G840" i="5"/>
  <c r="H840" i="5" s="1"/>
  <c r="G839" i="5"/>
  <c r="H839" i="5" s="1"/>
  <c r="G838" i="5"/>
  <c r="H838" i="5" s="1"/>
  <c r="G837" i="5"/>
  <c r="H837" i="5" s="1"/>
  <c r="G836" i="5"/>
  <c r="H836" i="5" s="1"/>
  <c r="G835" i="5"/>
  <c r="H835" i="5" s="1"/>
  <c r="G834" i="5"/>
  <c r="H834" i="5" s="1"/>
  <c r="G833" i="5"/>
  <c r="H833" i="5" s="1"/>
  <c r="G832" i="5"/>
  <c r="H832" i="5" s="1"/>
  <c r="G831" i="5"/>
  <c r="H831" i="5" s="1"/>
  <c r="G830" i="5"/>
  <c r="H830" i="5" s="1"/>
  <c r="G829" i="5"/>
  <c r="H829" i="5" s="1"/>
  <c r="G828" i="5"/>
  <c r="H828" i="5" s="1"/>
  <c r="G827" i="5"/>
  <c r="H827" i="5" s="1"/>
  <c r="G826" i="5"/>
  <c r="H826" i="5" s="1"/>
  <c r="G825" i="5"/>
  <c r="H825" i="5" s="1"/>
  <c r="G824" i="5"/>
  <c r="H824" i="5" s="1"/>
  <c r="G823" i="5"/>
  <c r="H823" i="5" s="1"/>
  <c r="G822" i="5"/>
  <c r="H822" i="5" s="1"/>
  <c r="G821" i="5"/>
  <c r="H821" i="5" s="1"/>
  <c r="G820" i="5"/>
  <c r="H820" i="5" s="1"/>
  <c r="G819" i="5"/>
  <c r="H819" i="5" s="1"/>
  <c r="G818" i="5"/>
  <c r="H818" i="5" s="1"/>
  <c r="G817" i="5"/>
  <c r="H817" i="5" s="1"/>
  <c r="G816" i="5"/>
  <c r="H816" i="5" s="1"/>
  <c r="G815" i="5"/>
  <c r="H815" i="5" s="1"/>
  <c r="G814" i="5"/>
  <c r="H814" i="5" s="1"/>
  <c r="G813" i="5"/>
  <c r="H813" i="5" s="1"/>
  <c r="G812" i="5"/>
  <c r="H812" i="5" s="1"/>
  <c r="G811" i="5"/>
  <c r="H811" i="5" s="1"/>
  <c r="G810" i="5"/>
  <c r="H810" i="5" s="1"/>
  <c r="G809" i="5"/>
  <c r="H809" i="5" s="1"/>
  <c r="G808" i="5"/>
  <c r="H808" i="5" s="1"/>
  <c r="G807" i="5"/>
  <c r="H807" i="5" s="1"/>
  <c r="G806" i="5"/>
  <c r="H806" i="5" s="1"/>
  <c r="G805" i="5"/>
  <c r="H805" i="5" s="1"/>
  <c r="G804" i="5"/>
  <c r="H804" i="5" s="1"/>
  <c r="G803" i="5"/>
  <c r="H803" i="5" s="1"/>
  <c r="G802" i="5"/>
  <c r="H802" i="5" s="1"/>
  <c r="G801" i="5"/>
  <c r="H801" i="5" s="1"/>
  <c r="G800" i="5"/>
  <c r="H800" i="5" s="1"/>
  <c r="G799" i="5"/>
  <c r="H799" i="5" s="1"/>
  <c r="G798" i="5"/>
  <c r="H798" i="5" s="1"/>
  <c r="G797" i="5"/>
  <c r="H797" i="5" s="1"/>
  <c r="G796" i="5"/>
  <c r="H796" i="5" s="1"/>
  <c r="G795" i="5"/>
  <c r="H795" i="5" s="1"/>
  <c r="G794" i="5"/>
  <c r="H794" i="5" s="1"/>
  <c r="G793" i="5"/>
  <c r="H793" i="5" s="1"/>
  <c r="G792" i="5"/>
  <c r="H792" i="5" s="1"/>
  <c r="G791" i="5"/>
  <c r="H791" i="5" s="1"/>
  <c r="G790" i="5"/>
  <c r="H790" i="5" s="1"/>
  <c r="G789" i="5"/>
  <c r="H789" i="5" s="1"/>
  <c r="G788" i="5"/>
  <c r="H788" i="5" s="1"/>
  <c r="G787" i="5"/>
  <c r="H787" i="5" s="1"/>
  <c r="G786" i="5"/>
  <c r="H786" i="5" s="1"/>
  <c r="G785" i="5"/>
  <c r="H785" i="5" s="1"/>
  <c r="G784" i="5"/>
  <c r="H784" i="5" s="1"/>
  <c r="G783" i="5"/>
  <c r="H783" i="5" s="1"/>
  <c r="G782" i="5"/>
  <c r="H782" i="5" s="1"/>
  <c r="G781" i="5"/>
  <c r="H781" i="5" s="1"/>
  <c r="G780" i="5"/>
  <c r="H780" i="5" s="1"/>
  <c r="G779" i="5"/>
  <c r="H779" i="5" s="1"/>
  <c r="G778" i="5"/>
  <c r="H778" i="5" s="1"/>
  <c r="G777" i="5"/>
  <c r="H777" i="5" s="1"/>
  <c r="G776" i="5"/>
  <c r="H776" i="5" s="1"/>
  <c r="G775" i="5"/>
  <c r="H775" i="5" s="1"/>
  <c r="G774" i="5"/>
  <c r="H774" i="5" s="1"/>
  <c r="G773" i="5"/>
  <c r="H773" i="5" s="1"/>
  <c r="G772" i="5"/>
  <c r="H772" i="5" s="1"/>
  <c r="G771" i="5"/>
  <c r="H771" i="5" s="1"/>
  <c r="G770" i="5"/>
  <c r="H770" i="5" s="1"/>
  <c r="G769" i="5"/>
  <c r="H769" i="5" s="1"/>
  <c r="G768" i="5"/>
  <c r="H768" i="5" s="1"/>
  <c r="G767" i="5"/>
  <c r="H767" i="5" s="1"/>
  <c r="G766" i="5"/>
  <c r="H766" i="5" s="1"/>
  <c r="G765" i="5"/>
  <c r="H765" i="5" s="1"/>
  <c r="G764" i="5"/>
  <c r="H764" i="5" s="1"/>
  <c r="G763" i="5"/>
  <c r="H763" i="5" s="1"/>
  <c r="G762" i="5"/>
  <c r="H762" i="5" s="1"/>
  <c r="G761" i="5"/>
  <c r="H761" i="5" s="1"/>
  <c r="G760" i="5"/>
  <c r="H760" i="5" s="1"/>
  <c r="G759" i="5"/>
  <c r="H759" i="5" s="1"/>
  <c r="G758" i="5"/>
  <c r="H758" i="5" s="1"/>
  <c r="G757" i="5"/>
  <c r="H757" i="5" s="1"/>
  <c r="G756" i="5"/>
  <c r="H756" i="5" s="1"/>
  <c r="G755" i="5"/>
  <c r="H755" i="5" s="1"/>
  <c r="G754" i="5"/>
  <c r="H754" i="5" s="1"/>
  <c r="G753" i="5"/>
  <c r="H753" i="5" s="1"/>
  <c r="G752" i="5"/>
  <c r="H752" i="5" s="1"/>
  <c r="G751" i="5"/>
  <c r="H751" i="5" s="1"/>
  <c r="G750" i="5"/>
  <c r="H750" i="5" s="1"/>
  <c r="G749" i="5"/>
  <c r="H749" i="5" s="1"/>
  <c r="G748" i="5"/>
  <c r="H748" i="5" s="1"/>
  <c r="G747" i="5"/>
  <c r="H747" i="5" s="1"/>
  <c r="G746" i="5"/>
  <c r="H746" i="5" s="1"/>
  <c r="G745" i="5"/>
  <c r="H745" i="5" s="1"/>
  <c r="G744" i="5"/>
  <c r="H744" i="5" s="1"/>
  <c r="G743" i="5"/>
  <c r="H743" i="5" s="1"/>
  <c r="G742" i="5"/>
  <c r="H742" i="5" s="1"/>
  <c r="G741" i="5"/>
  <c r="H741" i="5" s="1"/>
  <c r="G740" i="5"/>
  <c r="H740" i="5" s="1"/>
  <c r="G739" i="5"/>
  <c r="H739" i="5" s="1"/>
  <c r="G738" i="5"/>
  <c r="H738" i="5" s="1"/>
  <c r="G737" i="5"/>
  <c r="H737" i="5" s="1"/>
  <c r="G736" i="5"/>
  <c r="H736" i="5" s="1"/>
  <c r="G735" i="5"/>
  <c r="H735" i="5" s="1"/>
  <c r="G734" i="5"/>
  <c r="H734" i="5" s="1"/>
  <c r="G733" i="5"/>
  <c r="H733" i="5" s="1"/>
  <c r="G732" i="5"/>
  <c r="H732" i="5" s="1"/>
  <c r="G731" i="5"/>
  <c r="H731" i="5" s="1"/>
  <c r="G730" i="5"/>
  <c r="H730" i="5" s="1"/>
  <c r="G729" i="5"/>
  <c r="H729" i="5" s="1"/>
  <c r="G728" i="5"/>
  <c r="H728" i="5" s="1"/>
  <c r="G727" i="5"/>
  <c r="H727" i="5" s="1"/>
  <c r="G726" i="5"/>
  <c r="H726" i="5" s="1"/>
  <c r="G725" i="5"/>
  <c r="H725" i="5" s="1"/>
  <c r="G724" i="5"/>
  <c r="H724" i="5" s="1"/>
  <c r="G723" i="5"/>
  <c r="H723" i="5" s="1"/>
  <c r="G722" i="5"/>
  <c r="H722" i="5" s="1"/>
  <c r="G721" i="5"/>
  <c r="H721" i="5" s="1"/>
  <c r="G720" i="5"/>
  <c r="H720" i="5" s="1"/>
  <c r="G719" i="5"/>
  <c r="H719" i="5" s="1"/>
  <c r="G718" i="5"/>
  <c r="H718" i="5" s="1"/>
  <c r="G717" i="5"/>
  <c r="H717" i="5" s="1"/>
  <c r="G716" i="5"/>
  <c r="H716" i="5" s="1"/>
  <c r="G715" i="5"/>
  <c r="H715" i="5" s="1"/>
  <c r="G714" i="5"/>
  <c r="H714" i="5" s="1"/>
  <c r="G713" i="5"/>
  <c r="H713" i="5" s="1"/>
  <c r="G712" i="5"/>
  <c r="H712" i="5" s="1"/>
  <c r="G711" i="5"/>
  <c r="H711" i="5" s="1"/>
  <c r="G710" i="5"/>
  <c r="H710" i="5" s="1"/>
  <c r="G709" i="5"/>
  <c r="H709" i="5" s="1"/>
  <c r="G708" i="5"/>
  <c r="H708" i="5" s="1"/>
  <c r="G707" i="5"/>
  <c r="H707" i="5" s="1"/>
  <c r="G706" i="5"/>
  <c r="H706" i="5" s="1"/>
  <c r="G705" i="5"/>
  <c r="H705" i="5" s="1"/>
  <c r="G704" i="5"/>
  <c r="H704" i="5" s="1"/>
  <c r="G703" i="5"/>
  <c r="H703" i="5" s="1"/>
  <c r="G702" i="5"/>
  <c r="H702" i="5" s="1"/>
  <c r="G701" i="5"/>
  <c r="H701" i="5" s="1"/>
  <c r="G700" i="5"/>
  <c r="H700" i="5" s="1"/>
  <c r="G699" i="5"/>
  <c r="H699" i="5" s="1"/>
  <c r="G698" i="5"/>
  <c r="H698" i="5" s="1"/>
  <c r="G697" i="5"/>
  <c r="H697" i="5" s="1"/>
  <c r="G696" i="5"/>
  <c r="H696" i="5" s="1"/>
  <c r="G695" i="5"/>
  <c r="H695" i="5" s="1"/>
  <c r="G694" i="5"/>
  <c r="H694" i="5" s="1"/>
  <c r="G693" i="5"/>
  <c r="H693" i="5" s="1"/>
  <c r="G692" i="5"/>
  <c r="H692" i="5" s="1"/>
  <c r="G691" i="5"/>
  <c r="H691" i="5" s="1"/>
  <c r="G690" i="5"/>
  <c r="H690" i="5" s="1"/>
  <c r="G689" i="5"/>
  <c r="H689" i="5" s="1"/>
  <c r="G688" i="5"/>
  <c r="H688" i="5" s="1"/>
  <c r="G687" i="5"/>
  <c r="H687" i="5" s="1"/>
  <c r="G686" i="5"/>
  <c r="H686" i="5" s="1"/>
  <c r="G685" i="5"/>
  <c r="H685" i="5" s="1"/>
  <c r="G684" i="5"/>
  <c r="H684" i="5" s="1"/>
  <c r="G683" i="5"/>
  <c r="H683" i="5" s="1"/>
  <c r="G682" i="5"/>
  <c r="H682" i="5" s="1"/>
  <c r="G681" i="5"/>
  <c r="H681" i="5" s="1"/>
  <c r="G680" i="5"/>
  <c r="H680" i="5" s="1"/>
  <c r="G679" i="5"/>
  <c r="H679" i="5" s="1"/>
  <c r="G678" i="5"/>
  <c r="H678" i="5" s="1"/>
  <c r="G677" i="5"/>
  <c r="H677" i="5" s="1"/>
  <c r="G676" i="5"/>
  <c r="H676" i="5" s="1"/>
  <c r="G675" i="5"/>
  <c r="H675" i="5" s="1"/>
  <c r="G674" i="5"/>
  <c r="H674" i="5" s="1"/>
  <c r="G673" i="5"/>
  <c r="H673" i="5" s="1"/>
  <c r="G672" i="5"/>
  <c r="H672" i="5" s="1"/>
  <c r="G671" i="5"/>
  <c r="H671" i="5" s="1"/>
  <c r="G670" i="5"/>
  <c r="H670" i="5" s="1"/>
  <c r="G669" i="5"/>
  <c r="H669" i="5" s="1"/>
  <c r="G668" i="5"/>
  <c r="H668" i="5" s="1"/>
  <c r="G667" i="5"/>
  <c r="H667" i="5" s="1"/>
  <c r="G666" i="5"/>
  <c r="H666" i="5" s="1"/>
  <c r="G665" i="5"/>
  <c r="H665" i="5" s="1"/>
  <c r="G664" i="5"/>
  <c r="H664" i="5" s="1"/>
  <c r="G663" i="5"/>
  <c r="H663" i="5" s="1"/>
  <c r="G662" i="5"/>
  <c r="H662" i="5" s="1"/>
  <c r="G661" i="5"/>
  <c r="H661" i="5" s="1"/>
  <c r="G660" i="5"/>
  <c r="H660" i="5" s="1"/>
  <c r="G659" i="5"/>
  <c r="H659" i="5" s="1"/>
  <c r="G658" i="5"/>
  <c r="H658" i="5" s="1"/>
  <c r="G657" i="5"/>
  <c r="H657" i="5" s="1"/>
  <c r="G656" i="5"/>
  <c r="H656" i="5" s="1"/>
  <c r="G655" i="5"/>
  <c r="H655" i="5" s="1"/>
  <c r="G654" i="5"/>
  <c r="H654" i="5" s="1"/>
  <c r="G653" i="5"/>
  <c r="H653" i="5" s="1"/>
  <c r="G652" i="5"/>
  <c r="H652" i="5" s="1"/>
  <c r="G651" i="5"/>
  <c r="H651" i="5" s="1"/>
  <c r="G650" i="5"/>
  <c r="H650" i="5" s="1"/>
  <c r="G649" i="5"/>
  <c r="H649" i="5" s="1"/>
  <c r="G648" i="5"/>
  <c r="H648" i="5" s="1"/>
  <c r="G647" i="5"/>
  <c r="H647" i="5" s="1"/>
  <c r="G646" i="5"/>
  <c r="H646" i="5" s="1"/>
  <c r="G645" i="5"/>
  <c r="H645" i="5" s="1"/>
  <c r="G644" i="5"/>
  <c r="H644" i="5" s="1"/>
  <c r="G643" i="5"/>
  <c r="H643" i="5" s="1"/>
  <c r="G642" i="5"/>
  <c r="H642" i="5" s="1"/>
  <c r="G641" i="5"/>
  <c r="H641" i="5" s="1"/>
  <c r="G640" i="5"/>
  <c r="H640" i="5" s="1"/>
  <c r="G639" i="5"/>
  <c r="H639" i="5" s="1"/>
  <c r="G638" i="5"/>
  <c r="H638" i="5" s="1"/>
  <c r="G637" i="5"/>
  <c r="H637" i="5" s="1"/>
  <c r="G636" i="5"/>
  <c r="H636" i="5" s="1"/>
  <c r="G635" i="5"/>
  <c r="H635" i="5" s="1"/>
  <c r="G634" i="5"/>
  <c r="H634" i="5" s="1"/>
  <c r="G633" i="5"/>
  <c r="H633" i="5" s="1"/>
  <c r="G632" i="5"/>
  <c r="H632" i="5" s="1"/>
  <c r="G631" i="5"/>
  <c r="H631" i="5" s="1"/>
  <c r="G630" i="5"/>
  <c r="H630" i="5" s="1"/>
  <c r="G629" i="5"/>
  <c r="H629" i="5" s="1"/>
  <c r="G628" i="5"/>
  <c r="H628" i="5" s="1"/>
  <c r="G627" i="5"/>
  <c r="H627" i="5" s="1"/>
  <c r="G626" i="5"/>
  <c r="H626" i="5" s="1"/>
  <c r="G625" i="5"/>
  <c r="H625" i="5" s="1"/>
  <c r="G624" i="5"/>
  <c r="H624" i="5" s="1"/>
  <c r="G623" i="5"/>
  <c r="H623" i="5" s="1"/>
  <c r="G622" i="5"/>
  <c r="H622" i="5" s="1"/>
  <c r="G621" i="5"/>
  <c r="H621" i="5" s="1"/>
  <c r="G620" i="5"/>
  <c r="H620" i="5" s="1"/>
  <c r="G619" i="5"/>
  <c r="H619" i="5" s="1"/>
  <c r="G618" i="5"/>
  <c r="H618" i="5" s="1"/>
  <c r="G617" i="5"/>
  <c r="H617" i="5" s="1"/>
  <c r="G616" i="5"/>
  <c r="H616" i="5" s="1"/>
  <c r="G615" i="5"/>
  <c r="H615" i="5" s="1"/>
  <c r="G614" i="5"/>
  <c r="H614" i="5" s="1"/>
  <c r="G613" i="5"/>
  <c r="H613" i="5" s="1"/>
  <c r="G612" i="5"/>
  <c r="H612" i="5" s="1"/>
  <c r="G611" i="5"/>
  <c r="H611" i="5" s="1"/>
  <c r="G610" i="5"/>
  <c r="H610" i="5" s="1"/>
  <c r="G609" i="5"/>
  <c r="H609" i="5" s="1"/>
  <c r="G608" i="5"/>
  <c r="H608" i="5" s="1"/>
  <c r="G607" i="5"/>
  <c r="H607" i="5" s="1"/>
  <c r="G606" i="5"/>
  <c r="H606" i="5" s="1"/>
  <c r="G605" i="5"/>
  <c r="H605" i="5" s="1"/>
  <c r="G604" i="5"/>
  <c r="H604" i="5" s="1"/>
  <c r="G603" i="5"/>
  <c r="H603" i="5" s="1"/>
  <c r="G602" i="5"/>
  <c r="H602" i="5" s="1"/>
  <c r="G601" i="5"/>
  <c r="H601" i="5" s="1"/>
  <c r="G600" i="5"/>
  <c r="H600" i="5" s="1"/>
  <c r="G599" i="5"/>
  <c r="H599" i="5" s="1"/>
  <c r="G598" i="5"/>
  <c r="H598" i="5" s="1"/>
  <c r="G597" i="5"/>
  <c r="H597" i="5" s="1"/>
  <c r="G596" i="5"/>
  <c r="H596" i="5" s="1"/>
  <c r="G595" i="5"/>
  <c r="H595" i="5" s="1"/>
  <c r="G594" i="5"/>
  <c r="H594" i="5" s="1"/>
  <c r="G593" i="5"/>
  <c r="H593" i="5" s="1"/>
  <c r="G592" i="5"/>
  <c r="H592" i="5" s="1"/>
  <c r="G591" i="5"/>
  <c r="H591" i="5" s="1"/>
  <c r="G590" i="5"/>
  <c r="H590" i="5" s="1"/>
  <c r="G589" i="5"/>
  <c r="H589" i="5" s="1"/>
  <c r="G588" i="5"/>
  <c r="H588" i="5" s="1"/>
  <c r="G587" i="5"/>
  <c r="H587" i="5" s="1"/>
  <c r="G586" i="5"/>
  <c r="H586" i="5" s="1"/>
  <c r="G585" i="5"/>
  <c r="H585" i="5" s="1"/>
  <c r="G584" i="5"/>
  <c r="H584" i="5" s="1"/>
  <c r="G583" i="5"/>
  <c r="H583" i="5" s="1"/>
  <c r="G582" i="5"/>
  <c r="H582" i="5" s="1"/>
  <c r="G581" i="5"/>
  <c r="H581" i="5" s="1"/>
  <c r="G580" i="5"/>
  <c r="H580" i="5" s="1"/>
  <c r="G579" i="5"/>
  <c r="H579" i="5" s="1"/>
  <c r="G578" i="5"/>
  <c r="H578" i="5" s="1"/>
  <c r="G577" i="5"/>
  <c r="H577" i="5" s="1"/>
  <c r="G576" i="5"/>
  <c r="H576" i="5" s="1"/>
  <c r="G575" i="5"/>
  <c r="H575" i="5" s="1"/>
  <c r="G574" i="5"/>
  <c r="H574" i="5" s="1"/>
  <c r="G573" i="5"/>
  <c r="H573" i="5" s="1"/>
  <c r="G572" i="5"/>
  <c r="H572" i="5" s="1"/>
  <c r="G571" i="5"/>
  <c r="H571" i="5" s="1"/>
  <c r="G570" i="5"/>
  <c r="H570" i="5" s="1"/>
  <c r="G569" i="5"/>
  <c r="H569" i="5" s="1"/>
  <c r="G568" i="5"/>
  <c r="H568" i="5" s="1"/>
  <c r="G567" i="5"/>
  <c r="H567" i="5" s="1"/>
  <c r="G566" i="5"/>
  <c r="H566" i="5" s="1"/>
  <c r="G565" i="5"/>
  <c r="H565" i="5" s="1"/>
  <c r="G564" i="5"/>
  <c r="H564" i="5" s="1"/>
  <c r="G563" i="5"/>
  <c r="H563" i="5" s="1"/>
  <c r="G562" i="5"/>
  <c r="H562" i="5" s="1"/>
  <c r="G561" i="5"/>
  <c r="H561" i="5" s="1"/>
  <c r="G560" i="5"/>
  <c r="H560" i="5" s="1"/>
  <c r="G559" i="5"/>
  <c r="H559" i="5" s="1"/>
  <c r="G558" i="5"/>
  <c r="H558" i="5" s="1"/>
  <c r="G557" i="5"/>
  <c r="H557" i="5" s="1"/>
  <c r="G556" i="5"/>
  <c r="H556" i="5" s="1"/>
  <c r="G555" i="5"/>
  <c r="H555" i="5" s="1"/>
  <c r="G554" i="5"/>
  <c r="H554" i="5" s="1"/>
  <c r="G553" i="5"/>
  <c r="H553" i="5" s="1"/>
  <c r="G552" i="5"/>
  <c r="H552" i="5" s="1"/>
  <c r="G551" i="5"/>
  <c r="H551" i="5" s="1"/>
  <c r="G550" i="5"/>
  <c r="H550" i="5" s="1"/>
  <c r="G549" i="5"/>
  <c r="H549" i="5" s="1"/>
  <c r="G548" i="5"/>
  <c r="H548" i="5" s="1"/>
  <c r="G547" i="5"/>
  <c r="H547" i="5" s="1"/>
  <c r="G546" i="5"/>
  <c r="H546" i="5" s="1"/>
  <c r="G545" i="5"/>
  <c r="H545" i="5" s="1"/>
  <c r="G544" i="5"/>
  <c r="H544" i="5" s="1"/>
  <c r="G543" i="5"/>
  <c r="H543" i="5" s="1"/>
  <c r="G542" i="5"/>
  <c r="H542" i="5" s="1"/>
  <c r="G541" i="5"/>
  <c r="H541" i="5" s="1"/>
  <c r="G540" i="5"/>
  <c r="H540" i="5" s="1"/>
  <c r="G539" i="5"/>
  <c r="H539" i="5" s="1"/>
  <c r="G538" i="5"/>
  <c r="H538" i="5" s="1"/>
  <c r="G537" i="5"/>
  <c r="H537" i="5" s="1"/>
  <c r="G536" i="5"/>
  <c r="H536" i="5" s="1"/>
  <c r="G535" i="5"/>
  <c r="H535" i="5" s="1"/>
  <c r="G534" i="5"/>
  <c r="H534" i="5" s="1"/>
  <c r="G533" i="5"/>
  <c r="H533" i="5" s="1"/>
  <c r="G532" i="5"/>
  <c r="H532" i="5" s="1"/>
  <c r="G531" i="5"/>
  <c r="H531" i="5" s="1"/>
  <c r="G530" i="5"/>
  <c r="H530" i="5" s="1"/>
  <c r="G529" i="5"/>
  <c r="H529" i="5" s="1"/>
  <c r="G528" i="5"/>
  <c r="H528" i="5" s="1"/>
  <c r="G527" i="5"/>
  <c r="H527" i="5" s="1"/>
  <c r="G526" i="5"/>
  <c r="H526" i="5" s="1"/>
  <c r="G525" i="5"/>
  <c r="H525" i="5" s="1"/>
  <c r="G524" i="5"/>
  <c r="H524" i="5" s="1"/>
  <c r="G523" i="5"/>
  <c r="H523" i="5" s="1"/>
  <c r="G522" i="5"/>
  <c r="H522" i="5" s="1"/>
  <c r="G521" i="5"/>
  <c r="H521" i="5" s="1"/>
  <c r="G520" i="5"/>
  <c r="H520" i="5" s="1"/>
  <c r="G519" i="5"/>
  <c r="H519" i="5" s="1"/>
  <c r="G518" i="5"/>
  <c r="H518" i="5" s="1"/>
  <c r="G517" i="5"/>
  <c r="H517" i="5" s="1"/>
  <c r="G516" i="5"/>
  <c r="H516" i="5" s="1"/>
  <c r="G515" i="5"/>
  <c r="H515" i="5" s="1"/>
  <c r="G514" i="5"/>
  <c r="H514" i="5" s="1"/>
  <c r="G513" i="5"/>
  <c r="H513" i="5" s="1"/>
  <c r="G512" i="5"/>
  <c r="H512" i="5" s="1"/>
  <c r="G511" i="5"/>
  <c r="H511" i="5" s="1"/>
  <c r="G510" i="5"/>
  <c r="H510" i="5" s="1"/>
  <c r="G509" i="5"/>
  <c r="H509" i="5" s="1"/>
  <c r="G508" i="5"/>
  <c r="H508" i="5" s="1"/>
  <c r="G507" i="5"/>
  <c r="H507" i="5" s="1"/>
  <c r="G506" i="5"/>
  <c r="H506" i="5" s="1"/>
  <c r="G505" i="5"/>
  <c r="H505" i="5" s="1"/>
  <c r="G504" i="5"/>
  <c r="H504" i="5" s="1"/>
  <c r="G503" i="5"/>
  <c r="H503" i="5" s="1"/>
  <c r="G502" i="5"/>
  <c r="H502" i="5" s="1"/>
  <c r="G501" i="5"/>
  <c r="H501" i="5" s="1"/>
  <c r="G500" i="5"/>
  <c r="H500" i="5" s="1"/>
  <c r="G499" i="5"/>
  <c r="H499" i="5" s="1"/>
  <c r="G498" i="5"/>
  <c r="H498" i="5" s="1"/>
  <c r="G497" i="5"/>
  <c r="H497" i="5" s="1"/>
  <c r="G496" i="5"/>
  <c r="H496" i="5" s="1"/>
  <c r="G495" i="5"/>
  <c r="H495" i="5" s="1"/>
  <c r="G494" i="5"/>
  <c r="H494" i="5" s="1"/>
  <c r="G493" i="5"/>
  <c r="H493" i="5" s="1"/>
  <c r="G492" i="5"/>
  <c r="H492" i="5" s="1"/>
  <c r="G491" i="5"/>
  <c r="H491" i="5" s="1"/>
  <c r="G490" i="5"/>
  <c r="H490" i="5" s="1"/>
  <c r="G489" i="5"/>
  <c r="H489" i="5" s="1"/>
  <c r="G488" i="5"/>
  <c r="H488" i="5" s="1"/>
  <c r="G487" i="5"/>
  <c r="H487" i="5" s="1"/>
  <c r="G486" i="5"/>
  <c r="H486" i="5" s="1"/>
  <c r="G485" i="5"/>
  <c r="H485" i="5" s="1"/>
  <c r="G484" i="5"/>
  <c r="H484" i="5" s="1"/>
  <c r="G483" i="5"/>
  <c r="H483" i="5" s="1"/>
  <c r="G482" i="5"/>
  <c r="H482" i="5" s="1"/>
  <c r="G481" i="5"/>
  <c r="H481" i="5" s="1"/>
  <c r="G480" i="5"/>
  <c r="H480" i="5" s="1"/>
  <c r="G479" i="5"/>
  <c r="H479" i="5" s="1"/>
  <c r="G478" i="5"/>
  <c r="H478" i="5" s="1"/>
  <c r="G477" i="5"/>
  <c r="H477" i="5" s="1"/>
  <c r="G476" i="5"/>
  <c r="H476" i="5" s="1"/>
  <c r="G475" i="5"/>
  <c r="H475" i="5" s="1"/>
  <c r="G474" i="5"/>
  <c r="H474" i="5" s="1"/>
  <c r="G473" i="5"/>
  <c r="H473" i="5" s="1"/>
  <c r="G472" i="5"/>
  <c r="H472" i="5" s="1"/>
  <c r="G471" i="5"/>
  <c r="H471" i="5" s="1"/>
  <c r="G470" i="5"/>
  <c r="H470" i="5" s="1"/>
  <c r="G469" i="5"/>
  <c r="H469" i="5" s="1"/>
  <c r="G468" i="5"/>
  <c r="H468" i="5" s="1"/>
  <c r="G467" i="5"/>
  <c r="H467" i="5" s="1"/>
  <c r="G466" i="5"/>
  <c r="H466" i="5" s="1"/>
  <c r="G465" i="5"/>
  <c r="H465" i="5" s="1"/>
  <c r="G464" i="5"/>
  <c r="H464" i="5" s="1"/>
  <c r="G463" i="5"/>
  <c r="H463" i="5" s="1"/>
  <c r="G462" i="5"/>
  <c r="H462" i="5" s="1"/>
  <c r="G461" i="5"/>
  <c r="H461" i="5" s="1"/>
  <c r="G460" i="5"/>
  <c r="H460" i="5" s="1"/>
  <c r="G459" i="5"/>
  <c r="H459" i="5" s="1"/>
  <c r="G458" i="5"/>
  <c r="H458" i="5" s="1"/>
  <c r="G457" i="5"/>
  <c r="H457" i="5" s="1"/>
  <c r="G456" i="5"/>
  <c r="H456" i="5" s="1"/>
  <c r="G455" i="5"/>
  <c r="H455" i="5" s="1"/>
  <c r="G454" i="5"/>
  <c r="H454" i="5" s="1"/>
  <c r="G453" i="5"/>
  <c r="H453" i="5" s="1"/>
  <c r="G452" i="5"/>
  <c r="H452" i="5" s="1"/>
  <c r="G451" i="5"/>
  <c r="H451" i="5" s="1"/>
  <c r="G450" i="5"/>
  <c r="H450" i="5" s="1"/>
  <c r="G449" i="5"/>
  <c r="H449" i="5" s="1"/>
  <c r="G448" i="5"/>
  <c r="H448" i="5" s="1"/>
  <c r="G447" i="5"/>
  <c r="H447" i="5" s="1"/>
  <c r="G446" i="5"/>
  <c r="H446" i="5" s="1"/>
  <c r="G445" i="5"/>
  <c r="H445" i="5" s="1"/>
  <c r="G444" i="5"/>
  <c r="H444" i="5" s="1"/>
  <c r="G443" i="5"/>
  <c r="H443" i="5" s="1"/>
  <c r="G442" i="5"/>
  <c r="H442" i="5" s="1"/>
  <c r="G441" i="5"/>
  <c r="H441" i="5" s="1"/>
  <c r="G440" i="5"/>
  <c r="H440" i="5" s="1"/>
  <c r="G439" i="5"/>
  <c r="H439" i="5" s="1"/>
  <c r="G438" i="5"/>
  <c r="H438" i="5" s="1"/>
  <c r="G437" i="5"/>
  <c r="H437" i="5" s="1"/>
  <c r="G436" i="5"/>
  <c r="H436" i="5" s="1"/>
  <c r="G435" i="5"/>
  <c r="H435" i="5" s="1"/>
  <c r="G434" i="5"/>
  <c r="H434" i="5" s="1"/>
  <c r="G433" i="5"/>
  <c r="H433" i="5" s="1"/>
  <c r="G432" i="5"/>
  <c r="H432" i="5" s="1"/>
  <c r="G431" i="5"/>
  <c r="H431" i="5" s="1"/>
  <c r="G430" i="5"/>
  <c r="H430" i="5" s="1"/>
  <c r="G429" i="5"/>
  <c r="H429" i="5" s="1"/>
  <c r="G428" i="5"/>
  <c r="H428" i="5" s="1"/>
  <c r="G427" i="5"/>
  <c r="H427" i="5" s="1"/>
  <c r="G426" i="5"/>
  <c r="H426" i="5" s="1"/>
  <c r="G425" i="5"/>
  <c r="H425" i="5" s="1"/>
  <c r="G424" i="5"/>
  <c r="H424" i="5" s="1"/>
  <c r="G423" i="5"/>
  <c r="H423" i="5" s="1"/>
  <c r="G422" i="5"/>
  <c r="H422" i="5" s="1"/>
  <c r="G421" i="5"/>
  <c r="H421" i="5" s="1"/>
  <c r="G420" i="5"/>
  <c r="H420" i="5" s="1"/>
  <c r="G419" i="5"/>
  <c r="H419" i="5" s="1"/>
  <c r="G418" i="5"/>
  <c r="H418" i="5" s="1"/>
  <c r="G417" i="5"/>
  <c r="H417" i="5" s="1"/>
  <c r="G416" i="5"/>
  <c r="H416" i="5" s="1"/>
  <c r="G415" i="5"/>
  <c r="H415" i="5" s="1"/>
  <c r="G414" i="5"/>
  <c r="H414" i="5" s="1"/>
  <c r="G413" i="5"/>
  <c r="H413" i="5" s="1"/>
  <c r="G412" i="5"/>
  <c r="H412" i="5" s="1"/>
  <c r="G411" i="5"/>
  <c r="H411" i="5" s="1"/>
  <c r="G410" i="5"/>
  <c r="H410" i="5" s="1"/>
  <c r="G409" i="5"/>
  <c r="H409" i="5" s="1"/>
  <c r="G408" i="5"/>
  <c r="H408" i="5" s="1"/>
  <c r="G407" i="5"/>
  <c r="H407" i="5" s="1"/>
  <c r="G406" i="5"/>
  <c r="H406" i="5" s="1"/>
  <c r="G405" i="5"/>
  <c r="H405" i="5" s="1"/>
  <c r="G404" i="5"/>
  <c r="H404" i="5" s="1"/>
  <c r="G403" i="5"/>
  <c r="H403" i="5" s="1"/>
  <c r="G402" i="5"/>
  <c r="H402" i="5" s="1"/>
  <c r="G401" i="5"/>
  <c r="H401" i="5" s="1"/>
  <c r="G400" i="5"/>
  <c r="H400" i="5" s="1"/>
  <c r="G399" i="5"/>
  <c r="H399" i="5" s="1"/>
  <c r="G398" i="5"/>
  <c r="H398" i="5" s="1"/>
  <c r="G397" i="5"/>
  <c r="H397" i="5" s="1"/>
  <c r="G396" i="5"/>
  <c r="H396" i="5" s="1"/>
  <c r="G395" i="5"/>
  <c r="H395" i="5" s="1"/>
  <c r="G394" i="5"/>
  <c r="H394" i="5" s="1"/>
  <c r="G393" i="5"/>
  <c r="H393" i="5" s="1"/>
  <c r="G392" i="5"/>
  <c r="H392" i="5" s="1"/>
  <c r="G391" i="5"/>
  <c r="H391" i="5" s="1"/>
  <c r="G390" i="5"/>
  <c r="H390" i="5" s="1"/>
  <c r="G389" i="5"/>
  <c r="H389" i="5" s="1"/>
  <c r="G388" i="5"/>
  <c r="H388" i="5" s="1"/>
  <c r="G387" i="5"/>
  <c r="H387" i="5" s="1"/>
  <c r="G386" i="5"/>
  <c r="H386" i="5" s="1"/>
  <c r="G385" i="5"/>
  <c r="H385" i="5" s="1"/>
  <c r="G384" i="5"/>
  <c r="H384" i="5" s="1"/>
  <c r="G383" i="5"/>
  <c r="H383" i="5" s="1"/>
  <c r="G382" i="5"/>
  <c r="H382" i="5" s="1"/>
  <c r="G381" i="5"/>
  <c r="H381" i="5" s="1"/>
  <c r="G380" i="5"/>
  <c r="H380" i="5" s="1"/>
  <c r="G379" i="5"/>
  <c r="H379" i="5" s="1"/>
  <c r="G378" i="5"/>
  <c r="H378" i="5" s="1"/>
  <c r="G377" i="5"/>
  <c r="H377" i="5" s="1"/>
  <c r="G376" i="5"/>
  <c r="H376" i="5" s="1"/>
  <c r="G375" i="5"/>
  <c r="H375" i="5" s="1"/>
  <c r="G374" i="5"/>
  <c r="H374" i="5" s="1"/>
  <c r="G373" i="5"/>
  <c r="H373" i="5" s="1"/>
  <c r="G372" i="5"/>
  <c r="H372" i="5" s="1"/>
  <c r="G371" i="5"/>
  <c r="H371" i="5" s="1"/>
  <c r="G370" i="5"/>
  <c r="H370" i="5" s="1"/>
  <c r="G369" i="5"/>
  <c r="H369" i="5" s="1"/>
  <c r="G368" i="5"/>
  <c r="H368" i="5" s="1"/>
  <c r="G367" i="5"/>
  <c r="H367" i="5" s="1"/>
  <c r="G366" i="5"/>
  <c r="H366" i="5" s="1"/>
  <c r="G365" i="5"/>
  <c r="H365" i="5" s="1"/>
  <c r="G364" i="5"/>
  <c r="H364" i="5" s="1"/>
  <c r="G363" i="5"/>
  <c r="H363" i="5" s="1"/>
  <c r="G362" i="5"/>
  <c r="H362" i="5" s="1"/>
  <c r="G361" i="5"/>
  <c r="H361" i="5" s="1"/>
  <c r="G360" i="5"/>
  <c r="H360" i="5" s="1"/>
  <c r="G359" i="5"/>
  <c r="H359" i="5" s="1"/>
  <c r="G358" i="5"/>
  <c r="H358" i="5" s="1"/>
  <c r="G357" i="5"/>
  <c r="H357" i="5" s="1"/>
  <c r="G356" i="5"/>
  <c r="H356" i="5" s="1"/>
  <c r="G355" i="5"/>
  <c r="H355" i="5" s="1"/>
  <c r="G354" i="5"/>
  <c r="H354" i="5" s="1"/>
  <c r="G353" i="5"/>
  <c r="H353" i="5" s="1"/>
  <c r="G352" i="5"/>
  <c r="H352" i="5" s="1"/>
  <c r="G351" i="5"/>
  <c r="H351" i="5" s="1"/>
  <c r="G350" i="5"/>
  <c r="H350" i="5" s="1"/>
  <c r="G349" i="5"/>
  <c r="H349" i="5" s="1"/>
  <c r="G348" i="5"/>
  <c r="H348" i="5" s="1"/>
  <c r="G347" i="5"/>
  <c r="H347" i="5" s="1"/>
  <c r="G346" i="5"/>
  <c r="H346" i="5" s="1"/>
  <c r="G345" i="5"/>
  <c r="H345" i="5" s="1"/>
  <c r="G344" i="5"/>
  <c r="H344" i="5" s="1"/>
  <c r="G343" i="5"/>
  <c r="H343" i="5" s="1"/>
  <c r="G342" i="5"/>
  <c r="H342" i="5" s="1"/>
  <c r="G341" i="5"/>
  <c r="H341" i="5" s="1"/>
  <c r="G340" i="5"/>
  <c r="H340" i="5" s="1"/>
  <c r="G339" i="5"/>
  <c r="H339" i="5" s="1"/>
  <c r="G338" i="5"/>
  <c r="H338" i="5" s="1"/>
  <c r="G337" i="5"/>
  <c r="H337" i="5" s="1"/>
  <c r="G336" i="5"/>
  <c r="H336" i="5" s="1"/>
  <c r="G335" i="5"/>
  <c r="H335" i="5" s="1"/>
  <c r="G334" i="5"/>
  <c r="H334" i="5" s="1"/>
  <c r="G333" i="5"/>
  <c r="H333" i="5" s="1"/>
  <c r="G332" i="5"/>
  <c r="H332" i="5" s="1"/>
  <c r="G331" i="5"/>
  <c r="H331" i="5" s="1"/>
  <c r="G330" i="5"/>
  <c r="H330" i="5" s="1"/>
  <c r="G329" i="5"/>
  <c r="H329" i="5" s="1"/>
  <c r="G328" i="5"/>
  <c r="H328" i="5" s="1"/>
  <c r="G327" i="5"/>
  <c r="H327" i="5" s="1"/>
  <c r="G326" i="5"/>
  <c r="H326" i="5" s="1"/>
  <c r="G325" i="5"/>
  <c r="H325" i="5" s="1"/>
  <c r="G324" i="5"/>
  <c r="H324" i="5" s="1"/>
  <c r="G323" i="5"/>
  <c r="H323" i="5" s="1"/>
  <c r="G322" i="5"/>
  <c r="H322" i="5" s="1"/>
  <c r="G321" i="5"/>
  <c r="H321" i="5" s="1"/>
  <c r="G320" i="5"/>
  <c r="H320" i="5" s="1"/>
  <c r="G319" i="5"/>
  <c r="H319" i="5" s="1"/>
  <c r="G318" i="5"/>
  <c r="H318" i="5" s="1"/>
  <c r="G317" i="5"/>
  <c r="H317" i="5" s="1"/>
  <c r="G316" i="5"/>
  <c r="H316" i="5" s="1"/>
  <c r="G315" i="5"/>
  <c r="H315" i="5" s="1"/>
  <c r="G314" i="5"/>
  <c r="H314" i="5" s="1"/>
  <c r="G313" i="5"/>
  <c r="H313" i="5" s="1"/>
  <c r="G312" i="5"/>
  <c r="H312" i="5" s="1"/>
  <c r="G311" i="5"/>
  <c r="H311" i="5" s="1"/>
  <c r="G310" i="5"/>
  <c r="H310" i="5" s="1"/>
  <c r="G309" i="5"/>
  <c r="H309" i="5" s="1"/>
  <c r="G308" i="5"/>
  <c r="H308" i="5" s="1"/>
  <c r="G307" i="5"/>
  <c r="H307" i="5" s="1"/>
  <c r="G306" i="5"/>
  <c r="H306" i="5" s="1"/>
  <c r="G305" i="5"/>
  <c r="H305" i="5" s="1"/>
  <c r="G304" i="5"/>
  <c r="H304" i="5" s="1"/>
  <c r="G303" i="5"/>
  <c r="H303" i="5" s="1"/>
  <c r="G302" i="5"/>
  <c r="H302" i="5" s="1"/>
  <c r="G301" i="5"/>
  <c r="H301" i="5" s="1"/>
  <c r="G300" i="5"/>
  <c r="H300" i="5" s="1"/>
  <c r="G299" i="5"/>
  <c r="H299" i="5" s="1"/>
  <c r="G298" i="5"/>
  <c r="H298" i="5" s="1"/>
  <c r="G297" i="5"/>
  <c r="H297" i="5" s="1"/>
  <c r="G296" i="5"/>
  <c r="H296" i="5" s="1"/>
  <c r="G295" i="5"/>
  <c r="H295" i="5" s="1"/>
  <c r="G294" i="5"/>
  <c r="H294" i="5" s="1"/>
  <c r="G293" i="5"/>
  <c r="H293" i="5" s="1"/>
  <c r="G292" i="5"/>
  <c r="H292" i="5" s="1"/>
  <c r="G291" i="5"/>
  <c r="H291" i="5" s="1"/>
  <c r="G290" i="5"/>
  <c r="H290" i="5" s="1"/>
  <c r="G289" i="5"/>
  <c r="H289" i="5" s="1"/>
  <c r="G288" i="5"/>
  <c r="H288" i="5" s="1"/>
  <c r="G287" i="5"/>
  <c r="H287" i="5" s="1"/>
  <c r="G286" i="5"/>
  <c r="H286" i="5" s="1"/>
  <c r="G285" i="5"/>
  <c r="H285" i="5" s="1"/>
  <c r="G284" i="5"/>
  <c r="H284" i="5" s="1"/>
  <c r="G283" i="5"/>
  <c r="H283" i="5" s="1"/>
  <c r="G282" i="5"/>
  <c r="H282" i="5" s="1"/>
  <c r="G281" i="5"/>
  <c r="H281" i="5" s="1"/>
  <c r="G280" i="5"/>
  <c r="H280" i="5" s="1"/>
  <c r="G279" i="5"/>
  <c r="H279" i="5" s="1"/>
  <c r="G278" i="5"/>
  <c r="H278" i="5" s="1"/>
  <c r="G277" i="5"/>
  <c r="H277" i="5" s="1"/>
  <c r="G276" i="5"/>
  <c r="H276" i="5" s="1"/>
  <c r="G275" i="5"/>
  <c r="H275" i="5" s="1"/>
  <c r="G274" i="5"/>
  <c r="H274" i="5" s="1"/>
  <c r="G273" i="5"/>
  <c r="H273" i="5" s="1"/>
  <c r="G272" i="5"/>
  <c r="H272" i="5" s="1"/>
  <c r="G271" i="5"/>
  <c r="H271" i="5" s="1"/>
  <c r="G270" i="5"/>
  <c r="H270" i="5" s="1"/>
  <c r="G269" i="5"/>
  <c r="H269" i="5" s="1"/>
  <c r="G268" i="5"/>
  <c r="H268" i="5" s="1"/>
  <c r="G267" i="5"/>
  <c r="H267" i="5" s="1"/>
  <c r="G266" i="5"/>
  <c r="H266" i="5" s="1"/>
  <c r="G265" i="5"/>
  <c r="H265" i="5" s="1"/>
  <c r="G264" i="5"/>
  <c r="H264" i="5" s="1"/>
  <c r="G263" i="5"/>
  <c r="H263" i="5" s="1"/>
  <c r="G262" i="5"/>
  <c r="H262" i="5" s="1"/>
  <c r="G261" i="5"/>
  <c r="H261" i="5" s="1"/>
  <c r="G260" i="5"/>
  <c r="H260" i="5" s="1"/>
  <c r="G259" i="5"/>
  <c r="H259" i="5" s="1"/>
  <c r="G258" i="5"/>
  <c r="H258" i="5" s="1"/>
  <c r="G257" i="5"/>
  <c r="H257" i="5" s="1"/>
  <c r="G256" i="5"/>
  <c r="H256" i="5" s="1"/>
  <c r="G255" i="5"/>
  <c r="H255" i="5" s="1"/>
  <c r="G254" i="5"/>
  <c r="H254" i="5" s="1"/>
  <c r="G253" i="5"/>
  <c r="H253" i="5" s="1"/>
  <c r="G252" i="5"/>
  <c r="H252" i="5" s="1"/>
  <c r="G251" i="5"/>
  <c r="H251" i="5" s="1"/>
  <c r="G250" i="5"/>
  <c r="H250" i="5" s="1"/>
  <c r="G249" i="5"/>
  <c r="H249" i="5" s="1"/>
  <c r="G248" i="5"/>
  <c r="H248" i="5" s="1"/>
  <c r="G247" i="5"/>
  <c r="H247" i="5" s="1"/>
  <c r="G246" i="5"/>
  <c r="H246" i="5" s="1"/>
  <c r="G245" i="5"/>
  <c r="H245" i="5" s="1"/>
  <c r="G244" i="5"/>
  <c r="H244" i="5" s="1"/>
  <c r="G243" i="5"/>
  <c r="H243" i="5" s="1"/>
  <c r="G242" i="5"/>
  <c r="H242" i="5" s="1"/>
  <c r="G241" i="5"/>
  <c r="H241" i="5" s="1"/>
  <c r="G240" i="5"/>
  <c r="H240" i="5" s="1"/>
  <c r="G239" i="5"/>
  <c r="H239" i="5" s="1"/>
  <c r="G238" i="5"/>
  <c r="H238" i="5" s="1"/>
  <c r="G237" i="5"/>
  <c r="H237" i="5" s="1"/>
  <c r="G236" i="5"/>
  <c r="H236" i="5" s="1"/>
  <c r="G235" i="5"/>
  <c r="H235" i="5" s="1"/>
  <c r="G234" i="5"/>
  <c r="H234" i="5" s="1"/>
  <c r="G233" i="5"/>
  <c r="H233" i="5" s="1"/>
  <c r="G232" i="5"/>
  <c r="H232" i="5" s="1"/>
  <c r="G231" i="5"/>
  <c r="H231" i="5" s="1"/>
  <c r="G230" i="5"/>
  <c r="H230" i="5" s="1"/>
  <c r="G229" i="5"/>
  <c r="H229" i="5" s="1"/>
  <c r="G228" i="5"/>
  <c r="H228" i="5" s="1"/>
  <c r="G227" i="5"/>
  <c r="H227" i="5" s="1"/>
  <c r="G226" i="5"/>
  <c r="H226" i="5" s="1"/>
  <c r="G225" i="5"/>
  <c r="H225" i="5" s="1"/>
  <c r="G224" i="5"/>
  <c r="H224" i="5" s="1"/>
  <c r="G223" i="5"/>
  <c r="H223" i="5" s="1"/>
  <c r="G222" i="5"/>
  <c r="H222" i="5" s="1"/>
  <c r="G221" i="5"/>
  <c r="H221" i="5" s="1"/>
  <c r="G220" i="5"/>
  <c r="H220" i="5" s="1"/>
  <c r="G219" i="5"/>
  <c r="H219" i="5" s="1"/>
  <c r="G218" i="5"/>
  <c r="H218" i="5" s="1"/>
  <c r="G217" i="5"/>
  <c r="H217" i="5" s="1"/>
  <c r="G216" i="5"/>
  <c r="H216" i="5" s="1"/>
  <c r="G215" i="5"/>
  <c r="H215" i="5" s="1"/>
  <c r="G214" i="5"/>
  <c r="H214" i="5" s="1"/>
  <c r="G213" i="5"/>
  <c r="H213" i="5" s="1"/>
  <c r="G212" i="5"/>
  <c r="H212" i="5" s="1"/>
  <c r="G211" i="5"/>
  <c r="H211" i="5" s="1"/>
  <c r="G210" i="5"/>
  <c r="H210" i="5" s="1"/>
  <c r="G209" i="5"/>
  <c r="H209" i="5" s="1"/>
  <c r="G208" i="5"/>
  <c r="H208" i="5" s="1"/>
  <c r="G207" i="5"/>
  <c r="H207" i="5" s="1"/>
  <c r="G206" i="5"/>
  <c r="H206" i="5" s="1"/>
  <c r="G205" i="5"/>
  <c r="H205" i="5" s="1"/>
  <c r="G204" i="5"/>
  <c r="H204" i="5" s="1"/>
  <c r="G203" i="5"/>
  <c r="H203" i="5" s="1"/>
  <c r="G202" i="5"/>
  <c r="H202" i="5" s="1"/>
  <c r="G201" i="5"/>
  <c r="H201" i="5" s="1"/>
  <c r="G200" i="5"/>
  <c r="H200" i="5" s="1"/>
  <c r="G199" i="5"/>
  <c r="H199" i="5" s="1"/>
  <c r="G198" i="5"/>
  <c r="H198" i="5" s="1"/>
  <c r="G197" i="5"/>
  <c r="H197" i="5" s="1"/>
  <c r="G196" i="5"/>
  <c r="H196" i="5" s="1"/>
  <c r="G195" i="5"/>
  <c r="H195" i="5" s="1"/>
  <c r="G194" i="5"/>
  <c r="H194" i="5" s="1"/>
  <c r="G193" i="5"/>
  <c r="H193" i="5" s="1"/>
  <c r="G192" i="5"/>
  <c r="H192" i="5" s="1"/>
  <c r="G191" i="5"/>
  <c r="H191" i="5" s="1"/>
  <c r="G190" i="5"/>
  <c r="H190" i="5" s="1"/>
  <c r="G189" i="5"/>
  <c r="H189" i="5" s="1"/>
  <c r="G188" i="5"/>
  <c r="H188" i="5" s="1"/>
  <c r="G187" i="5"/>
  <c r="H187" i="5" s="1"/>
  <c r="G186" i="5"/>
  <c r="H186" i="5" s="1"/>
  <c r="G185" i="5"/>
  <c r="H185" i="5" s="1"/>
  <c r="G184" i="5"/>
  <c r="H184" i="5" s="1"/>
  <c r="G183" i="5"/>
  <c r="H183" i="5" s="1"/>
  <c r="G182" i="5"/>
  <c r="H182" i="5" s="1"/>
  <c r="G181" i="5"/>
  <c r="H181" i="5" s="1"/>
  <c r="G180" i="5"/>
  <c r="H180" i="5" s="1"/>
  <c r="G179" i="5"/>
  <c r="H179" i="5" s="1"/>
  <c r="G178" i="5"/>
  <c r="H178" i="5" s="1"/>
  <c r="G177" i="5"/>
  <c r="H177" i="5" s="1"/>
  <c r="G176" i="5"/>
  <c r="H176" i="5" s="1"/>
  <c r="G175" i="5"/>
  <c r="H175" i="5" s="1"/>
  <c r="G174" i="5"/>
  <c r="H174" i="5" s="1"/>
  <c r="G173" i="5"/>
  <c r="H173" i="5" s="1"/>
  <c r="G172" i="5"/>
  <c r="H172" i="5" s="1"/>
  <c r="G171" i="5"/>
  <c r="H171" i="5" s="1"/>
  <c r="G170" i="5"/>
  <c r="H170" i="5" s="1"/>
  <c r="G169" i="5"/>
  <c r="H169" i="5" s="1"/>
  <c r="G168" i="5"/>
  <c r="H168" i="5" s="1"/>
  <c r="G167" i="5"/>
  <c r="H167" i="5" s="1"/>
  <c r="G166" i="5"/>
  <c r="H166" i="5" s="1"/>
  <c r="G165" i="5"/>
  <c r="H165" i="5" s="1"/>
  <c r="G164" i="5"/>
  <c r="H164" i="5" s="1"/>
  <c r="G163" i="5"/>
  <c r="H163" i="5" s="1"/>
  <c r="G162" i="5"/>
  <c r="H162" i="5" s="1"/>
  <c r="G161" i="5"/>
  <c r="H161" i="5" s="1"/>
  <c r="G160" i="5"/>
  <c r="H160" i="5" s="1"/>
  <c r="G159" i="5"/>
  <c r="H159" i="5" s="1"/>
  <c r="G158" i="5"/>
  <c r="H158" i="5" s="1"/>
  <c r="G157" i="5"/>
  <c r="H157" i="5" s="1"/>
  <c r="G156" i="5"/>
  <c r="H156" i="5" s="1"/>
  <c r="G155" i="5"/>
  <c r="H155" i="5" s="1"/>
  <c r="G154" i="5"/>
  <c r="H154" i="5" s="1"/>
  <c r="G153" i="5"/>
  <c r="H153" i="5" s="1"/>
  <c r="G152" i="5"/>
  <c r="H152" i="5" s="1"/>
  <c r="G151" i="5"/>
  <c r="H151" i="5" s="1"/>
  <c r="G150" i="5"/>
  <c r="H150" i="5" s="1"/>
  <c r="G149" i="5"/>
  <c r="H149" i="5" s="1"/>
  <c r="G148" i="5"/>
  <c r="H148" i="5" s="1"/>
  <c r="G147" i="5"/>
  <c r="H147" i="5" s="1"/>
  <c r="G146" i="5"/>
  <c r="H146" i="5" s="1"/>
  <c r="G145" i="5"/>
  <c r="H145" i="5" s="1"/>
  <c r="G144" i="5"/>
  <c r="H144" i="5" s="1"/>
  <c r="G143" i="5"/>
  <c r="H143" i="5" s="1"/>
  <c r="G142" i="5"/>
  <c r="H142" i="5" s="1"/>
  <c r="G141" i="5"/>
  <c r="H141" i="5" s="1"/>
  <c r="G140" i="5"/>
  <c r="H140" i="5" s="1"/>
  <c r="G139" i="5"/>
  <c r="H139" i="5" s="1"/>
  <c r="G138" i="5"/>
  <c r="H138" i="5" s="1"/>
  <c r="G137" i="5"/>
  <c r="H137" i="5" s="1"/>
  <c r="G136" i="5"/>
  <c r="H136" i="5" s="1"/>
  <c r="G135" i="5"/>
  <c r="H135" i="5" s="1"/>
  <c r="G134" i="5"/>
  <c r="H134" i="5" s="1"/>
  <c r="G133" i="5"/>
  <c r="H133" i="5" s="1"/>
  <c r="G132" i="5"/>
  <c r="H132" i="5" s="1"/>
  <c r="G131" i="5"/>
  <c r="H131" i="5" s="1"/>
  <c r="G130" i="5"/>
  <c r="H130" i="5" s="1"/>
  <c r="G129" i="5"/>
  <c r="H129" i="5" s="1"/>
  <c r="G128" i="5"/>
  <c r="H128" i="5" s="1"/>
  <c r="G127" i="5"/>
  <c r="H127" i="5" s="1"/>
  <c r="G126" i="5"/>
  <c r="H126" i="5" s="1"/>
  <c r="G125" i="5"/>
  <c r="H125" i="5" s="1"/>
  <c r="G124" i="5"/>
  <c r="H124" i="5" s="1"/>
  <c r="G123" i="5"/>
  <c r="H123" i="5" s="1"/>
  <c r="G122" i="5"/>
  <c r="H122" i="5" s="1"/>
  <c r="G121" i="5"/>
  <c r="H121" i="5" s="1"/>
  <c r="G120" i="5"/>
  <c r="H120" i="5" s="1"/>
  <c r="G119" i="5"/>
  <c r="H119" i="5" s="1"/>
  <c r="G118" i="5"/>
  <c r="H118" i="5" s="1"/>
  <c r="G117" i="5"/>
  <c r="H117" i="5" s="1"/>
  <c r="G116" i="5"/>
  <c r="H116" i="5" s="1"/>
  <c r="G115" i="5"/>
  <c r="H115" i="5" s="1"/>
  <c r="G114" i="5"/>
  <c r="H114" i="5" s="1"/>
  <c r="G113" i="5"/>
  <c r="H113" i="5" s="1"/>
  <c r="G112" i="5"/>
  <c r="H112" i="5" s="1"/>
  <c r="G111" i="5"/>
  <c r="H111" i="5" s="1"/>
  <c r="G110" i="5"/>
  <c r="H110" i="5" s="1"/>
  <c r="G109" i="5"/>
  <c r="H109" i="5" s="1"/>
  <c r="G108" i="5"/>
  <c r="H108" i="5" s="1"/>
  <c r="G107" i="5"/>
  <c r="H107" i="5" s="1"/>
  <c r="G106" i="5"/>
  <c r="H106" i="5" s="1"/>
  <c r="G105" i="5"/>
  <c r="H105" i="5" s="1"/>
  <c r="G104" i="5"/>
  <c r="H104" i="5" s="1"/>
  <c r="G103" i="5"/>
  <c r="H103" i="5" s="1"/>
  <c r="G102" i="5"/>
  <c r="H102" i="5" s="1"/>
  <c r="G101" i="5"/>
  <c r="H101" i="5" s="1"/>
  <c r="G100" i="5"/>
  <c r="H100" i="5" s="1"/>
  <c r="G99" i="5"/>
  <c r="H99" i="5" s="1"/>
  <c r="G98" i="5"/>
  <c r="H98" i="5" s="1"/>
  <c r="G97" i="5"/>
  <c r="H97" i="5" s="1"/>
  <c r="G96" i="5"/>
  <c r="H96" i="5" s="1"/>
  <c r="G95" i="5"/>
  <c r="H95" i="5" s="1"/>
  <c r="G94" i="5"/>
  <c r="H94" i="5" s="1"/>
  <c r="G93" i="5"/>
  <c r="H93" i="5" s="1"/>
  <c r="G92" i="5"/>
  <c r="H92" i="5" s="1"/>
  <c r="G91" i="5"/>
  <c r="H91" i="5" s="1"/>
  <c r="G90" i="5"/>
  <c r="H90" i="5" s="1"/>
  <c r="G89" i="5"/>
  <c r="H89" i="5" s="1"/>
  <c r="G88" i="5"/>
  <c r="H88" i="5" s="1"/>
  <c r="G87" i="5"/>
  <c r="H87" i="5" s="1"/>
  <c r="G86" i="5"/>
  <c r="H86" i="5" s="1"/>
  <c r="G85" i="5"/>
  <c r="H85" i="5" s="1"/>
  <c r="G84" i="5"/>
  <c r="H84" i="5" s="1"/>
  <c r="G83" i="5"/>
  <c r="H83" i="5" s="1"/>
  <c r="G82" i="5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G72" i="5"/>
  <c r="H72" i="5" s="1"/>
  <c r="G71" i="5"/>
  <c r="H71" i="5" s="1"/>
  <c r="G70" i="5"/>
  <c r="H70" i="5" s="1"/>
  <c r="G69" i="5"/>
  <c r="H69" i="5" s="1"/>
  <c r="G68" i="5"/>
  <c r="H68" i="5" s="1"/>
  <c r="G67" i="5"/>
  <c r="H67" i="5" s="1"/>
  <c r="G66" i="5"/>
  <c r="H66" i="5" s="1"/>
  <c r="G65" i="5"/>
  <c r="H65" i="5" s="1"/>
  <c r="G64" i="5"/>
  <c r="H64" i="5" s="1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G54" i="5"/>
  <c r="H54" i="5" s="1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C11" i="5"/>
  <c r="C12" i="5"/>
  <c r="E12" i="5" s="1"/>
  <c r="I12" i="5" s="1"/>
  <c r="J12" i="5" s="1"/>
  <c r="C13" i="5"/>
  <c r="E13" i="5" s="1"/>
  <c r="I13" i="5" s="1"/>
  <c r="J13" i="5" s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K411" i="5" s="1"/>
  <c r="C412" i="5"/>
  <c r="K412" i="5" s="1"/>
  <c r="C413" i="5"/>
  <c r="K413" i="5" s="1"/>
  <c r="C414" i="5"/>
  <c r="K414" i="5" s="1"/>
  <c r="C415" i="5"/>
  <c r="K415" i="5" s="1"/>
  <c r="C416" i="5"/>
  <c r="C417" i="5"/>
  <c r="C418" i="5"/>
  <c r="C419" i="5"/>
  <c r="K419" i="5" s="1"/>
  <c r="C420" i="5"/>
  <c r="K420" i="5" s="1"/>
  <c r="C421" i="5"/>
  <c r="K421" i="5" s="1"/>
  <c r="C422" i="5"/>
  <c r="K422" i="5" s="1"/>
  <c r="C423" i="5"/>
  <c r="K423" i="5" s="1"/>
  <c r="C424" i="5"/>
  <c r="C425" i="5"/>
  <c r="C426" i="5"/>
  <c r="C427" i="5"/>
  <c r="K427" i="5" s="1"/>
  <c r="C428" i="5"/>
  <c r="K428" i="5" s="1"/>
  <c r="C429" i="5"/>
  <c r="C430" i="5"/>
  <c r="K430" i="5" s="1"/>
  <c r="C431" i="5"/>
  <c r="K431" i="5" s="1"/>
  <c r="C432" i="5"/>
  <c r="C433" i="5"/>
  <c r="C434" i="5"/>
  <c r="C435" i="5"/>
  <c r="K435" i="5" s="1"/>
  <c r="C436" i="5"/>
  <c r="K436" i="5" s="1"/>
  <c r="C437" i="5"/>
  <c r="K437" i="5" s="1"/>
  <c r="C438" i="5"/>
  <c r="K438" i="5" s="1"/>
  <c r="C439" i="5"/>
  <c r="K439" i="5" s="1"/>
  <c r="C440" i="5"/>
  <c r="C441" i="5"/>
  <c r="C442" i="5"/>
  <c r="C443" i="5"/>
  <c r="K443" i="5" s="1"/>
  <c r="C444" i="5"/>
  <c r="K444" i="5" s="1"/>
  <c r="C445" i="5"/>
  <c r="C446" i="5"/>
  <c r="K446" i="5" s="1"/>
  <c r="C447" i="5"/>
  <c r="K447" i="5" s="1"/>
  <c r="C448" i="5"/>
  <c r="C449" i="5"/>
  <c r="C450" i="5"/>
  <c r="C451" i="5"/>
  <c r="K451" i="5" s="1"/>
  <c r="C452" i="5"/>
  <c r="K452" i="5" s="1"/>
  <c r="C453" i="5"/>
  <c r="K453" i="5" s="1"/>
  <c r="C454" i="5"/>
  <c r="K454" i="5" s="1"/>
  <c r="C455" i="5"/>
  <c r="K455" i="5" s="1"/>
  <c r="C456" i="5"/>
  <c r="C457" i="5"/>
  <c r="C458" i="5"/>
  <c r="C459" i="5"/>
  <c r="K459" i="5" s="1"/>
  <c r="C460" i="5"/>
  <c r="K460" i="5" s="1"/>
  <c r="C461" i="5"/>
  <c r="C462" i="5"/>
  <c r="K462" i="5" s="1"/>
  <c r="C463" i="5"/>
  <c r="K463" i="5" s="1"/>
  <c r="C464" i="5"/>
  <c r="C465" i="5"/>
  <c r="C466" i="5"/>
  <c r="C467" i="5"/>
  <c r="K467" i="5" s="1"/>
  <c r="C468" i="5"/>
  <c r="K468" i="5" s="1"/>
  <c r="C469" i="5"/>
  <c r="K469" i="5" s="1"/>
  <c r="C470" i="5"/>
  <c r="K470" i="5" s="1"/>
  <c r="C471" i="5"/>
  <c r="K471" i="5" s="1"/>
  <c r="C472" i="5"/>
  <c r="C473" i="5"/>
  <c r="C474" i="5"/>
  <c r="C475" i="5"/>
  <c r="K475" i="5" s="1"/>
  <c r="C476" i="5"/>
  <c r="K476" i="5" s="1"/>
  <c r="C477" i="5"/>
  <c r="K477" i="5" s="1"/>
  <c r="C478" i="5"/>
  <c r="K478" i="5" s="1"/>
  <c r="C479" i="5"/>
  <c r="K479" i="5" s="1"/>
  <c r="C480" i="5"/>
  <c r="C481" i="5"/>
  <c r="C482" i="5"/>
  <c r="C483" i="5"/>
  <c r="K483" i="5" s="1"/>
  <c r="C484" i="5"/>
  <c r="K484" i="5" s="1"/>
  <c r="C485" i="5"/>
  <c r="C486" i="5"/>
  <c r="K486" i="5" s="1"/>
  <c r="C487" i="5"/>
  <c r="K487" i="5" s="1"/>
  <c r="C488" i="5"/>
  <c r="C489" i="5"/>
  <c r="C490" i="5"/>
  <c r="C491" i="5"/>
  <c r="K491" i="5" s="1"/>
  <c r="C492" i="5"/>
  <c r="K492" i="5" s="1"/>
  <c r="C493" i="5"/>
  <c r="K493" i="5" s="1"/>
  <c r="C494" i="5"/>
  <c r="K494" i="5" s="1"/>
  <c r="C495" i="5"/>
  <c r="K495" i="5" s="1"/>
  <c r="C496" i="5"/>
  <c r="C497" i="5"/>
  <c r="C498" i="5"/>
  <c r="C499" i="5"/>
  <c r="K499" i="5" s="1"/>
  <c r="C500" i="5"/>
  <c r="K500" i="5" s="1"/>
  <c r="C501" i="5"/>
  <c r="K501" i="5" s="1"/>
  <c r="C502" i="5"/>
  <c r="K502" i="5" s="1"/>
  <c r="C503" i="5"/>
  <c r="K503" i="5" s="1"/>
  <c r="C504" i="5"/>
  <c r="C505" i="5"/>
  <c r="C506" i="5"/>
  <c r="C507" i="5"/>
  <c r="K507" i="5" s="1"/>
  <c r="C508" i="5"/>
  <c r="K508" i="5" s="1"/>
  <c r="C509" i="5"/>
  <c r="C510" i="5"/>
  <c r="K510" i="5" s="1"/>
  <c r="C511" i="5"/>
  <c r="K511" i="5" s="1"/>
  <c r="C512" i="5"/>
  <c r="C513" i="5"/>
  <c r="C514" i="5"/>
  <c r="C515" i="5"/>
  <c r="K515" i="5" s="1"/>
  <c r="C516" i="5"/>
  <c r="K516" i="5" s="1"/>
  <c r="C517" i="5"/>
  <c r="K517" i="5" s="1"/>
  <c r="C518" i="5"/>
  <c r="K518" i="5" s="1"/>
  <c r="C519" i="5"/>
  <c r="K519" i="5" s="1"/>
  <c r="C520" i="5"/>
  <c r="C521" i="5"/>
  <c r="C522" i="5"/>
  <c r="C523" i="5"/>
  <c r="K523" i="5" s="1"/>
  <c r="C524" i="5"/>
  <c r="K524" i="5" s="1"/>
  <c r="C525" i="5"/>
  <c r="C526" i="5"/>
  <c r="K526" i="5" s="1"/>
  <c r="C527" i="5"/>
  <c r="K527" i="5" s="1"/>
  <c r="C528" i="5"/>
  <c r="C529" i="5"/>
  <c r="C530" i="5"/>
  <c r="C531" i="5"/>
  <c r="K531" i="5" s="1"/>
  <c r="C532" i="5"/>
  <c r="K532" i="5" s="1"/>
  <c r="C533" i="5"/>
  <c r="C534" i="5"/>
  <c r="K534" i="5" s="1"/>
  <c r="C535" i="5"/>
  <c r="K535" i="5" s="1"/>
  <c r="C536" i="5"/>
  <c r="C537" i="5"/>
  <c r="C538" i="5"/>
  <c r="C539" i="5"/>
  <c r="K539" i="5" s="1"/>
  <c r="C540" i="5"/>
  <c r="K540" i="5" s="1"/>
  <c r="C541" i="5"/>
  <c r="K541" i="5" s="1"/>
  <c r="C542" i="5"/>
  <c r="K542" i="5" s="1"/>
  <c r="C543" i="5"/>
  <c r="K543" i="5" s="1"/>
  <c r="C544" i="5"/>
  <c r="C545" i="5"/>
  <c r="C546" i="5"/>
  <c r="C547" i="5"/>
  <c r="K547" i="5" s="1"/>
  <c r="C548" i="5"/>
  <c r="K548" i="5" s="1"/>
  <c r="C549" i="5"/>
  <c r="K549" i="5" s="1"/>
  <c r="C550" i="5"/>
  <c r="K550" i="5" s="1"/>
  <c r="C551" i="5"/>
  <c r="K551" i="5" s="1"/>
  <c r="C552" i="5"/>
  <c r="C553" i="5"/>
  <c r="C554" i="5"/>
  <c r="C555" i="5"/>
  <c r="K555" i="5" s="1"/>
  <c r="C556" i="5"/>
  <c r="K556" i="5" s="1"/>
  <c r="C557" i="5"/>
  <c r="K557" i="5" s="1"/>
  <c r="C558" i="5"/>
  <c r="K558" i="5" s="1"/>
  <c r="C559" i="5"/>
  <c r="K559" i="5" s="1"/>
  <c r="C560" i="5"/>
  <c r="C561" i="5"/>
  <c r="C562" i="5"/>
  <c r="C563" i="5"/>
  <c r="K563" i="5" s="1"/>
  <c r="C564" i="5"/>
  <c r="K564" i="5" s="1"/>
  <c r="C565" i="5"/>
  <c r="K565" i="5" s="1"/>
  <c r="C566" i="5"/>
  <c r="K566" i="5" s="1"/>
  <c r="C567" i="5"/>
  <c r="K567" i="5" s="1"/>
  <c r="C568" i="5"/>
  <c r="C569" i="5"/>
  <c r="C570" i="5"/>
  <c r="C571" i="5"/>
  <c r="K571" i="5" s="1"/>
  <c r="C572" i="5"/>
  <c r="K572" i="5" s="1"/>
  <c r="C573" i="5"/>
  <c r="K573" i="5" s="1"/>
  <c r="C574" i="5"/>
  <c r="K574" i="5" s="1"/>
  <c r="C575" i="5"/>
  <c r="K575" i="5" s="1"/>
  <c r="C576" i="5"/>
  <c r="C577" i="5"/>
  <c r="C578" i="5"/>
  <c r="C579" i="5"/>
  <c r="K579" i="5" s="1"/>
  <c r="C580" i="5"/>
  <c r="K580" i="5" s="1"/>
  <c r="C581" i="5"/>
  <c r="K581" i="5" s="1"/>
  <c r="C582" i="5"/>
  <c r="K582" i="5" s="1"/>
  <c r="C583" i="5"/>
  <c r="K583" i="5" s="1"/>
  <c r="C584" i="5"/>
  <c r="C585" i="5"/>
  <c r="C586" i="5"/>
  <c r="C587" i="5"/>
  <c r="K587" i="5" s="1"/>
  <c r="C588" i="5"/>
  <c r="K588" i="5" s="1"/>
  <c r="C589" i="5"/>
  <c r="C590" i="5"/>
  <c r="K590" i="5" s="1"/>
  <c r="C591" i="5"/>
  <c r="K591" i="5" s="1"/>
  <c r="C592" i="5"/>
  <c r="C593" i="5"/>
  <c r="C594" i="5"/>
  <c r="C595" i="5"/>
  <c r="K595" i="5" s="1"/>
  <c r="C596" i="5"/>
  <c r="K596" i="5" s="1"/>
  <c r="C597" i="5"/>
  <c r="C598" i="5"/>
  <c r="K598" i="5" s="1"/>
  <c r="C599" i="5"/>
  <c r="K599" i="5" s="1"/>
  <c r="C600" i="5"/>
  <c r="C601" i="5"/>
  <c r="C602" i="5"/>
  <c r="C603" i="5"/>
  <c r="K603" i="5" s="1"/>
  <c r="C604" i="5"/>
  <c r="K604" i="5" s="1"/>
  <c r="C605" i="5"/>
  <c r="K605" i="5" s="1"/>
  <c r="C606" i="5"/>
  <c r="K606" i="5" s="1"/>
  <c r="C607" i="5"/>
  <c r="K607" i="5" s="1"/>
  <c r="C608" i="5"/>
  <c r="C609" i="5"/>
  <c r="C610" i="5"/>
  <c r="C611" i="5"/>
  <c r="K611" i="5" s="1"/>
  <c r="C612" i="5"/>
  <c r="K612" i="5" s="1"/>
  <c r="C613" i="5"/>
  <c r="C614" i="5"/>
  <c r="K614" i="5" s="1"/>
  <c r="C615" i="5"/>
  <c r="K615" i="5" s="1"/>
  <c r="C616" i="5"/>
  <c r="C617" i="5"/>
  <c r="C618" i="5"/>
  <c r="C619" i="5"/>
  <c r="K619" i="5" s="1"/>
  <c r="C620" i="5"/>
  <c r="K620" i="5" s="1"/>
  <c r="C621" i="5"/>
  <c r="K621" i="5" s="1"/>
  <c r="C622" i="5"/>
  <c r="K622" i="5" s="1"/>
  <c r="C623" i="5"/>
  <c r="K623" i="5" s="1"/>
  <c r="C624" i="5"/>
  <c r="C625" i="5"/>
  <c r="C626" i="5"/>
  <c r="C627" i="5"/>
  <c r="K627" i="5" s="1"/>
  <c r="C628" i="5"/>
  <c r="K628" i="5" s="1"/>
  <c r="C629" i="5"/>
  <c r="K629" i="5" s="1"/>
  <c r="C630" i="5"/>
  <c r="K630" i="5" s="1"/>
  <c r="C631" i="5"/>
  <c r="K631" i="5" s="1"/>
  <c r="C632" i="5"/>
  <c r="C633" i="5"/>
  <c r="C634" i="5"/>
  <c r="C635" i="5"/>
  <c r="K635" i="5" s="1"/>
  <c r="C636" i="5"/>
  <c r="K636" i="5" s="1"/>
  <c r="C637" i="5"/>
  <c r="K637" i="5" s="1"/>
  <c r="C638" i="5"/>
  <c r="K638" i="5" s="1"/>
  <c r="C639" i="5"/>
  <c r="K639" i="5" s="1"/>
  <c r="C640" i="5"/>
  <c r="C641" i="5"/>
  <c r="C642" i="5"/>
  <c r="C643" i="5"/>
  <c r="K643" i="5" s="1"/>
  <c r="C644" i="5"/>
  <c r="K644" i="5" s="1"/>
  <c r="C645" i="5"/>
  <c r="C646" i="5"/>
  <c r="K646" i="5" s="1"/>
  <c r="C647" i="5"/>
  <c r="K647" i="5" s="1"/>
  <c r="C648" i="5"/>
  <c r="C649" i="5"/>
  <c r="C650" i="5"/>
  <c r="C651" i="5"/>
  <c r="K651" i="5" s="1"/>
  <c r="C652" i="5"/>
  <c r="K652" i="5" s="1"/>
  <c r="C653" i="5"/>
  <c r="C654" i="5"/>
  <c r="K654" i="5" s="1"/>
  <c r="C655" i="5"/>
  <c r="K655" i="5" s="1"/>
  <c r="C656" i="5"/>
  <c r="C657" i="5"/>
  <c r="C658" i="5"/>
  <c r="C659" i="5"/>
  <c r="K659" i="5" s="1"/>
  <c r="C660" i="5"/>
  <c r="K660" i="5" s="1"/>
  <c r="C661" i="5"/>
  <c r="C662" i="5"/>
  <c r="K662" i="5" s="1"/>
  <c r="C663" i="5"/>
  <c r="K663" i="5" s="1"/>
  <c r="C664" i="5"/>
  <c r="C665" i="5"/>
  <c r="C666" i="5"/>
  <c r="C667" i="5"/>
  <c r="K667" i="5" s="1"/>
  <c r="C668" i="5"/>
  <c r="K668" i="5" s="1"/>
  <c r="C669" i="5"/>
  <c r="K669" i="5" s="1"/>
  <c r="C670" i="5"/>
  <c r="K670" i="5" s="1"/>
  <c r="C671" i="5"/>
  <c r="K671" i="5" s="1"/>
  <c r="C672" i="5"/>
  <c r="C673" i="5"/>
  <c r="C674" i="5"/>
  <c r="C675" i="5"/>
  <c r="K675" i="5" s="1"/>
  <c r="C676" i="5"/>
  <c r="K676" i="5" s="1"/>
  <c r="C677" i="5"/>
  <c r="K677" i="5" s="1"/>
  <c r="C678" i="5"/>
  <c r="K678" i="5" s="1"/>
  <c r="C679" i="5"/>
  <c r="K679" i="5" s="1"/>
  <c r="C680" i="5"/>
  <c r="C681" i="5"/>
  <c r="C682" i="5"/>
  <c r="C683" i="5"/>
  <c r="K683" i="5" s="1"/>
  <c r="C684" i="5"/>
  <c r="K684" i="5" s="1"/>
  <c r="C685" i="5"/>
  <c r="C686" i="5"/>
  <c r="K686" i="5" s="1"/>
  <c r="C687" i="5"/>
  <c r="K687" i="5" s="1"/>
  <c r="C688" i="5"/>
  <c r="C689" i="5"/>
  <c r="C690" i="5"/>
  <c r="C691" i="5"/>
  <c r="K691" i="5" s="1"/>
  <c r="C692" i="5"/>
  <c r="K692" i="5" s="1"/>
  <c r="C693" i="5"/>
  <c r="K693" i="5" s="1"/>
  <c r="C694" i="5"/>
  <c r="K694" i="5" s="1"/>
  <c r="C695" i="5"/>
  <c r="K695" i="5" s="1"/>
  <c r="C696" i="5"/>
  <c r="C697" i="5"/>
  <c r="C698" i="5"/>
  <c r="C699" i="5"/>
  <c r="K699" i="5" s="1"/>
  <c r="C700" i="5"/>
  <c r="K700" i="5" s="1"/>
  <c r="C701" i="5"/>
  <c r="C702" i="5"/>
  <c r="K702" i="5" s="1"/>
  <c r="C703" i="5"/>
  <c r="K703" i="5" s="1"/>
  <c r="C704" i="5"/>
  <c r="C705" i="5"/>
  <c r="C706" i="5"/>
  <c r="C707" i="5"/>
  <c r="K707" i="5" s="1"/>
  <c r="C708" i="5"/>
  <c r="K708" i="5" s="1"/>
  <c r="C709" i="5"/>
  <c r="C710" i="5"/>
  <c r="K710" i="5" s="1"/>
  <c r="C711" i="5"/>
  <c r="K711" i="5" s="1"/>
  <c r="C712" i="5"/>
  <c r="C713" i="5"/>
  <c r="C714" i="5"/>
  <c r="C715" i="5"/>
  <c r="K715" i="5" s="1"/>
  <c r="C716" i="5"/>
  <c r="K716" i="5" s="1"/>
  <c r="C717" i="5"/>
  <c r="K717" i="5" s="1"/>
  <c r="C718" i="5"/>
  <c r="K718" i="5" s="1"/>
  <c r="C719" i="5"/>
  <c r="K719" i="5" s="1"/>
  <c r="C720" i="5"/>
  <c r="C721" i="5"/>
  <c r="C722" i="5"/>
  <c r="C723" i="5"/>
  <c r="K723" i="5" s="1"/>
  <c r="C724" i="5"/>
  <c r="K724" i="5" s="1"/>
  <c r="C725" i="5"/>
  <c r="K725" i="5" s="1"/>
  <c r="C726" i="5"/>
  <c r="K726" i="5" s="1"/>
  <c r="C727" i="5"/>
  <c r="K727" i="5" s="1"/>
  <c r="C728" i="5"/>
  <c r="C729" i="5"/>
  <c r="C730" i="5"/>
  <c r="C731" i="5"/>
  <c r="K731" i="5" s="1"/>
  <c r="C732" i="5"/>
  <c r="K732" i="5" s="1"/>
  <c r="C733" i="5"/>
  <c r="K733" i="5" s="1"/>
  <c r="C734" i="5"/>
  <c r="K734" i="5" s="1"/>
  <c r="C735" i="5"/>
  <c r="K735" i="5" s="1"/>
  <c r="C736" i="5"/>
  <c r="C737" i="5"/>
  <c r="C738" i="5"/>
  <c r="C739" i="5"/>
  <c r="K739" i="5" s="1"/>
  <c r="C740" i="5"/>
  <c r="K740" i="5" s="1"/>
  <c r="C741" i="5"/>
  <c r="C742" i="5"/>
  <c r="K742" i="5" s="1"/>
  <c r="C743" i="5"/>
  <c r="K743" i="5" s="1"/>
  <c r="C744" i="5"/>
  <c r="C745" i="5"/>
  <c r="C746" i="5"/>
  <c r="C747" i="5"/>
  <c r="K747" i="5" s="1"/>
  <c r="C748" i="5"/>
  <c r="K748" i="5" s="1"/>
  <c r="C749" i="5"/>
  <c r="C750" i="5"/>
  <c r="K750" i="5" s="1"/>
  <c r="C751" i="5"/>
  <c r="K751" i="5" s="1"/>
  <c r="C752" i="5"/>
  <c r="C753" i="5"/>
  <c r="C754" i="5"/>
  <c r="C755" i="5"/>
  <c r="K755" i="5" s="1"/>
  <c r="C756" i="5"/>
  <c r="K756" i="5" s="1"/>
  <c r="C757" i="5"/>
  <c r="C758" i="5"/>
  <c r="K758" i="5" s="1"/>
  <c r="C759" i="5"/>
  <c r="K759" i="5" s="1"/>
  <c r="C760" i="5"/>
  <c r="C761" i="5"/>
  <c r="C762" i="5"/>
  <c r="C763" i="5"/>
  <c r="K763" i="5" s="1"/>
  <c r="C764" i="5"/>
  <c r="K764" i="5" s="1"/>
  <c r="C765" i="5"/>
  <c r="K765" i="5" s="1"/>
  <c r="C766" i="5"/>
  <c r="K766" i="5" s="1"/>
  <c r="C767" i="5"/>
  <c r="K767" i="5" s="1"/>
  <c r="C768" i="5"/>
  <c r="C769" i="5"/>
  <c r="C770" i="5"/>
  <c r="C771" i="5"/>
  <c r="K771" i="5" s="1"/>
  <c r="C772" i="5"/>
  <c r="K772" i="5" s="1"/>
  <c r="C773" i="5"/>
  <c r="K773" i="5" s="1"/>
  <c r="C774" i="5"/>
  <c r="K774" i="5" s="1"/>
  <c r="C775" i="5"/>
  <c r="K775" i="5" s="1"/>
  <c r="C776" i="5"/>
  <c r="C777" i="5"/>
  <c r="C778" i="5"/>
  <c r="C779" i="5"/>
  <c r="K779" i="5" s="1"/>
  <c r="C780" i="5"/>
  <c r="K780" i="5" s="1"/>
  <c r="C781" i="5"/>
  <c r="K781" i="5" s="1"/>
  <c r="C782" i="5"/>
  <c r="K782" i="5" s="1"/>
  <c r="C783" i="5"/>
  <c r="K783" i="5" s="1"/>
  <c r="C784" i="5"/>
  <c r="C785" i="5"/>
  <c r="C786" i="5"/>
  <c r="C787" i="5"/>
  <c r="K787" i="5" s="1"/>
  <c r="C788" i="5"/>
  <c r="K788" i="5" s="1"/>
  <c r="C789" i="5"/>
  <c r="K789" i="5" s="1"/>
  <c r="C790" i="5"/>
  <c r="K790" i="5" s="1"/>
  <c r="C791" i="5"/>
  <c r="K791" i="5" s="1"/>
  <c r="C792" i="5"/>
  <c r="C793" i="5"/>
  <c r="C794" i="5"/>
  <c r="C795" i="5"/>
  <c r="K795" i="5" s="1"/>
  <c r="C796" i="5"/>
  <c r="K796" i="5" s="1"/>
  <c r="C797" i="5"/>
  <c r="K797" i="5" s="1"/>
  <c r="C798" i="5"/>
  <c r="K798" i="5" s="1"/>
  <c r="C799" i="5"/>
  <c r="K799" i="5" s="1"/>
  <c r="C800" i="5"/>
  <c r="C801" i="5"/>
  <c r="C802" i="5"/>
  <c r="C803" i="5"/>
  <c r="K803" i="5" s="1"/>
  <c r="C804" i="5"/>
  <c r="K804" i="5" s="1"/>
  <c r="C805" i="5"/>
  <c r="C806" i="5"/>
  <c r="K806" i="5" s="1"/>
  <c r="C807" i="5"/>
  <c r="K807" i="5" s="1"/>
  <c r="C808" i="5"/>
  <c r="C809" i="5"/>
  <c r="C810" i="5"/>
  <c r="C811" i="5"/>
  <c r="K811" i="5" s="1"/>
  <c r="C812" i="5"/>
  <c r="K812" i="5" s="1"/>
  <c r="C813" i="5"/>
  <c r="C814" i="5"/>
  <c r="K814" i="5" s="1"/>
  <c r="C815" i="5"/>
  <c r="K815" i="5" s="1"/>
  <c r="C816" i="5"/>
  <c r="C817" i="5"/>
  <c r="C818" i="5"/>
  <c r="C819" i="5"/>
  <c r="K819" i="5" s="1"/>
  <c r="C820" i="5"/>
  <c r="K820" i="5" s="1"/>
  <c r="C821" i="5"/>
  <c r="C822" i="5"/>
  <c r="K822" i="5" s="1"/>
  <c r="C823" i="5"/>
  <c r="K823" i="5" s="1"/>
  <c r="C824" i="5"/>
  <c r="C825" i="5"/>
  <c r="C826" i="5"/>
  <c r="C827" i="5"/>
  <c r="K827" i="5" s="1"/>
  <c r="C828" i="5"/>
  <c r="K828" i="5" s="1"/>
  <c r="C829" i="5"/>
  <c r="K829" i="5" s="1"/>
  <c r="C830" i="5"/>
  <c r="K830" i="5" s="1"/>
  <c r="C831" i="5"/>
  <c r="K831" i="5" s="1"/>
  <c r="C832" i="5"/>
  <c r="C833" i="5"/>
  <c r="C834" i="5"/>
  <c r="C835" i="5"/>
  <c r="K835" i="5" s="1"/>
  <c r="C836" i="5"/>
  <c r="K836" i="5" s="1"/>
  <c r="C837" i="5"/>
  <c r="C838" i="5"/>
  <c r="K838" i="5" s="1"/>
  <c r="C839" i="5"/>
  <c r="K839" i="5" s="1"/>
  <c r="C840" i="5"/>
  <c r="C841" i="5"/>
  <c r="C842" i="5"/>
  <c r="C843" i="5"/>
  <c r="K843" i="5" s="1"/>
  <c r="C844" i="5"/>
  <c r="K844" i="5" s="1"/>
  <c r="C845" i="5"/>
  <c r="K845" i="5" s="1"/>
  <c r="C846" i="5"/>
  <c r="K846" i="5" s="1"/>
  <c r="C847" i="5"/>
  <c r="K847" i="5" s="1"/>
  <c r="C848" i="5"/>
  <c r="C849" i="5"/>
  <c r="C850" i="5"/>
  <c r="C851" i="5"/>
  <c r="K851" i="5" s="1"/>
  <c r="C852" i="5"/>
  <c r="K852" i="5" s="1"/>
  <c r="C853" i="5"/>
  <c r="K853" i="5" s="1"/>
  <c r="C854" i="5"/>
  <c r="K854" i="5" s="1"/>
  <c r="C855" i="5"/>
  <c r="K855" i="5" s="1"/>
  <c r="C856" i="5"/>
  <c r="C857" i="5"/>
  <c r="C858" i="5"/>
  <c r="C859" i="5"/>
  <c r="K859" i="5" s="1"/>
  <c r="C860" i="5"/>
  <c r="K860" i="5" s="1"/>
  <c r="C861" i="5"/>
  <c r="K861" i="5" s="1"/>
  <c r="C862" i="5"/>
  <c r="K862" i="5" s="1"/>
  <c r="C863" i="5"/>
  <c r="K863" i="5" s="1"/>
  <c r="C864" i="5"/>
  <c r="C865" i="5"/>
  <c r="C866" i="5"/>
  <c r="C867" i="5"/>
  <c r="K867" i="5" s="1"/>
  <c r="C868" i="5"/>
  <c r="K868" i="5" s="1"/>
  <c r="C869" i="5"/>
  <c r="C870" i="5"/>
  <c r="K870" i="5" s="1"/>
  <c r="C871" i="5"/>
  <c r="K871" i="5" s="1"/>
  <c r="C872" i="5"/>
  <c r="C873" i="5"/>
  <c r="C874" i="5"/>
  <c r="C875" i="5"/>
  <c r="K875" i="5" s="1"/>
  <c r="C876" i="5"/>
  <c r="K876" i="5" s="1"/>
  <c r="C877" i="5"/>
  <c r="C878" i="5"/>
  <c r="K878" i="5" s="1"/>
  <c r="C879" i="5"/>
  <c r="K879" i="5" s="1"/>
  <c r="C880" i="5"/>
  <c r="C881" i="5"/>
  <c r="C882" i="5"/>
  <c r="C883" i="5"/>
  <c r="K883" i="5" s="1"/>
  <c r="C884" i="5"/>
  <c r="K884" i="5" s="1"/>
  <c r="C885" i="5"/>
  <c r="K885" i="5" s="1"/>
  <c r="C886" i="5"/>
  <c r="K886" i="5" s="1"/>
  <c r="C887" i="5"/>
  <c r="K887" i="5" s="1"/>
  <c r="C888" i="5"/>
  <c r="C889" i="5"/>
  <c r="C890" i="5"/>
  <c r="C891" i="5"/>
  <c r="K891" i="5" s="1"/>
  <c r="C892" i="5"/>
  <c r="K892" i="5" s="1"/>
  <c r="C893" i="5"/>
  <c r="C894" i="5"/>
  <c r="K894" i="5" s="1"/>
  <c r="C895" i="5"/>
  <c r="K895" i="5" s="1"/>
  <c r="C896" i="5"/>
  <c r="C897" i="5"/>
  <c r="C898" i="5"/>
  <c r="C899" i="5"/>
  <c r="K899" i="5" s="1"/>
  <c r="C900" i="5"/>
  <c r="K900" i="5" s="1"/>
  <c r="C901" i="5"/>
  <c r="K901" i="5" s="1"/>
  <c r="C902" i="5"/>
  <c r="K902" i="5" s="1"/>
  <c r="C903" i="5"/>
  <c r="K903" i="5" s="1"/>
  <c r="C904" i="5"/>
  <c r="C905" i="5"/>
  <c r="C906" i="5"/>
  <c r="C907" i="5"/>
  <c r="K907" i="5" s="1"/>
  <c r="C908" i="5"/>
  <c r="K908" i="5" s="1"/>
  <c r="C909" i="5"/>
  <c r="K909" i="5" s="1"/>
  <c r="C910" i="5"/>
  <c r="K910" i="5" s="1"/>
  <c r="C911" i="5"/>
  <c r="K911" i="5" s="1"/>
  <c r="C912" i="5"/>
  <c r="C913" i="5"/>
  <c r="C914" i="5"/>
  <c r="C915" i="5"/>
  <c r="K915" i="5" s="1"/>
  <c r="C916" i="5"/>
  <c r="K916" i="5" s="1"/>
  <c r="C917" i="5"/>
  <c r="C918" i="5"/>
  <c r="K918" i="5" s="1"/>
  <c r="C919" i="5"/>
  <c r="K919" i="5" s="1"/>
  <c r="C920" i="5"/>
  <c r="C921" i="5"/>
  <c r="C922" i="5"/>
  <c r="C923" i="5"/>
  <c r="K923" i="5" s="1"/>
  <c r="C924" i="5"/>
  <c r="K924" i="5" s="1"/>
  <c r="C925" i="5"/>
  <c r="K925" i="5" s="1"/>
  <c r="C926" i="5"/>
  <c r="K926" i="5" s="1"/>
  <c r="C927" i="5"/>
  <c r="K927" i="5" s="1"/>
  <c r="C928" i="5"/>
  <c r="C929" i="5"/>
  <c r="C930" i="5"/>
  <c r="C931" i="5"/>
  <c r="K931" i="5" s="1"/>
  <c r="C932" i="5"/>
  <c r="K932" i="5" s="1"/>
  <c r="C933" i="5"/>
  <c r="C934" i="5"/>
  <c r="K934" i="5" s="1"/>
  <c r="C935" i="5"/>
  <c r="K935" i="5" s="1"/>
  <c r="C936" i="5"/>
  <c r="C937" i="5"/>
  <c r="C938" i="5"/>
  <c r="C939" i="5"/>
  <c r="K939" i="5" s="1"/>
  <c r="C940" i="5"/>
  <c r="K940" i="5" s="1"/>
  <c r="C941" i="5"/>
  <c r="C942" i="5"/>
  <c r="K942" i="5" s="1"/>
  <c r="C943" i="5"/>
  <c r="K943" i="5" s="1"/>
  <c r="C944" i="5"/>
  <c r="C945" i="5"/>
  <c r="C946" i="5"/>
  <c r="C947" i="5"/>
  <c r="K947" i="5" s="1"/>
  <c r="C948" i="5"/>
  <c r="K948" i="5" s="1"/>
  <c r="C949" i="5"/>
  <c r="K949" i="5" s="1"/>
  <c r="C950" i="5"/>
  <c r="K950" i="5" s="1"/>
  <c r="C951" i="5"/>
  <c r="K951" i="5" s="1"/>
  <c r="C952" i="5"/>
  <c r="C953" i="5"/>
  <c r="C954" i="5"/>
  <c r="C955" i="5"/>
  <c r="K955" i="5" s="1"/>
  <c r="C956" i="5"/>
  <c r="K956" i="5" s="1"/>
  <c r="C957" i="5"/>
  <c r="K957" i="5" s="1"/>
  <c r="C958" i="5"/>
  <c r="K958" i="5" s="1"/>
  <c r="C959" i="5"/>
  <c r="K959" i="5" s="1"/>
  <c r="C960" i="5"/>
  <c r="C961" i="5"/>
  <c r="C962" i="5"/>
  <c r="C963" i="5"/>
  <c r="K963" i="5" s="1"/>
  <c r="C964" i="5"/>
  <c r="K964" i="5" s="1"/>
  <c r="C965" i="5"/>
  <c r="C966" i="5"/>
  <c r="K966" i="5" s="1"/>
  <c r="C967" i="5"/>
  <c r="K967" i="5" s="1"/>
  <c r="C968" i="5"/>
  <c r="C969" i="5"/>
  <c r="C970" i="5"/>
  <c r="C971" i="5"/>
  <c r="K971" i="5" s="1"/>
  <c r="C972" i="5"/>
  <c r="K972" i="5" s="1"/>
  <c r="C973" i="5"/>
  <c r="K973" i="5" s="1"/>
  <c r="C974" i="5"/>
  <c r="K974" i="5" s="1"/>
  <c r="C975" i="5"/>
  <c r="K975" i="5" s="1"/>
  <c r="C976" i="5"/>
  <c r="C977" i="5"/>
  <c r="C978" i="5"/>
  <c r="C979" i="5"/>
  <c r="K979" i="5" s="1"/>
  <c r="C980" i="5"/>
  <c r="K980" i="5" s="1"/>
  <c r="C981" i="5"/>
  <c r="C982" i="5"/>
  <c r="K982" i="5" s="1"/>
  <c r="C983" i="5"/>
  <c r="K983" i="5" s="1"/>
  <c r="C984" i="5"/>
  <c r="C985" i="5"/>
  <c r="C986" i="5"/>
  <c r="C987" i="5"/>
  <c r="K987" i="5" s="1"/>
  <c r="C988" i="5"/>
  <c r="K988" i="5" s="1"/>
  <c r="C989" i="5"/>
  <c r="K989" i="5" s="1"/>
  <c r="C990" i="5"/>
  <c r="K990" i="5" s="1"/>
  <c r="C991" i="5"/>
  <c r="K991" i="5" s="1"/>
  <c r="C992" i="5"/>
  <c r="C993" i="5"/>
  <c r="C994" i="5"/>
  <c r="C995" i="5"/>
  <c r="K995" i="5" s="1"/>
  <c r="C996" i="5"/>
  <c r="K996" i="5" s="1"/>
  <c r="C997" i="5"/>
  <c r="C998" i="5"/>
  <c r="K998" i="5" s="1"/>
  <c r="C999" i="5"/>
  <c r="K999" i="5" s="1"/>
  <c r="C1000" i="5"/>
  <c r="C1001" i="5"/>
  <c r="C1002" i="5"/>
  <c r="C1003" i="5"/>
  <c r="K1003" i="5" s="1"/>
  <c r="C1004" i="5"/>
  <c r="K1004" i="5" s="1"/>
  <c r="C4" i="5"/>
  <c r="C5" i="5"/>
  <c r="C6" i="5"/>
  <c r="C7" i="5"/>
  <c r="C8" i="5"/>
  <c r="C9" i="5"/>
  <c r="C10" i="5"/>
  <c r="C3" i="5"/>
  <c r="E997" i="5" l="1"/>
  <c r="I997" i="5" s="1"/>
  <c r="J997" i="5" s="1"/>
  <c r="S997" i="5"/>
  <c r="R997" i="5"/>
  <c r="Q997" i="5"/>
  <c r="P997" i="5"/>
  <c r="O997" i="5"/>
  <c r="N997" i="5"/>
  <c r="M997" i="5"/>
  <c r="L997" i="5"/>
  <c r="E933" i="5"/>
  <c r="I933" i="5" s="1"/>
  <c r="J933" i="5" s="1"/>
  <c r="S933" i="5"/>
  <c r="R933" i="5"/>
  <c r="Q933" i="5"/>
  <c r="P933" i="5"/>
  <c r="O933" i="5"/>
  <c r="N933" i="5"/>
  <c r="M933" i="5"/>
  <c r="L933" i="5"/>
  <c r="E877" i="5"/>
  <c r="I877" i="5" s="1"/>
  <c r="J877" i="5" s="1"/>
  <c r="S877" i="5"/>
  <c r="R877" i="5"/>
  <c r="Q877" i="5"/>
  <c r="P877" i="5"/>
  <c r="O877" i="5"/>
  <c r="N877" i="5"/>
  <c r="M877" i="5"/>
  <c r="L877" i="5"/>
  <c r="E821" i="5"/>
  <c r="I821" i="5" s="1"/>
  <c r="J821" i="5" s="1"/>
  <c r="S821" i="5"/>
  <c r="R821" i="5"/>
  <c r="Q821" i="5"/>
  <c r="P821" i="5"/>
  <c r="O821" i="5"/>
  <c r="N821" i="5"/>
  <c r="M821" i="5"/>
  <c r="L821" i="5"/>
  <c r="E757" i="5"/>
  <c r="I757" i="5" s="1"/>
  <c r="J757" i="5" s="1"/>
  <c r="S757" i="5"/>
  <c r="R757" i="5"/>
  <c r="Q757" i="5"/>
  <c r="P757" i="5"/>
  <c r="O757" i="5"/>
  <c r="N757" i="5"/>
  <c r="M757" i="5"/>
  <c r="L757" i="5"/>
  <c r="E709" i="5"/>
  <c r="I709" i="5" s="1"/>
  <c r="J709" i="5" s="1"/>
  <c r="S709" i="5"/>
  <c r="R709" i="5"/>
  <c r="Q709" i="5"/>
  <c r="P709" i="5"/>
  <c r="O709" i="5"/>
  <c r="N709" i="5"/>
  <c r="M709" i="5"/>
  <c r="L709" i="5"/>
  <c r="E645" i="5"/>
  <c r="I645" i="5" s="1"/>
  <c r="J645" i="5" s="1"/>
  <c r="S645" i="5"/>
  <c r="R645" i="5"/>
  <c r="Q645" i="5"/>
  <c r="P645" i="5"/>
  <c r="N645" i="5"/>
  <c r="O645" i="5"/>
  <c r="M645" i="5"/>
  <c r="L645" i="5"/>
  <c r="E597" i="5"/>
  <c r="I597" i="5" s="1"/>
  <c r="J597" i="5" s="1"/>
  <c r="S597" i="5"/>
  <c r="R597" i="5"/>
  <c r="Q597" i="5"/>
  <c r="P597" i="5"/>
  <c r="N597" i="5"/>
  <c r="O597" i="5"/>
  <c r="M597" i="5"/>
  <c r="L597" i="5"/>
  <c r="E533" i="5"/>
  <c r="I533" i="5" s="1"/>
  <c r="J533" i="5" s="1"/>
  <c r="S533" i="5"/>
  <c r="R533" i="5"/>
  <c r="Q533" i="5"/>
  <c r="P533" i="5"/>
  <c r="N533" i="5"/>
  <c r="O533" i="5"/>
  <c r="M533" i="5"/>
  <c r="L533" i="5"/>
  <c r="E445" i="5"/>
  <c r="I445" i="5" s="1"/>
  <c r="J445" i="5" s="1"/>
  <c r="S445" i="5"/>
  <c r="R445" i="5"/>
  <c r="Q445" i="5"/>
  <c r="P445" i="5"/>
  <c r="N445" i="5"/>
  <c r="O445" i="5"/>
  <c r="M445" i="5"/>
  <c r="L445" i="5"/>
  <c r="E373" i="5"/>
  <c r="I373" i="5" s="1"/>
  <c r="J373" i="5" s="1"/>
  <c r="S373" i="5"/>
  <c r="R373" i="5"/>
  <c r="Q373" i="5"/>
  <c r="P373" i="5"/>
  <c r="N373" i="5"/>
  <c r="O373" i="5"/>
  <c r="M373" i="5"/>
  <c r="L373" i="5"/>
  <c r="K373" i="5"/>
  <c r="E301" i="5"/>
  <c r="I301" i="5" s="1"/>
  <c r="J301" i="5" s="1"/>
  <c r="S301" i="5"/>
  <c r="R301" i="5"/>
  <c r="Q301" i="5"/>
  <c r="P301" i="5"/>
  <c r="O301" i="5"/>
  <c r="N301" i="5"/>
  <c r="M301" i="5"/>
  <c r="L301" i="5"/>
  <c r="K301" i="5"/>
  <c r="E253" i="5"/>
  <c r="I253" i="5" s="1"/>
  <c r="J253" i="5" s="1"/>
  <c r="S253" i="5"/>
  <c r="R253" i="5"/>
  <c r="Q253" i="5"/>
  <c r="P253" i="5"/>
  <c r="O253" i="5"/>
  <c r="N253" i="5"/>
  <c r="M253" i="5"/>
  <c r="L253" i="5"/>
  <c r="K253" i="5"/>
  <c r="E213" i="5"/>
  <c r="I213" i="5" s="1"/>
  <c r="J213" i="5" s="1"/>
  <c r="S213" i="5"/>
  <c r="R213" i="5"/>
  <c r="Q213" i="5"/>
  <c r="P213" i="5"/>
  <c r="O213" i="5"/>
  <c r="N213" i="5"/>
  <c r="M213" i="5"/>
  <c r="L213" i="5"/>
  <c r="K213" i="5"/>
  <c r="E181" i="5"/>
  <c r="I181" i="5" s="1"/>
  <c r="J181" i="5" s="1"/>
  <c r="S181" i="5"/>
  <c r="R181" i="5"/>
  <c r="Q181" i="5"/>
  <c r="P181" i="5"/>
  <c r="O181" i="5"/>
  <c r="N181" i="5"/>
  <c r="M181" i="5"/>
  <c r="K181" i="5"/>
  <c r="L181" i="5"/>
  <c r="E101" i="5"/>
  <c r="I101" i="5" s="1"/>
  <c r="J101" i="5" s="1"/>
  <c r="S101" i="5"/>
  <c r="R101" i="5"/>
  <c r="Q101" i="5"/>
  <c r="P101" i="5"/>
  <c r="O101" i="5"/>
  <c r="N101" i="5"/>
  <c r="M101" i="5"/>
  <c r="K101" i="5"/>
  <c r="L101" i="5"/>
  <c r="E45" i="5"/>
  <c r="I45" i="5" s="1"/>
  <c r="J45" i="5" s="1"/>
  <c r="S45" i="5"/>
  <c r="R45" i="5"/>
  <c r="Q45" i="5"/>
  <c r="P45" i="5"/>
  <c r="O45" i="5"/>
  <c r="N45" i="5"/>
  <c r="M45" i="5"/>
  <c r="L45" i="5"/>
  <c r="K45" i="5"/>
  <c r="E9" i="5"/>
  <c r="I9" i="5" s="1"/>
  <c r="J9" i="5" s="1"/>
  <c r="R9" i="5"/>
  <c r="S9" i="5"/>
  <c r="Q9" i="5"/>
  <c r="P9" i="5"/>
  <c r="O9" i="5"/>
  <c r="N9" i="5"/>
  <c r="L9" i="5"/>
  <c r="M9" i="5"/>
  <c r="K9" i="5"/>
  <c r="E978" i="5"/>
  <c r="I978" i="5" s="1"/>
  <c r="J978" i="5" s="1"/>
  <c r="S978" i="5"/>
  <c r="R978" i="5"/>
  <c r="Q978" i="5"/>
  <c r="P978" i="5"/>
  <c r="O978" i="5"/>
  <c r="M978" i="5"/>
  <c r="N978" i="5"/>
  <c r="L978" i="5"/>
  <c r="E970" i="5"/>
  <c r="I970" i="5" s="1"/>
  <c r="J970" i="5" s="1"/>
  <c r="S970" i="5"/>
  <c r="R970" i="5"/>
  <c r="Q970" i="5"/>
  <c r="P970" i="5"/>
  <c r="O970" i="5"/>
  <c r="M970" i="5"/>
  <c r="N970" i="5"/>
  <c r="L970" i="5"/>
  <c r="E962" i="5"/>
  <c r="I962" i="5" s="1"/>
  <c r="J962" i="5" s="1"/>
  <c r="S962" i="5"/>
  <c r="R962" i="5"/>
  <c r="Q962" i="5"/>
  <c r="P962" i="5"/>
  <c r="O962" i="5"/>
  <c r="M962" i="5"/>
  <c r="N962" i="5"/>
  <c r="L962" i="5"/>
  <c r="E954" i="5"/>
  <c r="I954" i="5" s="1"/>
  <c r="J954" i="5" s="1"/>
  <c r="S954" i="5"/>
  <c r="R954" i="5"/>
  <c r="Q954" i="5"/>
  <c r="P954" i="5"/>
  <c r="O954" i="5"/>
  <c r="M954" i="5"/>
  <c r="N954" i="5"/>
  <c r="L954" i="5"/>
  <c r="E946" i="5"/>
  <c r="I946" i="5" s="1"/>
  <c r="J946" i="5" s="1"/>
  <c r="S946" i="5"/>
  <c r="R946" i="5"/>
  <c r="Q946" i="5"/>
  <c r="P946" i="5"/>
  <c r="O946" i="5"/>
  <c r="M946" i="5"/>
  <c r="N946" i="5"/>
  <c r="L946" i="5"/>
  <c r="E938" i="5"/>
  <c r="I938" i="5" s="1"/>
  <c r="J938" i="5" s="1"/>
  <c r="S938" i="5"/>
  <c r="R938" i="5"/>
  <c r="Q938" i="5"/>
  <c r="P938" i="5"/>
  <c r="O938" i="5"/>
  <c r="M938" i="5"/>
  <c r="N938" i="5"/>
  <c r="L938" i="5"/>
  <c r="E930" i="5"/>
  <c r="I930" i="5" s="1"/>
  <c r="J930" i="5" s="1"/>
  <c r="S930" i="5"/>
  <c r="R930" i="5"/>
  <c r="Q930" i="5"/>
  <c r="P930" i="5"/>
  <c r="O930" i="5"/>
  <c r="M930" i="5"/>
  <c r="N930" i="5"/>
  <c r="L930" i="5"/>
  <c r="E922" i="5"/>
  <c r="I922" i="5" s="1"/>
  <c r="J922" i="5" s="1"/>
  <c r="S922" i="5"/>
  <c r="R922" i="5"/>
  <c r="Q922" i="5"/>
  <c r="P922" i="5"/>
  <c r="O922" i="5"/>
  <c r="M922" i="5"/>
  <c r="N922" i="5"/>
  <c r="L922" i="5"/>
  <c r="E914" i="5"/>
  <c r="I914" i="5" s="1"/>
  <c r="J914" i="5" s="1"/>
  <c r="S914" i="5"/>
  <c r="R914" i="5"/>
  <c r="Q914" i="5"/>
  <c r="P914" i="5"/>
  <c r="O914" i="5"/>
  <c r="M914" i="5"/>
  <c r="N914" i="5"/>
  <c r="L914" i="5"/>
  <c r="E906" i="5"/>
  <c r="I906" i="5" s="1"/>
  <c r="J906" i="5" s="1"/>
  <c r="S906" i="5"/>
  <c r="R906" i="5"/>
  <c r="Q906" i="5"/>
  <c r="P906" i="5"/>
  <c r="O906" i="5"/>
  <c r="M906" i="5"/>
  <c r="N906" i="5"/>
  <c r="L906" i="5"/>
  <c r="E898" i="5"/>
  <c r="I898" i="5" s="1"/>
  <c r="J898" i="5" s="1"/>
  <c r="S898" i="5"/>
  <c r="R898" i="5"/>
  <c r="Q898" i="5"/>
  <c r="P898" i="5"/>
  <c r="O898" i="5"/>
  <c r="M898" i="5"/>
  <c r="N898" i="5"/>
  <c r="L898" i="5"/>
  <c r="E890" i="5"/>
  <c r="I890" i="5" s="1"/>
  <c r="J890" i="5" s="1"/>
  <c r="S890" i="5"/>
  <c r="R890" i="5"/>
  <c r="Q890" i="5"/>
  <c r="P890" i="5"/>
  <c r="O890" i="5"/>
  <c r="M890" i="5"/>
  <c r="N890" i="5"/>
  <c r="L890" i="5"/>
  <c r="E882" i="5"/>
  <c r="I882" i="5" s="1"/>
  <c r="J882" i="5" s="1"/>
  <c r="S882" i="5"/>
  <c r="R882" i="5"/>
  <c r="Q882" i="5"/>
  <c r="P882" i="5"/>
  <c r="O882" i="5"/>
  <c r="M882" i="5"/>
  <c r="N882" i="5"/>
  <c r="L882" i="5"/>
  <c r="E874" i="5"/>
  <c r="I874" i="5" s="1"/>
  <c r="J874" i="5" s="1"/>
  <c r="S874" i="5"/>
  <c r="R874" i="5"/>
  <c r="Q874" i="5"/>
  <c r="P874" i="5"/>
  <c r="O874" i="5"/>
  <c r="M874" i="5"/>
  <c r="N874" i="5"/>
  <c r="L874" i="5"/>
  <c r="E866" i="5"/>
  <c r="I866" i="5" s="1"/>
  <c r="J866" i="5" s="1"/>
  <c r="S866" i="5"/>
  <c r="R866" i="5"/>
  <c r="Q866" i="5"/>
  <c r="P866" i="5"/>
  <c r="O866" i="5"/>
  <c r="M866" i="5"/>
  <c r="N866" i="5"/>
  <c r="L866" i="5"/>
  <c r="E858" i="5"/>
  <c r="I858" i="5" s="1"/>
  <c r="J858" i="5" s="1"/>
  <c r="S858" i="5"/>
  <c r="R858" i="5"/>
  <c r="Q858" i="5"/>
  <c r="P858" i="5"/>
  <c r="O858" i="5"/>
  <c r="M858" i="5"/>
  <c r="N858" i="5"/>
  <c r="L858" i="5"/>
  <c r="E850" i="5"/>
  <c r="I850" i="5" s="1"/>
  <c r="J850" i="5" s="1"/>
  <c r="S850" i="5"/>
  <c r="R850" i="5"/>
  <c r="Q850" i="5"/>
  <c r="P850" i="5"/>
  <c r="O850" i="5"/>
  <c r="M850" i="5"/>
  <c r="N850" i="5"/>
  <c r="L850" i="5"/>
  <c r="E842" i="5"/>
  <c r="I842" i="5" s="1"/>
  <c r="J842" i="5" s="1"/>
  <c r="S842" i="5"/>
  <c r="R842" i="5"/>
  <c r="Q842" i="5"/>
  <c r="P842" i="5"/>
  <c r="O842" i="5"/>
  <c r="M842" i="5"/>
  <c r="N842" i="5"/>
  <c r="L842" i="5"/>
  <c r="E834" i="5"/>
  <c r="I834" i="5" s="1"/>
  <c r="J834" i="5" s="1"/>
  <c r="S834" i="5"/>
  <c r="R834" i="5"/>
  <c r="Q834" i="5"/>
  <c r="P834" i="5"/>
  <c r="O834" i="5"/>
  <c r="M834" i="5"/>
  <c r="N834" i="5"/>
  <c r="L834" i="5"/>
  <c r="E826" i="5"/>
  <c r="I826" i="5" s="1"/>
  <c r="J826" i="5" s="1"/>
  <c r="S826" i="5"/>
  <c r="R826" i="5"/>
  <c r="Q826" i="5"/>
  <c r="P826" i="5"/>
  <c r="O826" i="5"/>
  <c r="M826" i="5"/>
  <c r="N826" i="5"/>
  <c r="L826" i="5"/>
  <c r="E818" i="5"/>
  <c r="I818" i="5" s="1"/>
  <c r="J818" i="5" s="1"/>
  <c r="S818" i="5"/>
  <c r="R818" i="5"/>
  <c r="Q818" i="5"/>
  <c r="P818" i="5"/>
  <c r="O818" i="5"/>
  <c r="M818" i="5"/>
  <c r="N818" i="5"/>
  <c r="L818" i="5"/>
  <c r="E810" i="5"/>
  <c r="I810" i="5" s="1"/>
  <c r="J810" i="5" s="1"/>
  <c r="S810" i="5"/>
  <c r="R810" i="5"/>
  <c r="Q810" i="5"/>
  <c r="P810" i="5"/>
  <c r="O810" i="5"/>
  <c r="M810" i="5"/>
  <c r="N810" i="5"/>
  <c r="L810" i="5"/>
  <c r="E802" i="5"/>
  <c r="I802" i="5" s="1"/>
  <c r="J802" i="5" s="1"/>
  <c r="S802" i="5"/>
  <c r="R802" i="5"/>
  <c r="Q802" i="5"/>
  <c r="P802" i="5"/>
  <c r="O802" i="5"/>
  <c r="M802" i="5"/>
  <c r="N802" i="5"/>
  <c r="L802" i="5"/>
  <c r="E794" i="5"/>
  <c r="I794" i="5" s="1"/>
  <c r="J794" i="5" s="1"/>
  <c r="S794" i="5"/>
  <c r="R794" i="5"/>
  <c r="Q794" i="5"/>
  <c r="P794" i="5"/>
  <c r="O794" i="5"/>
  <c r="M794" i="5"/>
  <c r="N794" i="5"/>
  <c r="L794" i="5"/>
  <c r="E786" i="5"/>
  <c r="I786" i="5" s="1"/>
  <c r="J786" i="5" s="1"/>
  <c r="S786" i="5"/>
  <c r="R786" i="5"/>
  <c r="Q786" i="5"/>
  <c r="P786" i="5"/>
  <c r="O786" i="5"/>
  <c r="M786" i="5"/>
  <c r="N786" i="5"/>
  <c r="L786" i="5"/>
  <c r="E778" i="5"/>
  <c r="I778" i="5" s="1"/>
  <c r="J778" i="5" s="1"/>
  <c r="S778" i="5"/>
  <c r="R778" i="5"/>
  <c r="Q778" i="5"/>
  <c r="P778" i="5"/>
  <c r="O778" i="5"/>
  <c r="M778" i="5"/>
  <c r="N778" i="5"/>
  <c r="L778" i="5"/>
  <c r="E770" i="5"/>
  <c r="I770" i="5" s="1"/>
  <c r="J770" i="5" s="1"/>
  <c r="S770" i="5"/>
  <c r="R770" i="5"/>
  <c r="Q770" i="5"/>
  <c r="P770" i="5"/>
  <c r="O770" i="5"/>
  <c r="M770" i="5"/>
  <c r="N770" i="5"/>
  <c r="L770" i="5"/>
  <c r="E762" i="5"/>
  <c r="I762" i="5" s="1"/>
  <c r="J762" i="5" s="1"/>
  <c r="S762" i="5"/>
  <c r="R762" i="5"/>
  <c r="Q762" i="5"/>
  <c r="P762" i="5"/>
  <c r="O762" i="5"/>
  <c r="M762" i="5"/>
  <c r="N762" i="5"/>
  <c r="L762" i="5"/>
  <c r="E754" i="5"/>
  <c r="I754" i="5" s="1"/>
  <c r="J754" i="5" s="1"/>
  <c r="S754" i="5"/>
  <c r="R754" i="5"/>
  <c r="Q754" i="5"/>
  <c r="P754" i="5"/>
  <c r="O754" i="5"/>
  <c r="M754" i="5"/>
  <c r="N754" i="5"/>
  <c r="L754" i="5"/>
  <c r="E746" i="5"/>
  <c r="I746" i="5" s="1"/>
  <c r="J746" i="5" s="1"/>
  <c r="S746" i="5"/>
  <c r="R746" i="5"/>
  <c r="Q746" i="5"/>
  <c r="P746" i="5"/>
  <c r="O746" i="5"/>
  <c r="M746" i="5"/>
  <c r="N746" i="5"/>
  <c r="L746" i="5"/>
  <c r="E738" i="5"/>
  <c r="I738" i="5" s="1"/>
  <c r="J738" i="5" s="1"/>
  <c r="S738" i="5"/>
  <c r="R738" i="5"/>
  <c r="Q738" i="5"/>
  <c r="P738" i="5"/>
  <c r="O738" i="5"/>
  <c r="M738" i="5"/>
  <c r="N738" i="5"/>
  <c r="L738" i="5"/>
  <c r="E730" i="5"/>
  <c r="I730" i="5" s="1"/>
  <c r="J730" i="5" s="1"/>
  <c r="S730" i="5"/>
  <c r="R730" i="5"/>
  <c r="Q730" i="5"/>
  <c r="P730" i="5"/>
  <c r="O730" i="5"/>
  <c r="M730" i="5"/>
  <c r="N730" i="5"/>
  <c r="L730" i="5"/>
  <c r="E722" i="5"/>
  <c r="I722" i="5" s="1"/>
  <c r="J722" i="5" s="1"/>
  <c r="S722" i="5"/>
  <c r="R722" i="5"/>
  <c r="Q722" i="5"/>
  <c r="P722" i="5"/>
  <c r="O722" i="5"/>
  <c r="M722" i="5"/>
  <c r="N722" i="5"/>
  <c r="L722" i="5"/>
  <c r="E714" i="5"/>
  <c r="I714" i="5" s="1"/>
  <c r="J714" i="5" s="1"/>
  <c r="S714" i="5"/>
  <c r="R714" i="5"/>
  <c r="Q714" i="5"/>
  <c r="P714" i="5"/>
  <c r="O714" i="5"/>
  <c r="M714" i="5"/>
  <c r="N714" i="5"/>
  <c r="L714" i="5"/>
  <c r="E706" i="5"/>
  <c r="I706" i="5" s="1"/>
  <c r="J706" i="5" s="1"/>
  <c r="S706" i="5"/>
  <c r="R706" i="5"/>
  <c r="Q706" i="5"/>
  <c r="P706" i="5"/>
  <c r="O706" i="5"/>
  <c r="M706" i="5"/>
  <c r="N706" i="5"/>
  <c r="L706" i="5"/>
  <c r="E698" i="5"/>
  <c r="I698" i="5" s="1"/>
  <c r="J698" i="5" s="1"/>
  <c r="S698" i="5"/>
  <c r="R698" i="5"/>
  <c r="Q698" i="5"/>
  <c r="P698" i="5"/>
  <c r="O698" i="5"/>
  <c r="M698" i="5"/>
  <c r="N698" i="5"/>
  <c r="L698" i="5"/>
  <c r="E690" i="5"/>
  <c r="I690" i="5" s="1"/>
  <c r="J690" i="5" s="1"/>
  <c r="S690" i="5"/>
  <c r="R690" i="5"/>
  <c r="Q690" i="5"/>
  <c r="P690" i="5"/>
  <c r="O690" i="5"/>
  <c r="N690" i="5"/>
  <c r="M690" i="5"/>
  <c r="L690" i="5"/>
  <c r="E682" i="5"/>
  <c r="I682" i="5" s="1"/>
  <c r="J682" i="5" s="1"/>
  <c r="S682" i="5"/>
  <c r="R682" i="5"/>
  <c r="Q682" i="5"/>
  <c r="P682" i="5"/>
  <c r="O682" i="5"/>
  <c r="N682" i="5"/>
  <c r="M682" i="5"/>
  <c r="L682" i="5"/>
  <c r="E674" i="5"/>
  <c r="I674" i="5" s="1"/>
  <c r="J674" i="5" s="1"/>
  <c r="S674" i="5"/>
  <c r="R674" i="5"/>
  <c r="Q674" i="5"/>
  <c r="P674" i="5"/>
  <c r="O674" i="5"/>
  <c r="N674" i="5"/>
  <c r="M674" i="5"/>
  <c r="L674" i="5"/>
  <c r="E666" i="5"/>
  <c r="I666" i="5" s="1"/>
  <c r="J666" i="5" s="1"/>
  <c r="S666" i="5"/>
  <c r="R666" i="5"/>
  <c r="Q666" i="5"/>
  <c r="P666" i="5"/>
  <c r="O666" i="5"/>
  <c r="N666" i="5"/>
  <c r="M666" i="5"/>
  <c r="L666" i="5"/>
  <c r="E658" i="5"/>
  <c r="I658" i="5" s="1"/>
  <c r="J658" i="5" s="1"/>
  <c r="S658" i="5"/>
  <c r="R658" i="5"/>
  <c r="Q658" i="5"/>
  <c r="P658" i="5"/>
  <c r="O658" i="5"/>
  <c r="N658" i="5"/>
  <c r="M658" i="5"/>
  <c r="L658" i="5"/>
  <c r="E650" i="5"/>
  <c r="I650" i="5" s="1"/>
  <c r="J650" i="5" s="1"/>
  <c r="S650" i="5"/>
  <c r="R650" i="5"/>
  <c r="Q650" i="5"/>
  <c r="P650" i="5"/>
  <c r="O650" i="5"/>
  <c r="N650" i="5"/>
  <c r="M650" i="5"/>
  <c r="L650" i="5"/>
  <c r="E642" i="5"/>
  <c r="I642" i="5" s="1"/>
  <c r="J642" i="5" s="1"/>
  <c r="S642" i="5"/>
  <c r="R642" i="5"/>
  <c r="Q642" i="5"/>
  <c r="P642" i="5"/>
  <c r="O642" i="5"/>
  <c r="N642" i="5"/>
  <c r="M642" i="5"/>
  <c r="L642" i="5"/>
  <c r="E634" i="5"/>
  <c r="I634" i="5" s="1"/>
  <c r="J634" i="5" s="1"/>
  <c r="S634" i="5"/>
  <c r="R634" i="5"/>
  <c r="Q634" i="5"/>
  <c r="P634" i="5"/>
  <c r="O634" i="5"/>
  <c r="N634" i="5"/>
  <c r="M634" i="5"/>
  <c r="L634" i="5"/>
  <c r="E626" i="5"/>
  <c r="I626" i="5" s="1"/>
  <c r="J626" i="5" s="1"/>
  <c r="S626" i="5"/>
  <c r="R626" i="5"/>
  <c r="Q626" i="5"/>
  <c r="P626" i="5"/>
  <c r="O626" i="5"/>
  <c r="N626" i="5"/>
  <c r="M626" i="5"/>
  <c r="L626" i="5"/>
  <c r="E618" i="5"/>
  <c r="I618" i="5" s="1"/>
  <c r="J618" i="5" s="1"/>
  <c r="S618" i="5"/>
  <c r="R618" i="5"/>
  <c r="Q618" i="5"/>
  <c r="P618" i="5"/>
  <c r="O618" i="5"/>
  <c r="N618" i="5"/>
  <c r="M618" i="5"/>
  <c r="L618" i="5"/>
  <c r="E610" i="5"/>
  <c r="I610" i="5" s="1"/>
  <c r="J610" i="5" s="1"/>
  <c r="S610" i="5"/>
  <c r="R610" i="5"/>
  <c r="Q610" i="5"/>
  <c r="P610" i="5"/>
  <c r="O610" i="5"/>
  <c r="N610" i="5"/>
  <c r="M610" i="5"/>
  <c r="L610" i="5"/>
  <c r="E602" i="5"/>
  <c r="I602" i="5" s="1"/>
  <c r="J602" i="5" s="1"/>
  <c r="S602" i="5"/>
  <c r="R602" i="5"/>
  <c r="Q602" i="5"/>
  <c r="P602" i="5"/>
  <c r="O602" i="5"/>
  <c r="N602" i="5"/>
  <c r="M602" i="5"/>
  <c r="L602" i="5"/>
  <c r="E594" i="5"/>
  <c r="I594" i="5" s="1"/>
  <c r="J594" i="5" s="1"/>
  <c r="S594" i="5"/>
  <c r="R594" i="5"/>
  <c r="Q594" i="5"/>
  <c r="P594" i="5"/>
  <c r="O594" i="5"/>
  <c r="N594" i="5"/>
  <c r="M594" i="5"/>
  <c r="L594" i="5"/>
  <c r="E586" i="5"/>
  <c r="I586" i="5" s="1"/>
  <c r="J586" i="5" s="1"/>
  <c r="S586" i="5"/>
  <c r="R586" i="5"/>
  <c r="Q586" i="5"/>
  <c r="P586" i="5"/>
  <c r="O586" i="5"/>
  <c r="N586" i="5"/>
  <c r="M586" i="5"/>
  <c r="L586" i="5"/>
  <c r="E578" i="5"/>
  <c r="I578" i="5" s="1"/>
  <c r="J578" i="5" s="1"/>
  <c r="S578" i="5"/>
  <c r="R578" i="5"/>
  <c r="Q578" i="5"/>
  <c r="P578" i="5"/>
  <c r="O578" i="5"/>
  <c r="N578" i="5"/>
  <c r="M578" i="5"/>
  <c r="L578" i="5"/>
  <c r="E570" i="5"/>
  <c r="I570" i="5" s="1"/>
  <c r="J570" i="5" s="1"/>
  <c r="S570" i="5"/>
  <c r="R570" i="5"/>
  <c r="Q570" i="5"/>
  <c r="P570" i="5"/>
  <c r="O570" i="5"/>
  <c r="N570" i="5"/>
  <c r="M570" i="5"/>
  <c r="L570" i="5"/>
  <c r="E562" i="5"/>
  <c r="I562" i="5" s="1"/>
  <c r="J562" i="5" s="1"/>
  <c r="S562" i="5"/>
  <c r="R562" i="5"/>
  <c r="Q562" i="5"/>
  <c r="P562" i="5"/>
  <c r="O562" i="5"/>
  <c r="N562" i="5"/>
  <c r="M562" i="5"/>
  <c r="L562" i="5"/>
  <c r="E554" i="5"/>
  <c r="I554" i="5" s="1"/>
  <c r="J554" i="5" s="1"/>
  <c r="S554" i="5"/>
  <c r="R554" i="5"/>
  <c r="Q554" i="5"/>
  <c r="P554" i="5"/>
  <c r="O554" i="5"/>
  <c r="N554" i="5"/>
  <c r="M554" i="5"/>
  <c r="L554" i="5"/>
  <c r="E546" i="5"/>
  <c r="I546" i="5" s="1"/>
  <c r="J546" i="5" s="1"/>
  <c r="S546" i="5"/>
  <c r="R546" i="5"/>
  <c r="Q546" i="5"/>
  <c r="P546" i="5"/>
  <c r="O546" i="5"/>
  <c r="N546" i="5"/>
  <c r="M546" i="5"/>
  <c r="L546" i="5"/>
  <c r="E538" i="5"/>
  <c r="I538" i="5" s="1"/>
  <c r="J538" i="5" s="1"/>
  <c r="S538" i="5"/>
  <c r="R538" i="5"/>
  <c r="Q538" i="5"/>
  <c r="P538" i="5"/>
  <c r="O538" i="5"/>
  <c r="N538" i="5"/>
  <c r="M538" i="5"/>
  <c r="L538" i="5"/>
  <c r="E530" i="5"/>
  <c r="I530" i="5" s="1"/>
  <c r="J530" i="5" s="1"/>
  <c r="S530" i="5"/>
  <c r="R530" i="5"/>
  <c r="Q530" i="5"/>
  <c r="P530" i="5"/>
  <c r="O530" i="5"/>
  <c r="N530" i="5"/>
  <c r="M530" i="5"/>
  <c r="L530" i="5"/>
  <c r="E522" i="5"/>
  <c r="I522" i="5" s="1"/>
  <c r="J522" i="5" s="1"/>
  <c r="S522" i="5"/>
  <c r="R522" i="5"/>
  <c r="Q522" i="5"/>
  <c r="P522" i="5"/>
  <c r="O522" i="5"/>
  <c r="N522" i="5"/>
  <c r="M522" i="5"/>
  <c r="L522" i="5"/>
  <c r="E514" i="5"/>
  <c r="I514" i="5" s="1"/>
  <c r="J514" i="5" s="1"/>
  <c r="S514" i="5"/>
  <c r="R514" i="5"/>
  <c r="Q514" i="5"/>
  <c r="P514" i="5"/>
  <c r="O514" i="5"/>
  <c r="N514" i="5"/>
  <c r="M514" i="5"/>
  <c r="L514" i="5"/>
  <c r="E506" i="5"/>
  <c r="I506" i="5" s="1"/>
  <c r="J506" i="5" s="1"/>
  <c r="S506" i="5"/>
  <c r="R506" i="5"/>
  <c r="Q506" i="5"/>
  <c r="P506" i="5"/>
  <c r="O506" i="5"/>
  <c r="N506" i="5"/>
  <c r="M506" i="5"/>
  <c r="L506" i="5"/>
  <c r="E498" i="5"/>
  <c r="I498" i="5" s="1"/>
  <c r="J498" i="5" s="1"/>
  <c r="S498" i="5"/>
  <c r="R498" i="5"/>
  <c r="Q498" i="5"/>
  <c r="P498" i="5"/>
  <c r="O498" i="5"/>
  <c r="N498" i="5"/>
  <c r="M498" i="5"/>
  <c r="L498" i="5"/>
  <c r="E490" i="5"/>
  <c r="I490" i="5" s="1"/>
  <c r="J490" i="5" s="1"/>
  <c r="S490" i="5"/>
  <c r="R490" i="5"/>
  <c r="Q490" i="5"/>
  <c r="P490" i="5"/>
  <c r="O490" i="5"/>
  <c r="N490" i="5"/>
  <c r="M490" i="5"/>
  <c r="L490" i="5"/>
  <c r="E482" i="5"/>
  <c r="I482" i="5" s="1"/>
  <c r="J482" i="5" s="1"/>
  <c r="S482" i="5"/>
  <c r="R482" i="5"/>
  <c r="Q482" i="5"/>
  <c r="P482" i="5"/>
  <c r="O482" i="5"/>
  <c r="N482" i="5"/>
  <c r="M482" i="5"/>
  <c r="L482" i="5"/>
  <c r="E474" i="5"/>
  <c r="I474" i="5" s="1"/>
  <c r="J474" i="5" s="1"/>
  <c r="S474" i="5"/>
  <c r="R474" i="5"/>
  <c r="Q474" i="5"/>
  <c r="P474" i="5"/>
  <c r="O474" i="5"/>
  <c r="N474" i="5"/>
  <c r="M474" i="5"/>
  <c r="L474" i="5"/>
  <c r="E466" i="5"/>
  <c r="I466" i="5" s="1"/>
  <c r="J466" i="5" s="1"/>
  <c r="S466" i="5"/>
  <c r="R466" i="5"/>
  <c r="Q466" i="5"/>
  <c r="P466" i="5"/>
  <c r="O466" i="5"/>
  <c r="N466" i="5"/>
  <c r="M466" i="5"/>
  <c r="L466" i="5"/>
  <c r="E458" i="5"/>
  <c r="I458" i="5" s="1"/>
  <c r="J458" i="5" s="1"/>
  <c r="S458" i="5"/>
  <c r="R458" i="5"/>
  <c r="Q458" i="5"/>
  <c r="P458" i="5"/>
  <c r="O458" i="5"/>
  <c r="N458" i="5"/>
  <c r="M458" i="5"/>
  <c r="L458" i="5"/>
  <c r="E450" i="5"/>
  <c r="I450" i="5" s="1"/>
  <c r="J450" i="5" s="1"/>
  <c r="S450" i="5"/>
  <c r="R450" i="5"/>
  <c r="Q450" i="5"/>
  <c r="P450" i="5"/>
  <c r="O450" i="5"/>
  <c r="N450" i="5"/>
  <c r="M450" i="5"/>
  <c r="L450" i="5"/>
  <c r="E442" i="5"/>
  <c r="I442" i="5" s="1"/>
  <c r="J442" i="5" s="1"/>
  <c r="S442" i="5"/>
  <c r="R442" i="5"/>
  <c r="Q442" i="5"/>
  <c r="P442" i="5"/>
  <c r="O442" i="5"/>
  <c r="N442" i="5"/>
  <c r="M442" i="5"/>
  <c r="L442" i="5"/>
  <c r="E434" i="5"/>
  <c r="I434" i="5" s="1"/>
  <c r="J434" i="5" s="1"/>
  <c r="S434" i="5"/>
  <c r="R434" i="5"/>
  <c r="Q434" i="5"/>
  <c r="P434" i="5"/>
  <c r="O434" i="5"/>
  <c r="N434" i="5"/>
  <c r="M434" i="5"/>
  <c r="L434" i="5"/>
  <c r="E426" i="5"/>
  <c r="I426" i="5" s="1"/>
  <c r="J426" i="5" s="1"/>
  <c r="S426" i="5"/>
  <c r="R426" i="5"/>
  <c r="Q426" i="5"/>
  <c r="P426" i="5"/>
  <c r="O426" i="5"/>
  <c r="N426" i="5"/>
  <c r="M426" i="5"/>
  <c r="L426" i="5"/>
  <c r="E418" i="5"/>
  <c r="I418" i="5" s="1"/>
  <c r="J418" i="5" s="1"/>
  <c r="S418" i="5"/>
  <c r="R418" i="5"/>
  <c r="Q418" i="5"/>
  <c r="P418" i="5"/>
  <c r="O418" i="5"/>
  <c r="N418" i="5"/>
  <c r="M418" i="5"/>
  <c r="L418" i="5"/>
  <c r="E410" i="5"/>
  <c r="I410" i="5" s="1"/>
  <c r="J410" i="5" s="1"/>
  <c r="S410" i="5"/>
  <c r="R410" i="5"/>
  <c r="Q410" i="5"/>
  <c r="P410" i="5"/>
  <c r="O410" i="5"/>
  <c r="N410" i="5"/>
  <c r="M410" i="5"/>
  <c r="L410" i="5"/>
  <c r="E402" i="5"/>
  <c r="I402" i="5" s="1"/>
  <c r="J402" i="5" s="1"/>
  <c r="S402" i="5"/>
  <c r="R402" i="5"/>
  <c r="Q402" i="5"/>
  <c r="P402" i="5"/>
  <c r="O402" i="5"/>
  <c r="N402" i="5"/>
  <c r="M402" i="5"/>
  <c r="L402" i="5"/>
  <c r="K402" i="5"/>
  <c r="E394" i="5"/>
  <c r="I394" i="5" s="1"/>
  <c r="J394" i="5" s="1"/>
  <c r="S394" i="5"/>
  <c r="R394" i="5"/>
  <c r="Q394" i="5"/>
  <c r="P394" i="5"/>
  <c r="O394" i="5"/>
  <c r="N394" i="5"/>
  <c r="M394" i="5"/>
  <c r="L394" i="5"/>
  <c r="K394" i="5"/>
  <c r="E386" i="5"/>
  <c r="I386" i="5" s="1"/>
  <c r="J386" i="5" s="1"/>
  <c r="S386" i="5"/>
  <c r="R386" i="5"/>
  <c r="Q386" i="5"/>
  <c r="P386" i="5"/>
  <c r="O386" i="5"/>
  <c r="N386" i="5"/>
  <c r="M386" i="5"/>
  <c r="L386" i="5"/>
  <c r="K386" i="5"/>
  <c r="E378" i="5"/>
  <c r="I378" i="5" s="1"/>
  <c r="J378" i="5" s="1"/>
  <c r="S378" i="5"/>
  <c r="R378" i="5"/>
  <c r="Q378" i="5"/>
  <c r="P378" i="5"/>
  <c r="O378" i="5"/>
  <c r="N378" i="5"/>
  <c r="M378" i="5"/>
  <c r="L378" i="5"/>
  <c r="K378" i="5"/>
  <c r="E370" i="5"/>
  <c r="I370" i="5" s="1"/>
  <c r="J370" i="5" s="1"/>
  <c r="S370" i="5"/>
  <c r="R370" i="5"/>
  <c r="Q370" i="5"/>
  <c r="P370" i="5"/>
  <c r="O370" i="5"/>
  <c r="N370" i="5"/>
  <c r="M370" i="5"/>
  <c r="L370" i="5"/>
  <c r="K370" i="5"/>
  <c r="E362" i="5"/>
  <c r="I362" i="5" s="1"/>
  <c r="J362" i="5" s="1"/>
  <c r="S362" i="5"/>
  <c r="R362" i="5"/>
  <c r="Q362" i="5"/>
  <c r="P362" i="5"/>
  <c r="O362" i="5"/>
  <c r="N362" i="5"/>
  <c r="M362" i="5"/>
  <c r="L362" i="5"/>
  <c r="K362" i="5"/>
  <c r="E354" i="5"/>
  <c r="I354" i="5" s="1"/>
  <c r="J354" i="5" s="1"/>
  <c r="S354" i="5"/>
  <c r="R354" i="5"/>
  <c r="Q354" i="5"/>
  <c r="P354" i="5"/>
  <c r="O354" i="5"/>
  <c r="N354" i="5"/>
  <c r="M354" i="5"/>
  <c r="L354" i="5"/>
  <c r="K354" i="5"/>
  <c r="E346" i="5"/>
  <c r="I346" i="5" s="1"/>
  <c r="J346" i="5" s="1"/>
  <c r="S346" i="5"/>
  <c r="R346" i="5"/>
  <c r="Q346" i="5"/>
  <c r="P346" i="5"/>
  <c r="O346" i="5"/>
  <c r="N346" i="5"/>
  <c r="M346" i="5"/>
  <c r="L346" i="5"/>
  <c r="K346" i="5"/>
  <c r="E338" i="5"/>
  <c r="I338" i="5" s="1"/>
  <c r="J338" i="5" s="1"/>
  <c r="S338" i="5"/>
  <c r="R338" i="5"/>
  <c r="Q338" i="5"/>
  <c r="P338" i="5"/>
  <c r="O338" i="5"/>
  <c r="N338" i="5"/>
  <c r="M338" i="5"/>
  <c r="L338" i="5"/>
  <c r="K338" i="5"/>
  <c r="E330" i="5"/>
  <c r="I330" i="5" s="1"/>
  <c r="J330" i="5" s="1"/>
  <c r="S330" i="5"/>
  <c r="R330" i="5"/>
  <c r="Q330" i="5"/>
  <c r="P330" i="5"/>
  <c r="O330" i="5"/>
  <c r="N330" i="5"/>
  <c r="M330" i="5"/>
  <c r="L330" i="5"/>
  <c r="K330" i="5"/>
  <c r="E322" i="5"/>
  <c r="I322" i="5" s="1"/>
  <c r="J322" i="5" s="1"/>
  <c r="S322" i="5"/>
  <c r="R322" i="5"/>
  <c r="Q322" i="5"/>
  <c r="P322" i="5"/>
  <c r="O322" i="5"/>
  <c r="N322" i="5"/>
  <c r="M322" i="5"/>
  <c r="L322" i="5"/>
  <c r="K322" i="5"/>
  <c r="E314" i="5"/>
  <c r="I314" i="5" s="1"/>
  <c r="J314" i="5" s="1"/>
  <c r="S314" i="5"/>
  <c r="R314" i="5"/>
  <c r="Q314" i="5"/>
  <c r="P314" i="5"/>
  <c r="O314" i="5"/>
  <c r="N314" i="5"/>
  <c r="M314" i="5"/>
  <c r="L314" i="5"/>
  <c r="K314" i="5"/>
  <c r="E306" i="5"/>
  <c r="I306" i="5" s="1"/>
  <c r="J306" i="5" s="1"/>
  <c r="S306" i="5"/>
  <c r="R306" i="5"/>
  <c r="Q306" i="5"/>
  <c r="P306" i="5"/>
  <c r="O306" i="5"/>
  <c r="N306" i="5"/>
  <c r="M306" i="5"/>
  <c r="L306" i="5"/>
  <c r="K306" i="5"/>
  <c r="E298" i="5"/>
  <c r="I298" i="5" s="1"/>
  <c r="J298" i="5" s="1"/>
  <c r="S298" i="5"/>
  <c r="R298" i="5"/>
  <c r="Q298" i="5"/>
  <c r="P298" i="5"/>
  <c r="O298" i="5"/>
  <c r="N298" i="5"/>
  <c r="M298" i="5"/>
  <c r="L298" i="5"/>
  <c r="K298" i="5"/>
  <c r="E290" i="5"/>
  <c r="I290" i="5" s="1"/>
  <c r="J290" i="5" s="1"/>
  <c r="S290" i="5"/>
  <c r="R290" i="5"/>
  <c r="Q290" i="5"/>
  <c r="P290" i="5"/>
  <c r="O290" i="5"/>
  <c r="N290" i="5"/>
  <c r="M290" i="5"/>
  <c r="L290" i="5"/>
  <c r="K290" i="5"/>
  <c r="E282" i="5"/>
  <c r="I282" i="5" s="1"/>
  <c r="J282" i="5" s="1"/>
  <c r="S282" i="5"/>
  <c r="R282" i="5"/>
  <c r="Q282" i="5"/>
  <c r="P282" i="5"/>
  <c r="O282" i="5"/>
  <c r="N282" i="5"/>
  <c r="M282" i="5"/>
  <c r="L282" i="5"/>
  <c r="K282" i="5"/>
  <c r="E274" i="5"/>
  <c r="I274" i="5" s="1"/>
  <c r="J274" i="5" s="1"/>
  <c r="S274" i="5"/>
  <c r="R274" i="5"/>
  <c r="Q274" i="5"/>
  <c r="P274" i="5"/>
  <c r="O274" i="5"/>
  <c r="N274" i="5"/>
  <c r="M274" i="5"/>
  <c r="L274" i="5"/>
  <c r="K274" i="5"/>
  <c r="E266" i="5"/>
  <c r="I266" i="5" s="1"/>
  <c r="J266" i="5" s="1"/>
  <c r="S266" i="5"/>
  <c r="R266" i="5"/>
  <c r="Q266" i="5"/>
  <c r="P266" i="5"/>
  <c r="O266" i="5"/>
  <c r="N266" i="5"/>
  <c r="M266" i="5"/>
  <c r="L266" i="5"/>
  <c r="K266" i="5"/>
  <c r="E258" i="5"/>
  <c r="I258" i="5" s="1"/>
  <c r="J258" i="5" s="1"/>
  <c r="S258" i="5"/>
  <c r="R258" i="5"/>
  <c r="Q258" i="5"/>
  <c r="P258" i="5"/>
  <c r="O258" i="5"/>
  <c r="N258" i="5"/>
  <c r="M258" i="5"/>
  <c r="L258" i="5"/>
  <c r="K258" i="5"/>
  <c r="E250" i="5"/>
  <c r="I250" i="5" s="1"/>
  <c r="J250" i="5" s="1"/>
  <c r="S250" i="5"/>
  <c r="R250" i="5"/>
  <c r="Q250" i="5"/>
  <c r="P250" i="5"/>
  <c r="O250" i="5"/>
  <c r="N250" i="5"/>
  <c r="M250" i="5"/>
  <c r="L250" i="5"/>
  <c r="K250" i="5"/>
  <c r="E242" i="5"/>
  <c r="I242" i="5" s="1"/>
  <c r="J242" i="5" s="1"/>
  <c r="S242" i="5"/>
  <c r="R242" i="5"/>
  <c r="Q242" i="5"/>
  <c r="P242" i="5"/>
  <c r="O242" i="5"/>
  <c r="N242" i="5"/>
  <c r="M242" i="5"/>
  <c r="L242" i="5"/>
  <c r="K242" i="5"/>
  <c r="E234" i="5"/>
  <c r="I234" i="5" s="1"/>
  <c r="J234" i="5" s="1"/>
  <c r="S234" i="5"/>
  <c r="R234" i="5"/>
  <c r="Q234" i="5"/>
  <c r="P234" i="5"/>
  <c r="O234" i="5"/>
  <c r="N234" i="5"/>
  <c r="M234" i="5"/>
  <c r="L234" i="5"/>
  <c r="K234" i="5"/>
  <c r="E226" i="5"/>
  <c r="I226" i="5" s="1"/>
  <c r="J226" i="5" s="1"/>
  <c r="S226" i="5"/>
  <c r="R226" i="5"/>
  <c r="Q226" i="5"/>
  <c r="P226" i="5"/>
  <c r="O226" i="5"/>
  <c r="N226" i="5"/>
  <c r="M226" i="5"/>
  <c r="L226" i="5"/>
  <c r="K226" i="5"/>
  <c r="E218" i="5"/>
  <c r="I218" i="5" s="1"/>
  <c r="J218" i="5" s="1"/>
  <c r="S218" i="5"/>
  <c r="R218" i="5"/>
  <c r="Q218" i="5"/>
  <c r="P218" i="5"/>
  <c r="O218" i="5"/>
  <c r="N218" i="5"/>
  <c r="M218" i="5"/>
  <c r="L218" i="5"/>
  <c r="K218" i="5"/>
  <c r="E210" i="5"/>
  <c r="I210" i="5" s="1"/>
  <c r="J210" i="5" s="1"/>
  <c r="S210" i="5"/>
  <c r="R210" i="5"/>
  <c r="Q210" i="5"/>
  <c r="P210" i="5"/>
  <c r="O210" i="5"/>
  <c r="N210" i="5"/>
  <c r="M210" i="5"/>
  <c r="L210" i="5"/>
  <c r="K210" i="5"/>
  <c r="E202" i="5"/>
  <c r="I202" i="5" s="1"/>
  <c r="J202" i="5" s="1"/>
  <c r="S202" i="5"/>
  <c r="R202" i="5"/>
  <c r="Q202" i="5"/>
  <c r="P202" i="5"/>
  <c r="O202" i="5"/>
  <c r="N202" i="5"/>
  <c r="M202" i="5"/>
  <c r="L202" i="5"/>
  <c r="K202" i="5"/>
  <c r="E194" i="5"/>
  <c r="I194" i="5" s="1"/>
  <c r="J194" i="5" s="1"/>
  <c r="S194" i="5"/>
  <c r="R194" i="5"/>
  <c r="Q194" i="5"/>
  <c r="P194" i="5"/>
  <c r="O194" i="5"/>
  <c r="N194" i="5"/>
  <c r="M194" i="5"/>
  <c r="L194" i="5"/>
  <c r="K194" i="5"/>
  <c r="E186" i="5"/>
  <c r="I186" i="5" s="1"/>
  <c r="J186" i="5" s="1"/>
  <c r="S186" i="5"/>
  <c r="R186" i="5"/>
  <c r="Q186" i="5"/>
  <c r="P186" i="5"/>
  <c r="O186" i="5"/>
  <c r="N186" i="5"/>
  <c r="M186" i="5"/>
  <c r="L186" i="5"/>
  <c r="K186" i="5"/>
  <c r="E178" i="5"/>
  <c r="I178" i="5" s="1"/>
  <c r="J178" i="5" s="1"/>
  <c r="S178" i="5"/>
  <c r="R178" i="5"/>
  <c r="Q178" i="5"/>
  <c r="P178" i="5"/>
  <c r="O178" i="5"/>
  <c r="N178" i="5"/>
  <c r="M178" i="5"/>
  <c r="L178" i="5"/>
  <c r="K178" i="5"/>
  <c r="E170" i="5"/>
  <c r="I170" i="5" s="1"/>
  <c r="J170" i="5" s="1"/>
  <c r="S170" i="5"/>
  <c r="R170" i="5"/>
  <c r="Q170" i="5"/>
  <c r="P170" i="5"/>
  <c r="O170" i="5"/>
  <c r="N170" i="5"/>
  <c r="M170" i="5"/>
  <c r="L170" i="5"/>
  <c r="K170" i="5"/>
  <c r="E162" i="5"/>
  <c r="I162" i="5" s="1"/>
  <c r="J162" i="5" s="1"/>
  <c r="S162" i="5"/>
  <c r="R162" i="5"/>
  <c r="Q162" i="5"/>
  <c r="P162" i="5"/>
  <c r="O162" i="5"/>
  <c r="N162" i="5"/>
  <c r="M162" i="5"/>
  <c r="L162" i="5"/>
  <c r="K162" i="5"/>
  <c r="E154" i="5"/>
  <c r="I154" i="5" s="1"/>
  <c r="J154" i="5" s="1"/>
  <c r="S154" i="5"/>
  <c r="R154" i="5"/>
  <c r="Q154" i="5"/>
  <c r="P154" i="5"/>
  <c r="O154" i="5"/>
  <c r="N154" i="5"/>
  <c r="M154" i="5"/>
  <c r="L154" i="5"/>
  <c r="K154" i="5"/>
  <c r="E146" i="5"/>
  <c r="I146" i="5" s="1"/>
  <c r="J146" i="5" s="1"/>
  <c r="S146" i="5"/>
  <c r="R146" i="5"/>
  <c r="Q146" i="5"/>
  <c r="P146" i="5"/>
  <c r="O146" i="5"/>
  <c r="N146" i="5"/>
  <c r="M146" i="5"/>
  <c r="L146" i="5"/>
  <c r="K146" i="5"/>
  <c r="E138" i="5"/>
  <c r="I138" i="5" s="1"/>
  <c r="J138" i="5" s="1"/>
  <c r="S138" i="5"/>
  <c r="R138" i="5"/>
  <c r="Q138" i="5"/>
  <c r="P138" i="5"/>
  <c r="O138" i="5"/>
  <c r="N138" i="5"/>
  <c r="M138" i="5"/>
  <c r="L138" i="5"/>
  <c r="K138" i="5"/>
  <c r="E130" i="5"/>
  <c r="I130" i="5" s="1"/>
  <c r="J130" i="5" s="1"/>
  <c r="S130" i="5"/>
  <c r="R130" i="5"/>
  <c r="Q130" i="5"/>
  <c r="P130" i="5"/>
  <c r="O130" i="5"/>
  <c r="N130" i="5"/>
  <c r="M130" i="5"/>
  <c r="L130" i="5"/>
  <c r="K130" i="5"/>
  <c r="E122" i="5"/>
  <c r="I122" i="5" s="1"/>
  <c r="J122" i="5" s="1"/>
  <c r="S122" i="5"/>
  <c r="R122" i="5"/>
  <c r="Q122" i="5"/>
  <c r="P122" i="5"/>
  <c r="O122" i="5"/>
  <c r="N122" i="5"/>
  <c r="M122" i="5"/>
  <c r="L122" i="5"/>
  <c r="K122" i="5"/>
  <c r="E114" i="5"/>
  <c r="I114" i="5" s="1"/>
  <c r="J114" i="5" s="1"/>
  <c r="S114" i="5"/>
  <c r="R114" i="5"/>
  <c r="Q114" i="5"/>
  <c r="P114" i="5"/>
  <c r="O114" i="5"/>
  <c r="N114" i="5"/>
  <c r="M114" i="5"/>
  <c r="L114" i="5"/>
  <c r="K114" i="5"/>
  <c r="E106" i="5"/>
  <c r="I106" i="5" s="1"/>
  <c r="J106" i="5" s="1"/>
  <c r="S106" i="5"/>
  <c r="R106" i="5"/>
  <c r="Q106" i="5"/>
  <c r="P106" i="5"/>
  <c r="O106" i="5"/>
  <c r="N106" i="5"/>
  <c r="M106" i="5"/>
  <c r="L106" i="5"/>
  <c r="K106" i="5"/>
  <c r="E98" i="5"/>
  <c r="I98" i="5" s="1"/>
  <c r="J98" i="5" s="1"/>
  <c r="S98" i="5"/>
  <c r="R98" i="5"/>
  <c r="Q98" i="5"/>
  <c r="P98" i="5"/>
  <c r="O98" i="5"/>
  <c r="N98" i="5"/>
  <c r="M98" i="5"/>
  <c r="L98" i="5"/>
  <c r="K98" i="5"/>
  <c r="E90" i="5"/>
  <c r="I90" i="5" s="1"/>
  <c r="J90" i="5" s="1"/>
  <c r="S90" i="5"/>
  <c r="R90" i="5"/>
  <c r="Q90" i="5"/>
  <c r="P90" i="5"/>
  <c r="O90" i="5"/>
  <c r="N90" i="5"/>
  <c r="M90" i="5"/>
  <c r="L90" i="5"/>
  <c r="K90" i="5"/>
  <c r="E82" i="5"/>
  <c r="I82" i="5" s="1"/>
  <c r="J82" i="5" s="1"/>
  <c r="S82" i="5"/>
  <c r="R82" i="5"/>
  <c r="Q82" i="5"/>
  <c r="P82" i="5"/>
  <c r="O82" i="5"/>
  <c r="N82" i="5"/>
  <c r="M82" i="5"/>
  <c r="L82" i="5"/>
  <c r="K82" i="5"/>
  <c r="E74" i="5"/>
  <c r="I74" i="5" s="1"/>
  <c r="J74" i="5" s="1"/>
  <c r="S74" i="5"/>
  <c r="R74" i="5"/>
  <c r="Q74" i="5"/>
  <c r="P74" i="5"/>
  <c r="O74" i="5"/>
  <c r="N74" i="5"/>
  <c r="M74" i="5"/>
  <c r="L74" i="5"/>
  <c r="K74" i="5"/>
  <c r="E66" i="5"/>
  <c r="I66" i="5" s="1"/>
  <c r="J66" i="5" s="1"/>
  <c r="S66" i="5"/>
  <c r="R66" i="5"/>
  <c r="Q66" i="5"/>
  <c r="P66" i="5"/>
  <c r="O66" i="5"/>
  <c r="N66" i="5"/>
  <c r="M66" i="5"/>
  <c r="L66" i="5"/>
  <c r="K66" i="5"/>
  <c r="E58" i="5"/>
  <c r="I58" i="5" s="1"/>
  <c r="J58" i="5" s="1"/>
  <c r="S58" i="5"/>
  <c r="R58" i="5"/>
  <c r="Q58" i="5"/>
  <c r="P58" i="5"/>
  <c r="O58" i="5"/>
  <c r="N58" i="5"/>
  <c r="M58" i="5"/>
  <c r="L58" i="5"/>
  <c r="K58" i="5"/>
  <c r="E50" i="5"/>
  <c r="I50" i="5" s="1"/>
  <c r="J50" i="5" s="1"/>
  <c r="S50" i="5"/>
  <c r="R50" i="5"/>
  <c r="Q50" i="5"/>
  <c r="P50" i="5"/>
  <c r="O50" i="5"/>
  <c r="N50" i="5"/>
  <c r="M50" i="5"/>
  <c r="L50" i="5"/>
  <c r="K50" i="5"/>
  <c r="E42" i="5"/>
  <c r="I42" i="5" s="1"/>
  <c r="J42" i="5" s="1"/>
  <c r="S42" i="5"/>
  <c r="R42" i="5"/>
  <c r="Q42" i="5"/>
  <c r="P42" i="5"/>
  <c r="O42" i="5"/>
  <c r="N42" i="5"/>
  <c r="M42" i="5"/>
  <c r="L42" i="5"/>
  <c r="K42" i="5"/>
  <c r="E34" i="5"/>
  <c r="I34" i="5" s="1"/>
  <c r="J34" i="5" s="1"/>
  <c r="S34" i="5"/>
  <c r="R34" i="5"/>
  <c r="Q34" i="5"/>
  <c r="P34" i="5"/>
  <c r="O34" i="5"/>
  <c r="N34" i="5"/>
  <c r="M34" i="5"/>
  <c r="L34" i="5"/>
  <c r="K34" i="5"/>
  <c r="E26" i="5"/>
  <c r="I26" i="5" s="1"/>
  <c r="J26" i="5" s="1"/>
  <c r="S26" i="5"/>
  <c r="R26" i="5"/>
  <c r="Q26" i="5"/>
  <c r="P26" i="5"/>
  <c r="O26" i="5"/>
  <c r="N26" i="5"/>
  <c r="M26" i="5"/>
  <c r="L26" i="5"/>
  <c r="K26" i="5"/>
  <c r="E18" i="5"/>
  <c r="I18" i="5" s="1"/>
  <c r="J18" i="5" s="1"/>
  <c r="S18" i="5"/>
  <c r="R18" i="5"/>
  <c r="Q18" i="5"/>
  <c r="P18" i="5"/>
  <c r="O18" i="5"/>
  <c r="N18" i="5"/>
  <c r="M18" i="5"/>
  <c r="L18" i="5"/>
  <c r="K18" i="5"/>
  <c r="E965" i="5"/>
  <c r="I965" i="5" s="1"/>
  <c r="J965" i="5" s="1"/>
  <c r="S965" i="5"/>
  <c r="R965" i="5"/>
  <c r="Q965" i="5"/>
  <c r="P965" i="5"/>
  <c r="O965" i="5"/>
  <c r="N965" i="5"/>
  <c r="M965" i="5"/>
  <c r="L965" i="5"/>
  <c r="E917" i="5"/>
  <c r="I917" i="5" s="1"/>
  <c r="J917" i="5" s="1"/>
  <c r="S917" i="5"/>
  <c r="R917" i="5"/>
  <c r="Q917" i="5"/>
  <c r="P917" i="5"/>
  <c r="O917" i="5"/>
  <c r="N917" i="5"/>
  <c r="M917" i="5"/>
  <c r="L917" i="5"/>
  <c r="E837" i="5"/>
  <c r="I837" i="5" s="1"/>
  <c r="J837" i="5" s="1"/>
  <c r="S837" i="5"/>
  <c r="R837" i="5"/>
  <c r="Q837" i="5"/>
  <c r="P837" i="5"/>
  <c r="O837" i="5"/>
  <c r="N837" i="5"/>
  <c r="M837" i="5"/>
  <c r="L837" i="5"/>
  <c r="E805" i="5"/>
  <c r="I805" i="5" s="1"/>
  <c r="J805" i="5" s="1"/>
  <c r="S805" i="5"/>
  <c r="R805" i="5"/>
  <c r="Q805" i="5"/>
  <c r="P805" i="5"/>
  <c r="O805" i="5"/>
  <c r="N805" i="5"/>
  <c r="M805" i="5"/>
  <c r="L805" i="5"/>
  <c r="E741" i="5"/>
  <c r="I741" i="5" s="1"/>
  <c r="J741" i="5" s="1"/>
  <c r="S741" i="5"/>
  <c r="R741" i="5"/>
  <c r="Q741" i="5"/>
  <c r="P741" i="5"/>
  <c r="O741" i="5"/>
  <c r="N741" i="5"/>
  <c r="M741" i="5"/>
  <c r="L741" i="5"/>
  <c r="E701" i="5"/>
  <c r="I701" i="5" s="1"/>
  <c r="J701" i="5" s="1"/>
  <c r="S701" i="5"/>
  <c r="R701" i="5"/>
  <c r="Q701" i="5"/>
  <c r="P701" i="5"/>
  <c r="O701" i="5"/>
  <c r="N701" i="5"/>
  <c r="M701" i="5"/>
  <c r="L701" i="5"/>
  <c r="E653" i="5"/>
  <c r="I653" i="5" s="1"/>
  <c r="J653" i="5" s="1"/>
  <c r="S653" i="5"/>
  <c r="R653" i="5"/>
  <c r="Q653" i="5"/>
  <c r="P653" i="5"/>
  <c r="N653" i="5"/>
  <c r="O653" i="5"/>
  <c r="M653" i="5"/>
  <c r="L653" i="5"/>
  <c r="E613" i="5"/>
  <c r="I613" i="5" s="1"/>
  <c r="J613" i="5" s="1"/>
  <c r="S613" i="5"/>
  <c r="R613" i="5"/>
  <c r="Q613" i="5"/>
  <c r="P613" i="5"/>
  <c r="N613" i="5"/>
  <c r="O613" i="5"/>
  <c r="M613" i="5"/>
  <c r="L613" i="5"/>
  <c r="E525" i="5"/>
  <c r="I525" i="5" s="1"/>
  <c r="J525" i="5" s="1"/>
  <c r="S525" i="5"/>
  <c r="R525" i="5"/>
  <c r="Q525" i="5"/>
  <c r="P525" i="5"/>
  <c r="N525" i="5"/>
  <c r="O525" i="5"/>
  <c r="M525" i="5"/>
  <c r="L525" i="5"/>
  <c r="E461" i="5"/>
  <c r="I461" i="5" s="1"/>
  <c r="J461" i="5" s="1"/>
  <c r="S461" i="5"/>
  <c r="R461" i="5"/>
  <c r="Q461" i="5"/>
  <c r="P461" i="5"/>
  <c r="N461" i="5"/>
  <c r="O461" i="5"/>
  <c r="M461" i="5"/>
  <c r="L461" i="5"/>
  <c r="E365" i="5"/>
  <c r="I365" i="5" s="1"/>
  <c r="J365" i="5" s="1"/>
  <c r="S365" i="5"/>
  <c r="R365" i="5"/>
  <c r="Q365" i="5"/>
  <c r="P365" i="5"/>
  <c r="N365" i="5"/>
  <c r="O365" i="5"/>
  <c r="M365" i="5"/>
  <c r="L365" i="5"/>
  <c r="K365" i="5"/>
  <c r="E309" i="5"/>
  <c r="I309" i="5" s="1"/>
  <c r="J309" i="5" s="1"/>
  <c r="S309" i="5"/>
  <c r="R309" i="5"/>
  <c r="Q309" i="5"/>
  <c r="P309" i="5"/>
  <c r="O309" i="5"/>
  <c r="N309" i="5"/>
  <c r="M309" i="5"/>
  <c r="L309" i="5"/>
  <c r="K309" i="5"/>
  <c r="E261" i="5"/>
  <c r="I261" i="5" s="1"/>
  <c r="J261" i="5" s="1"/>
  <c r="S261" i="5"/>
  <c r="R261" i="5"/>
  <c r="Q261" i="5"/>
  <c r="P261" i="5"/>
  <c r="O261" i="5"/>
  <c r="N261" i="5"/>
  <c r="M261" i="5"/>
  <c r="L261" i="5"/>
  <c r="K261" i="5"/>
  <c r="E189" i="5"/>
  <c r="I189" i="5" s="1"/>
  <c r="J189" i="5" s="1"/>
  <c r="S189" i="5"/>
  <c r="R189" i="5"/>
  <c r="Q189" i="5"/>
  <c r="P189" i="5"/>
  <c r="O189" i="5"/>
  <c r="N189" i="5"/>
  <c r="M189" i="5"/>
  <c r="K189" i="5"/>
  <c r="L189" i="5"/>
  <c r="E149" i="5"/>
  <c r="I149" i="5" s="1"/>
  <c r="J149" i="5" s="1"/>
  <c r="S149" i="5"/>
  <c r="R149" i="5"/>
  <c r="Q149" i="5"/>
  <c r="P149" i="5"/>
  <c r="O149" i="5"/>
  <c r="N149" i="5"/>
  <c r="M149" i="5"/>
  <c r="K149" i="5"/>
  <c r="L149" i="5"/>
  <c r="E117" i="5"/>
  <c r="I117" i="5" s="1"/>
  <c r="J117" i="5" s="1"/>
  <c r="S117" i="5"/>
  <c r="R117" i="5"/>
  <c r="Q117" i="5"/>
  <c r="P117" i="5"/>
  <c r="O117" i="5"/>
  <c r="N117" i="5"/>
  <c r="M117" i="5"/>
  <c r="K117" i="5"/>
  <c r="L117" i="5"/>
  <c r="E77" i="5"/>
  <c r="I77" i="5" s="1"/>
  <c r="J77" i="5" s="1"/>
  <c r="S77" i="5"/>
  <c r="R77" i="5"/>
  <c r="Q77" i="5"/>
  <c r="P77" i="5"/>
  <c r="O77" i="5"/>
  <c r="N77" i="5"/>
  <c r="M77" i="5"/>
  <c r="K77" i="5"/>
  <c r="L77" i="5"/>
  <c r="E29" i="5"/>
  <c r="I29" i="5" s="1"/>
  <c r="J29" i="5" s="1"/>
  <c r="S29" i="5"/>
  <c r="R29" i="5"/>
  <c r="Q29" i="5"/>
  <c r="P29" i="5"/>
  <c r="O29" i="5"/>
  <c r="N29" i="5"/>
  <c r="M29" i="5"/>
  <c r="L29" i="5"/>
  <c r="K29" i="5"/>
  <c r="E3" i="5"/>
  <c r="I3" i="5" s="1"/>
  <c r="J3" i="5" s="1"/>
  <c r="S3" i="5"/>
  <c r="R3" i="5"/>
  <c r="Q3" i="5"/>
  <c r="P3" i="5"/>
  <c r="N3" i="5"/>
  <c r="O3" i="5"/>
  <c r="M3" i="5"/>
  <c r="L3" i="5"/>
  <c r="K3" i="5"/>
  <c r="E8" i="5"/>
  <c r="I8" i="5" s="1"/>
  <c r="J8" i="5" s="1"/>
  <c r="S8" i="5"/>
  <c r="R8" i="5"/>
  <c r="Q8" i="5"/>
  <c r="P8" i="5"/>
  <c r="O8" i="5"/>
  <c r="N8" i="5"/>
  <c r="L8" i="5"/>
  <c r="M8" i="5"/>
  <c r="K8" i="5"/>
  <c r="E985" i="5"/>
  <c r="I985" i="5" s="1"/>
  <c r="J985" i="5" s="1"/>
  <c r="S985" i="5"/>
  <c r="R985" i="5"/>
  <c r="Q985" i="5"/>
  <c r="P985" i="5"/>
  <c r="O985" i="5"/>
  <c r="N985" i="5"/>
  <c r="M985" i="5"/>
  <c r="L985" i="5"/>
  <c r="E977" i="5"/>
  <c r="I977" i="5" s="1"/>
  <c r="J977" i="5" s="1"/>
  <c r="S977" i="5"/>
  <c r="R977" i="5"/>
  <c r="Q977" i="5"/>
  <c r="P977" i="5"/>
  <c r="O977" i="5"/>
  <c r="N977" i="5"/>
  <c r="M977" i="5"/>
  <c r="L977" i="5"/>
  <c r="E969" i="5"/>
  <c r="I969" i="5" s="1"/>
  <c r="J969" i="5" s="1"/>
  <c r="S969" i="5"/>
  <c r="R969" i="5"/>
  <c r="Q969" i="5"/>
  <c r="P969" i="5"/>
  <c r="O969" i="5"/>
  <c r="N969" i="5"/>
  <c r="M969" i="5"/>
  <c r="L969" i="5"/>
  <c r="E961" i="5"/>
  <c r="I961" i="5" s="1"/>
  <c r="J961" i="5" s="1"/>
  <c r="S961" i="5"/>
  <c r="R961" i="5"/>
  <c r="Q961" i="5"/>
  <c r="P961" i="5"/>
  <c r="O961" i="5"/>
  <c r="N961" i="5"/>
  <c r="M961" i="5"/>
  <c r="L961" i="5"/>
  <c r="E953" i="5"/>
  <c r="I953" i="5" s="1"/>
  <c r="J953" i="5" s="1"/>
  <c r="S953" i="5"/>
  <c r="R953" i="5"/>
  <c r="Q953" i="5"/>
  <c r="P953" i="5"/>
  <c r="O953" i="5"/>
  <c r="N953" i="5"/>
  <c r="M953" i="5"/>
  <c r="L953" i="5"/>
  <c r="E945" i="5"/>
  <c r="I945" i="5" s="1"/>
  <c r="J945" i="5" s="1"/>
  <c r="S945" i="5"/>
  <c r="R945" i="5"/>
  <c r="Q945" i="5"/>
  <c r="P945" i="5"/>
  <c r="O945" i="5"/>
  <c r="N945" i="5"/>
  <c r="M945" i="5"/>
  <c r="L945" i="5"/>
  <c r="E937" i="5"/>
  <c r="I937" i="5" s="1"/>
  <c r="J937" i="5" s="1"/>
  <c r="S937" i="5"/>
  <c r="R937" i="5"/>
  <c r="Q937" i="5"/>
  <c r="P937" i="5"/>
  <c r="O937" i="5"/>
  <c r="N937" i="5"/>
  <c r="M937" i="5"/>
  <c r="L937" i="5"/>
  <c r="E929" i="5"/>
  <c r="I929" i="5" s="1"/>
  <c r="J929" i="5" s="1"/>
  <c r="S929" i="5"/>
  <c r="R929" i="5"/>
  <c r="Q929" i="5"/>
  <c r="P929" i="5"/>
  <c r="O929" i="5"/>
  <c r="N929" i="5"/>
  <c r="M929" i="5"/>
  <c r="L929" i="5"/>
  <c r="E921" i="5"/>
  <c r="I921" i="5" s="1"/>
  <c r="J921" i="5" s="1"/>
  <c r="S921" i="5"/>
  <c r="R921" i="5"/>
  <c r="Q921" i="5"/>
  <c r="P921" i="5"/>
  <c r="O921" i="5"/>
  <c r="N921" i="5"/>
  <c r="M921" i="5"/>
  <c r="L921" i="5"/>
  <c r="E913" i="5"/>
  <c r="I913" i="5" s="1"/>
  <c r="J913" i="5" s="1"/>
  <c r="S913" i="5"/>
  <c r="R913" i="5"/>
  <c r="Q913" i="5"/>
  <c r="P913" i="5"/>
  <c r="O913" i="5"/>
  <c r="N913" i="5"/>
  <c r="M913" i="5"/>
  <c r="L913" i="5"/>
  <c r="E905" i="5"/>
  <c r="I905" i="5" s="1"/>
  <c r="J905" i="5" s="1"/>
  <c r="S905" i="5"/>
  <c r="R905" i="5"/>
  <c r="Q905" i="5"/>
  <c r="P905" i="5"/>
  <c r="O905" i="5"/>
  <c r="N905" i="5"/>
  <c r="M905" i="5"/>
  <c r="L905" i="5"/>
  <c r="E897" i="5"/>
  <c r="I897" i="5" s="1"/>
  <c r="J897" i="5" s="1"/>
  <c r="S897" i="5"/>
  <c r="R897" i="5"/>
  <c r="Q897" i="5"/>
  <c r="P897" i="5"/>
  <c r="O897" i="5"/>
  <c r="N897" i="5"/>
  <c r="M897" i="5"/>
  <c r="L897" i="5"/>
  <c r="E889" i="5"/>
  <c r="I889" i="5" s="1"/>
  <c r="J889" i="5" s="1"/>
  <c r="S889" i="5"/>
  <c r="R889" i="5"/>
  <c r="Q889" i="5"/>
  <c r="P889" i="5"/>
  <c r="O889" i="5"/>
  <c r="N889" i="5"/>
  <c r="M889" i="5"/>
  <c r="L889" i="5"/>
  <c r="E881" i="5"/>
  <c r="I881" i="5" s="1"/>
  <c r="J881" i="5" s="1"/>
  <c r="S881" i="5"/>
  <c r="R881" i="5"/>
  <c r="Q881" i="5"/>
  <c r="P881" i="5"/>
  <c r="O881" i="5"/>
  <c r="N881" i="5"/>
  <c r="M881" i="5"/>
  <c r="L881" i="5"/>
  <c r="E873" i="5"/>
  <c r="I873" i="5" s="1"/>
  <c r="J873" i="5" s="1"/>
  <c r="S873" i="5"/>
  <c r="R873" i="5"/>
  <c r="Q873" i="5"/>
  <c r="P873" i="5"/>
  <c r="O873" i="5"/>
  <c r="N873" i="5"/>
  <c r="M873" i="5"/>
  <c r="L873" i="5"/>
  <c r="E865" i="5"/>
  <c r="I865" i="5" s="1"/>
  <c r="J865" i="5" s="1"/>
  <c r="S865" i="5"/>
  <c r="R865" i="5"/>
  <c r="Q865" i="5"/>
  <c r="P865" i="5"/>
  <c r="O865" i="5"/>
  <c r="N865" i="5"/>
  <c r="M865" i="5"/>
  <c r="L865" i="5"/>
  <c r="E857" i="5"/>
  <c r="I857" i="5" s="1"/>
  <c r="J857" i="5" s="1"/>
  <c r="S857" i="5"/>
  <c r="R857" i="5"/>
  <c r="Q857" i="5"/>
  <c r="P857" i="5"/>
  <c r="O857" i="5"/>
  <c r="N857" i="5"/>
  <c r="M857" i="5"/>
  <c r="L857" i="5"/>
  <c r="E849" i="5"/>
  <c r="I849" i="5" s="1"/>
  <c r="J849" i="5" s="1"/>
  <c r="S849" i="5"/>
  <c r="R849" i="5"/>
  <c r="Q849" i="5"/>
  <c r="P849" i="5"/>
  <c r="O849" i="5"/>
  <c r="N849" i="5"/>
  <c r="M849" i="5"/>
  <c r="L849" i="5"/>
  <c r="E841" i="5"/>
  <c r="I841" i="5" s="1"/>
  <c r="J841" i="5" s="1"/>
  <c r="S841" i="5"/>
  <c r="R841" i="5"/>
  <c r="Q841" i="5"/>
  <c r="P841" i="5"/>
  <c r="O841" i="5"/>
  <c r="N841" i="5"/>
  <c r="M841" i="5"/>
  <c r="L841" i="5"/>
  <c r="E833" i="5"/>
  <c r="I833" i="5" s="1"/>
  <c r="J833" i="5" s="1"/>
  <c r="S833" i="5"/>
  <c r="R833" i="5"/>
  <c r="Q833" i="5"/>
  <c r="P833" i="5"/>
  <c r="O833" i="5"/>
  <c r="N833" i="5"/>
  <c r="M833" i="5"/>
  <c r="L833" i="5"/>
  <c r="E825" i="5"/>
  <c r="I825" i="5" s="1"/>
  <c r="J825" i="5" s="1"/>
  <c r="S825" i="5"/>
  <c r="R825" i="5"/>
  <c r="Q825" i="5"/>
  <c r="P825" i="5"/>
  <c r="O825" i="5"/>
  <c r="N825" i="5"/>
  <c r="M825" i="5"/>
  <c r="L825" i="5"/>
  <c r="E817" i="5"/>
  <c r="I817" i="5" s="1"/>
  <c r="J817" i="5" s="1"/>
  <c r="S817" i="5"/>
  <c r="R817" i="5"/>
  <c r="Q817" i="5"/>
  <c r="P817" i="5"/>
  <c r="O817" i="5"/>
  <c r="N817" i="5"/>
  <c r="M817" i="5"/>
  <c r="L817" i="5"/>
  <c r="E809" i="5"/>
  <c r="I809" i="5" s="1"/>
  <c r="J809" i="5" s="1"/>
  <c r="S809" i="5"/>
  <c r="R809" i="5"/>
  <c r="Q809" i="5"/>
  <c r="P809" i="5"/>
  <c r="O809" i="5"/>
  <c r="N809" i="5"/>
  <c r="M809" i="5"/>
  <c r="L809" i="5"/>
  <c r="E801" i="5"/>
  <c r="I801" i="5" s="1"/>
  <c r="J801" i="5" s="1"/>
  <c r="S801" i="5"/>
  <c r="R801" i="5"/>
  <c r="Q801" i="5"/>
  <c r="P801" i="5"/>
  <c r="O801" i="5"/>
  <c r="N801" i="5"/>
  <c r="M801" i="5"/>
  <c r="L801" i="5"/>
  <c r="E793" i="5"/>
  <c r="I793" i="5" s="1"/>
  <c r="J793" i="5" s="1"/>
  <c r="S793" i="5"/>
  <c r="R793" i="5"/>
  <c r="Q793" i="5"/>
  <c r="P793" i="5"/>
  <c r="O793" i="5"/>
  <c r="N793" i="5"/>
  <c r="M793" i="5"/>
  <c r="L793" i="5"/>
  <c r="E785" i="5"/>
  <c r="I785" i="5" s="1"/>
  <c r="J785" i="5" s="1"/>
  <c r="S785" i="5"/>
  <c r="R785" i="5"/>
  <c r="Q785" i="5"/>
  <c r="P785" i="5"/>
  <c r="O785" i="5"/>
  <c r="N785" i="5"/>
  <c r="M785" i="5"/>
  <c r="L785" i="5"/>
  <c r="E777" i="5"/>
  <c r="I777" i="5" s="1"/>
  <c r="J777" i="5" s="1"/>
  <c r="S777" i="5"/>
  <c r="R777" i="5"/>
  <c r="Q777" i="5"/>
  <c r="P777" i="5"/>
  <c r="O777" i="5"/>
  <c r="N777" i="5"/>
  <c r="M777" i="5"/>
  <c r="L777" i="5"/>
  <c r="E769" i="5"/>
  <c r="I769" i="5" s="1"/>
  <c r="J769" i="5" s="1"/>
  <c r="S769" i="5"/>
  <c r="R769" i="5"/>
  <c r="Q769" i="5"/>
  <c r="P769" i="5"/>
  <c r="O769" i="5"/>
  <c r="N769" i="5"/>
  <c r="M769" i="5"/>
  <c r="L769" i="5"/>
  <c r="E761" i="5"/>
  <c r="I761" i="5" s="1"/>
  <c r="J761" i="5" s="1"/>
  <c r="S761" i="5"/>
  <c r="R761" i="5"/>
  <c r="Q761" i="5"/>
  <c r="P761" i="5"/>
  <c r="O761" i="5"/>
  <c r="N761" i="5"/>
  <c r="M761" i="5"/>
  <c r="L761" i="5"/>
  <c r="E753" i="5"/>
  <c r="I753" i="5" s="1"/>
  <c r="J753" i="5" s="1"/>
  <c r="S753" i="5"/>
  <c r="R753" i="5"/>
  <c r="Q753" i="5"/>
  <c r="P753" i="5"/>
  <c r="O753" i="5"/>
  <c r="N753" i="5"/>
  <c r="M753" i="5"/>
  <c r="L753" i="5"/>
  <c r="E745" i="5"/>
  <c r="I745" i="5" s="1"/>
  <c r="J745" i="5" s="1"/>
  <c r="S745" i="5"/>
  <c r="R745" i="5"/>
  <c r="Q745" i="5"/>
  <c r="P745" i="5"/>
  <c r="O745" i="5"/>
  <c r="N745" i="5"/>
  <c r="M745" i="5"/>
  <c r="L745" i="5"/>
  <c r="E737" i="5"/>
  <c r="I737" i="5" s="1"/>
  <c r="J737" i="5" s="1"/>
  <c r="S737" i="5"/>
  <c r="R737" i="5"/>
  <c r="Q737" i="5"/>
  <c r="P737" i="5"/>
  <c r="O737" i="5"/>
  <c r="N737" i="5"/>
  <c r="M737" i="5"/>
  <c r="L737" i="5"/>
  <c r="E729" i="5"/>
  <c r="I729" i="5" s="1"/>
  <c r="J729" i="5" s="1"/>
  <c r="S729" i="5"/>
  <c r="R729" i="5"/>
  <c r="Q729" i="5"/>
  <c r="P729" i="5"/>
  <c r="O729" i="5"/>
  <c r="N729" i="5"/>
  <c r="M729" i="5"/>
  <c r="L729" i="5"/>
  <c r="E721" i="5"/>
  <c r="I721" i="5" s="1"/>
  <c r="J721" i="5" s="1"/>
  <c r="S721" i="5"/>
  <c r="R721" i="5"/>
  <c r="Q721" i="5"/>
  <c r="P721" i="5"/>
  <c r="O721" i="5"/>
  <c r="N721" i="5"/>
  <c r="M721" i="5"/>
  <c r="L721" i="5"/>
  <c r="E713" i="5"/>
  <c r="I713" i="5" s="1"/>
  <c r="J713" i="5" s="1"/>
  <c r="S713" i="5"/>
  <c r="R713" i="5"/>
  <c r="Q713" i="5"/>
  <c r="P713" i="5"/>
  <c r="O713" i="5"/>
  <c r="N713" i="5"/>
  <c r="M713" i="5"/>
  <c r="L713" i="5"/>
  <c r="E705" i="5"/>
  <c r="I705" i="5" s="1"/>
  <c r="J705" i="5" s="1"/>
  <c r="S705" i="5"/>
  <c r="R705" i="5"/>
  <c r="Q705" i="5"/>
  <c r="P705" i="5"/>
  <c r="O705" i="5"/>
  <c r="N705" i="5"/>
  <c r="M705" i="5"/>
  <c r="L705" i="5"/>
  <c r="E697" i="5"/>
  <c r="I697" i="5" s="1"/>
  <c r="J697" i="5" s="1"/>
  <c r="S697" i="5"/>
  <c r="R697" i="5"/>
  <c r="Q697" i="5"/>
  <c r="P697" i="5"/>
  <c r="O697" i="5"/>
  <c r="N697" i="5"/>
  <c r="M697" i="5"/>
  <c r="L697" i="5"/>
  <c r="E689" i="5"/>
  <c r="I689" i="5" s="1"/>
  <c r="J689" i="5" s="1"/>
  <c r="S689" i="5"/>
  <c r="R689" i="5"/>
  <c r="Q689" i="5"/>
  <c r="P689" i="5"/>
  <c r="O689" i="5"/>
  <c r="N689" i="5"/>
  <c r="M689" i="5"/>
  <c r="L689" i="5"/>
  <c r="E681" i="5"/>
  <c r="I681" i="5" s="1"/>
  <c r="J681" i="5" s="1"/>
  <c r="S681" i="5"/>
  <c r="R681" i="5"/>
  <c r="Q681" i="5"/>
  <c r="P681" i="5"/>
  <c r="O681" i="5"/>
  <c r="N681" i="5"/>
  <c r="M681" i="5"/>
  <c r="L681" i="5"/>
  <c r="E673" i="5"/>
  <c r="I673" i="5" s="1"/>
  <c r="J673" i="5" s="1"/>
  <c r="S673" i="5"/>
  <c r="R673" i="5"/>
  <c r="Q673" i="5"/>
  <c r="P673" i="5"/>
  <c r="O673" i="5"/>
  <c r="N673" i="5"/>
  <c r="M673" i="5"/>
  <c r="L673" i="5"/>
  <c r="E665" i="5"/>
  <c r="I665" i="5" s="1"/>
  <c r="J665" i="5" s="1"/>
  <c r="S665" i="5"/>
  <c r="R665" i="5"/>
  <c r="Q665" i="5"/>
  <c r="P665" i="5"/>
  <c r="O665" i="5"/>
  <c r="N665" i="5"/>
  <c r="M665" i="5"/>
  <c r="L665" i="5"/>
  <c r="E657" i="5"/>
  <c r="I657" i="5" s="1"/>
  <c r="J657" i="5" s="1"/>
  <c r="S657" i="5"/>
  <c r="R657" i="5"/>
  <c r="Q657" i="5"/>
  <c r="P657" i="5"/>
  <c r="O657" i="5"/>
  <c r="N657" i="5"/>
  <c r="M657" i="5"/>
  <c r="L657" i="5"/>
  <c r="E649" i="5"/>
  <c r="I649" i="5" s="1"/>
  <c r="J649" i="5" s="1"/>
  <c r="S649" i="5"/>
  <c r="R649" i="5"/>
  <c r="Q649" i="5"/>
  <c r="P649" i="5"/>
  <c r="O649" i="5"/>
  <c r="N649" i="5"/>
  <c r="M649" i="5"/>
  <c r="L649" i="5"/>
  <c r="E641" i="5"/>
  <c r="I641" i="5" s="1"/>
  <c r="J641" i="5" s="1"/>
  <c r="S641" i="5"/>
  <c r="R641" i="5"/>
  <c r="Q641" i="5"/>
  <c r="P641" i="5"/>
  <c r="O641" i="5"/>
  <c r="N641" i="5"/>
  <c r="M641" i="5"/>
  <c r="L641" i="5"/>
  <c r="E633" i="5"/>
  <c r="I633" i="5" s="1"/>
  <c r="J633" i="5" s="1"/>
  <c r="S633" i="5"/>
  <c r="R633" i="5"/>
  <c r="Q633" i="5"/>
  <c r="P633" i="5"/>
  <c r="O633" i="5"/>
  <c r="N633" i="5"/>
  <c r="M633" i="5"/>
  <c r="L633" i="5"/>
  <c r="E625" i="5"/>
  <c r="I625" i="5" s="1"/>
  <c r="J625" i="5" s="1"/>
  <c r="S625" i="5"/>
  <c r="R625" i="5"/>
  <c r="Q625" i="5"/>
  <c r="P625" i="5"/>
  <c r="O625" i="5"/>
  <c r="N625" i="5"/>
  <c r="M625" i="5"/>
  <c r="L625" i="5"/>
  <c r="E617" i="5"/>
  <c r="I617" i="5" s="1"/>
  <c r="J617" i="5" s="1"/>
  <c r="S617" i="5"/>
  <c r="R617" i="5"/>
  <c r="Q617" i="5"/>
  <c r="P617" i="5"/>
  <c r="O617" i="5"/>
  <c r="N617" i="5"/>
  <c r="M617" i="5"/>
  <c r="L617" i="5"/>
  <c r="E609" i="5"/>
  <c r="I609" i="5" s="1"/>
  <c r="J609" i="5" s="1"/>
  <c r="S609" i="5"/>
  <c r="R609" i="5"/>
  <c r="Q609" i="5"/>
  <c r="P609" i="5"/>
  <c r="O609" i="5"/>
  <c r="N609" i="5"/>
  <c r="M609" i="5"/>
  <c r="L609" i="5"/>
  <c r="E601" i="5"/>
  <c r="I601" i="5" s="1"/>
  <c r="J601" i="5" s="1"/>
  <c r="S601" i="5"/>
  <c r="R601" i="5"/>
  <c r="Q601" i="5"/>
  <c r="P601" i="5"/>
  <c r="O601" i="5"/>
  <c r="N601" i="5"/>
  <c r="M601" i="5"/>
  <c r="L601" i="5"/>
  <c r="E593" i="5"/>
  <c r="I593" i="5" s="1"/>
  <c r="J593" i="5" s="1"/>
  <c r="S593" i="5"/>
  <c r="R593" i="5"/>
  <c r="Q593" i="5"/>
  <c r="P593" i="5"/>
  <c r="O593" i="5"/>
  <c r="N593" i="5"/>
  <c r="M593" i="5"/>
  <c r="L593" i="5"/>
  <c r="E585" i="5"/>
  <c r="I585" i="5" s="1"/>
  <c r="J585" i="5" s="1"/>
  <c r="S585" i="5"/>
  <c r="R585" i="5"/>
  <c r="Q585" i="5"/>
  <c r="P585" i="5"/>
  <c r="O585" i="5"/>
  <c r="N585" i="5"/>
  <c r="M585" i="5"/>
  <c r="L585" i="5"/>
  <c r="E577" i="5"/>
  <c r="I577" i="5" s="1"/>
  <c r="J577" i="5" s="1"/>
  <c r="S577" i="5"/>
  <c r="R577" i="5"/>
  <c r="Q577" i="5"/>
  <c r="P577" i="5"/>
  <c r="O577" i="5"/>
  <c r="N577" i="5"/>
  <c r="M577" i="5"/>
  <c r="L577" i="5"/>
  <c r="E569" i="5"/>
  <c r="I569" i="5" s="1"/>
  <c r="J569" i="5" s="1"/>
  <c r="S569" i="5"/>
  <c r="R569" i="5"/>
  <c r="Q569" i="5"/>
  <c r="P569" i="5"/>
  <c r="O569" i="5"/>
  <c r="N569" i="5"/>
  <c r="M569" i="5"/>
  <c r="L569" i="5"/>
  <c r="E561" i="5"/>
  <c r="I561" i="5" s="1"/>
  <c r="J561" i="5" s="1"/>
  <c r="S561" i="5"/>
  <c r="R561" i="5"/>
  <c r="Q561" i="5"/>
  <c r="P561" i="5"/>
  <c r="O561" i="5"/>
  <c r="N561" i="5"/>
  <c r="M561" i="5"/>
  <c r="L561" i="5"/>
  <c r="E553" i="5"/>
  <c r="I553" i="5" s="1"/>
  <c r="J553" i="5" s="1"/>
  <c r="S553" i="5"/>
  <c r="R553" i="5"/>
  <c r="Q553" i="5"/>
  <c r="P553" i="5"/>
  <c r="O553" i="5"/>
  <c r="N553" i="5"/>
  <c r="M553" i="5"/>
  <c r="L553" i="5"/>
  <c r="E545" i="5"/>
  <c r="I545" i="5" s="1"/>
  <c r="J545" i="5" s="1"/>
  <c r="S545" i="5"/>
  <c r="R545" i="5"/>
  <c r="Q545" i="5"/>
  <c r="P545" i="5"/>
  <c r="O545" i="5"/>
  <c r="N545" i="5"/>
  <c r="M545" i="5"/>
  <c r="L545" i="5"/>
  <c r="E537" i="5"/>
  <c r="I537" i="5" s="1"/>
  <c r="J537" i="5" s="1"/>
  <c r="S537" i="5"/>
  <c r="R537" i="5"/>
  <c r="Q537" i="5"/>
  <c r="P537" i="5"/>
  <c r="O537" i="5"/>
  <c r="N537" i="5"/>
  <c r="M537" i="5"/>
  <c r="L537" i="5"/>
  <c r="E529" i="5"/>
  <c r="I529" i="5" s="1"/>
  <c r="J529" i="5" s="1"/>
  <c r="S529" i="5"/>
  <c r="R529" i="5"/>
  <c r="Q529" i="5"/>
  <c r="P529" i="5"/>
  <c r="O529" i="5"/>
  <c r="N529" i="5"/>
  <c r="M529" i="5"/>
  <c r="L529" i="5"/>
  <c r="E521" i="5"/>
  <c r="I521" i="5" s="1"/>
  <c r="J521" i="5" s="1"/>
  <c r="R521" i="5"/>
  <c r="S521" i="5"/>
  <c r="Q521" i="5"/>
  <c r="P521" i="5"/>
  <c r="O521" i="5"/>
  <c r="N521" i="5"/>
  <c r="M521" i="5"/>
  <c r="L521" i="5"/>
  <c r="E513" i="5"/>
  <c r="I513" i="5" s="1"/>
  <c r="J513" i="5" s="1"/>
  <c r="R513" i="5"/>
  <c r="S513" i="5"/>
  <c r="Q513" i="5"/>
  <c r="P513" i="5"/>
  <c r="O513" i="5"/>
  <c r="N513" i="5"/>
  <c r="M513" i="5"/>
  <c r="L513" i="5"/>
  <c r="E505" i="5"/>
  <c r="I505" i="5" s="1"/>
  <c r="J505" i="5" s="1"/>
  <c r="S505" i="5"/>
  <c r="R505" i="5"/>
  <c r="Q505" i="5"/>
  <c r="P505" i="5"/>
  <c r="O505" i="5"/>
  <c r="N505" i="5"/>
  <c r="M505" i="5"/>
  <c r="L505" i="5"/>
  <c r="E497" i="5"/>
  <c r="I497" i="5" s="1"/>
  <c r="J497" i="5" s="1"/>
  <c r="S497" i="5"/>
  <c r="R497" i="5"/>
  <c r="Q497" i="5"/>
  <c r="P497" i="5"/>
  <c r="O497" i="5"/>
  <c r="N497" i="5"/>
  <c r="M497" i="5"/>
  <c r="L497" i="5"/>
  <c r="E489" i="5"/>
  <c r="I489" i="5" s="1"/>
  <c r="J489" i="5" s="1"/>
  <c r="S489" i="5"/>
  <c r="R489" i="5"/>
  <c r="Q489" i="5"/>
  <c r="P489" i="5"/>
  <c r="O489" i="5"/>
  <c r="N489" i="5"/>
  <c r="M489" i="5"/>
  <c r="L489" i="5"/>
  <c r="E481" i="5"/>
  <c r="I481" i="5" s="1"/>
  <c r="J481" i="5" s="1"/>
  <c r="S481" i="5"/>
  <c r="R481" i="5"/>
  <c r="Q481" i="5"/>
  <c r="P481" i="5"/>
  <c r="O481" i="5"/>
  <c r="N481" i="5"/>
  <c r="M481" i="5"/>
  <c r="L481" i="5"/>
  <c r="E473" i="5"/>
  <c r="I473" i="5" s="1"/>
  <c r="J473" i="5" s="1"/>
  <c r="S473" i="5"/>
  <c r="R473" i="5"/>
  <c r="Q473" i="5"/>
  <c r="P473" i="5"/>
  <c r="O473" i="5"/>
  <c r="N473" i="5"/>
  <c r="M473" i="5"/>
  <c r="L473" i="5"/>
  <c r="E465" i="5"/>
  <c r="I465" i="5" s="1"/>
  <c r="J465" i="5" s="1"/>
  <c r="S465" i="5"/>
  <c r="R465" i="5"/>
  <c r="Q465" i="5"/>
  <c r="P465" i="5"/>
  <c r="O465" i="5"/>
  <c r="N465" i="5"/>
  <c r="M465" i="5"/>
  <c r="L465" i="5"/>
  <c r="E457" i="5"/>
  <c r="I457" i="5" s="1"/>
  <c r="J457" i="5" s="1"/>
  <c r="R457" i="5"/>
  <c r="S457" i="5"/>
  <c r="Q457" i="5"/>
  <c r="P457" i="5"/>
  <c r="O457" i="5"/>
  <c r="N457" i="5"/>
  <c r="M457" i="5"/>
  <c r="L457" i="5"/>
  <c r="E449" i="5"/>
  <c r="I449" i="5" s="1"/>
  <c r="J449" i="5" s="1"/>
  <c r="R449" i="5"/>
  <c r="S449" i="5"/>
  <c r="Q449" i="5"/>
  <c r="P449" i="5"/>
  <c r="O449" i="5"/>
  <c r="N449" i="5"/>
  <c r="M449" i="5"/>
  <c r="L449" i="5"/>
  <c r="E441" i="5"/>
  <c r="I441" i="5" s="1"/>
  <c r="J441" i="5" s="1"/>
  <c r="S441" i="5"/>
  <c r="R441" i="5"/>
  <c r="Q441" i="5"/>
  <c r="P441" i="5"/>
  <c r="O441" i="5"/>
  <c r="N441" i="5"/>
  <c r="M441" i="5"/>
  <c r="L441" i="5"/>
  <c r="E433" i="5"/>
  <c r="I433" i="5" s="1"/>
  <c r="J433" i="5" s="1"/>
  <c r="S433" i="5"/>
  <c r="R433" i="5"/>
  <c r="Q433" i="5"/>
  <c r="P433" i="5"/>
  <c r="O433" i="5"/>
  <c r="N433" i="5"/>
  <c r="M433" i="5"/>
  <c r="L433" i="5"/>
  <c r="E425" i="5"/>
  <c r="I425" i="5" s="1"/>
  <c r="J425" i="5" s="1"/>
  <c r="S425" i="5"/>
  <c r="R425" i="5"/>
  <c r="Q425" i="5"/>
  <c r="P425" i="5"/>
  <c r="O425" i="5"/>
  <c r="N425" i="5"/>
  <c r="M425" i="5"/>
  <c r="L425" i="5"/>
  <c r="E417" i="5"/>
  <c r="I417" i="5" s="1"/>
  <c r="J417" i="5" s="1"/>
  <c r="S417" i="5"/>
  <c r="R417" i="5"/>
  <c r="Q417" i="5"/>
  <c r="P417" i="5"/>
  <c r="O417" i="5"/>
  <c r="N417" i="5"/>
  <c r="M417" i="5"/>
  <c r="L417" i="5"/>
  <c r="E409" i="5"/>
  <c r="I409" i="5" s="1"/>
  <c r="J409" i="5" s="1"/>
  <c r="S409" i="5"/>
  <c r="R409" i="5"/>
  <c r="Q409" i="5"/>
  <c r="P409" i="5"/>
  <c r="O409" i="5"/>
  <c r="N409" i="5"/>
  <c r="M409" i="5"/>
  <c r="L409" i="5"/>
  <c r="E401" i="5"/>
  <c r="I401" i="5" s="1"/>
  <c r="J401" i="5" s="1"/>
  <c r="S401" i="5"/>
  <c r="R401" i="5"/>
  <c r="Q401" i="5"/>
  <c r="P401" i="5"/>
  <c r="O401" i="5"/>
  <c r="N401" i="5"/>
  <c r="M401" i="5"/>
  <c r="L401" i="5"/>
  <c r="K401" i="5"/>
  <c r="E393" i="5"/>
  <c r="I393" i="5" s="1"/>
  <c r="J393" i="5" s="1"/>
  <c r="R393" i="5"/>
  <c r="S393" i="5"/>
  <c r="Q393" i="5"/>
  <c r="P393" i="5"/>
  <c r="O393" i="5"/>
  <c r="N393" i="5"/>
  <c r="M393" i="5"/>
  <c r="L393" i="5"/>
  <c r="K393" i="5"/>
  <c r="E385" i="5"/>
  <c r="I385" i="5" s="1"/>
  <c r="J385" i="5" s="1"/>
  <c r="R385" i="5"/>
  <c r="S385" i="5"/>
  <c r="Q385" i="5"/>
  <c r="P385" i="5"/>
  <c r="O385" i="5"/>
  <c r="N385" i="5"/>
  <c r="M385" i="5"/>
  <c r="L385" i="5"/>
  <c r="K385" i="5"/>
  <c r="E377" i="5"/>
  <c r="I377" i="5" s="1"/>
  <c r="J377" i="5" s="1"/>
  <c r="S377" i="5"/>
  <c r="R377" i="5"/>
  <c r="Q377" i="5"/>
  <c r="P377" i="5"/>
  <c r="O377" i="5"/>
  <c r="N377" i="5"/>
  <c r="M377" i="5"/>
  <c r="L377" i="5"/>
  <c r="K377" i="5"/>
  <c r="E369" i="5"/>
  <c r="I369" i="5" s="1"/>
  <c r="J369" i="5" s="1"/>
  <c r="S369" i="5"/>
  <c r="R369" i="5"/>
  <c r="Q369" i="5"/>
  <c r="P369" i="5"/>
  <c r="O369" i="5"/>
  <c r="N369" i="5"/>
  <c r="M369" i="5"/>
  <c r="L369" i="5"/>
  <c r="K369" i="5"/>
  <c r="E361" i="5"/>
  <c r="I361" i="5" s="1"/>
  <c r="J361" i="5" s="1"/>
  <c r="S361" i="5"/>
  <c r="R361" i="5"/>
  <c r="Q361" i="5"/>
  <c r="P361" i="5"/>
  <c r="O361" i="5"/>
  <c r="N361" i="5"/>
  <c r="M361" i="5"/>
  <c r="L361" i="5"/>
  <c r="K361" i="5"/>
  <c r="E353" i="5"/>
  <c r="I353" i="5" s="1"/>
  <c r="J353" i="5" s="1"/>
  <c r="S353" i="5"/>
  <c r="R353" i="5"/>
  <c r="Q353" i="5"/>
  <c r="P353" i="5"/>
  <c r="O353" i="5"/>
  <c r="N353" i="5"/>
  <c r="M353" i="5"/>
  <c r="L353" i="5"/>
  <c r="K353" i="5"/>
  <c r="E345" i="5"/>
  <c r="I345" i="5" s="1"/>
  <c r="J345" i="5" s="1"/>
  <c r="S345" i="5"/>
  <c r="R345" i="5"/>
  <c r="Q345" i="5"/>
  <c r="P345" i="5"/>
  <c r="O345" i="5"/>
  <c r="N345" i="5"/>
  <c r="M345" i="5"/>
  <c r="L345" i="5"/>
  <c r="K345" i="5"/>
  <c r="E337" i="5"/>
  <c r="I337" i="5" s="1"/>
  <c r="J337" i="5" s="1"/>
  <c r="S337" i="5"/>
  <c r="R337" i="5"/>
  <c r="Q337" i="5"/>
  <c r="P337" i="5"/>
  <c r="O337" i="5"/>
  <c r="N337" i="5"/>
  <c r="M337" i="5"/>
  <c r="L337" i="5"/>
  <c r="K337" i="5"/>
  <c r="E329" i="5"/>
  <c r="I329" i="5" s="1"/>
  <c r="J329" i="5" s="1"/>
  <c r="S329" i="5"/>
  <c r="R329" i="5"/>
  <c r="Q329" i="5"/>
  <c r="P329" i="5"/>
  <c r="O329" i="5"/>
  <c r="N329" i="5"/>
  <c r="M329" i="5"/>
  <c r="L329" i="5"/>
  <c r="K329" i="5"/>
  <c r="E321" i="5"/>
  <c r="I321" i="5" s="1"/>
  <c r="J321" i="5" s="1"/>
  <c r="S321" i="5"/>
  <c r="R321" i="5"/>
  <c r="Q321" i="5"/>
  <c r="P321" i="5"/>
  <c r="O321" i="5"/>
  <c r="N321" i="5"/>
  <c r="M321" i="5"/>
  <c r="L321" i="5"/>
  <c r="K321" i="5"/>
  <c r="E313" i="5"/>
  <c r="I313" i="5" s="1"/>
  <c r="J313" i="5" s="1"/>
  <c r="S313" i="5"/>
  <c r="R313" i="5"/>
  <c r="Q313" i="5"/>
  <c r="P313" i="5"/>
  <c r="O313" i="5"/>
  <c r="N313" i="5"/>
  <c r="M313" i="5"/>
  <c r="L313" i="5"/>
  <c r="K313" i="5"/>
  <c r="E305" i="5"/>
  <c r="I305" i="5" s="1"/>
  <c r="J305" i="5" s="1"/>
  <c r="S305" i="5"/>
  <c r="R305" i="5"/>
  <c r="Q305" i="5"/>
  <c r="P305" i="5"/>
  <c r="O305" i="5"/>
  <c r="N305" i="5"/>
  <c r="M305" i="5"/>
  <c r="L305" i="5"/>
  <c r="K305" i="5"/>
  <c r="E297" i="5"/>
  <c r="I297" i="5" s="1"/>
  <c r="J297" i="5" s="1"/>
  <c r="S297" i="5"/>
  <c r="R297" i="5"/>
  <c r="Q297" i="5"/>
  <c r="P297" i="5"/>
  <c r="O297" i="5"/>
  <c r="N297" i="5"/>
  <c r="M297" i="5"/>
  <c r="L297" i="5"/>
  <c r="K297" i="5"/>
  <c r="E289" i="5"/>
  <c r="I289" i="5" s="1"/>
  <c r="J289" i="5" s="1"/>
  <c r="S289" i="5"/>
  <c r="R289" i="5"/>
  <c r="Q289" i="5"/>
  <c r="P289" i="5"/>
  <c r="O289" i="5"/>
  <c r="N289" i="5"/>
  <c r="M289" i="5"/>
  <c r="L289" i="5"/>
  <c r="K289" i="5"/>
  <c r="E281" i="5"/>
  <c r="I281" i="5" s="1"/>
  <c r="J281" i="5" s="1"/>
  <c r="S281" i="5"/>
  <c r="R281" i="5"/>
  <c r="Q281" i="5"/>
  <c r="P281" i="5"/>
  <c r="O281" i="5"/>
  <c r="N281" i="5"/>
  <c r="M281" i="5"/>
  <c r="L281" i="5"/>
  <c r="K281" i="5"/>
  <c r="E273" i="5"/>
  <c r="I273" i="5" s="1"/>
  <c r="J273" i="5" s="1"/>
  <c r="S273" i="5"/>
  <c r="R273" i="5"/>
  <c r="Q273" i="5"/>
  <c r="P273" i="5"/>
  <c r="O273" i="5"/>
  <c r="N273" i="5"/>
  <c r="M273" i="5"/>
  <c r="L273" i="5"/>
  <c r="K273" i="5"/>
  <c r="E265" i="5"/>
  <c r="I265" i="5" s="1"/>
  <c r="J265" i="5" s="1"/>
  <c r="R265" i="5"/>
  <c r="S265" i="5"/>
  <c r="Q265" i="5"/>
  <c r="P265" i="5"/>
  <c r="O265" i="5"/>
  <c r="N265" i="5"/>
  <c r="M265" i="5"/>
  <c r="L265" i="5"/>
  <c r="K265" i="5"/>
  <c r="E257" i="5"/>
  <c r="I257" i="5" s="1"/>
  <c r="J257" i="5" s="1"/>
  <c r="R257" i="5"/>
  <c r="S257" i="5"/>
  <c r="Q257" i="5"/>
  <c r="P257" i="5"/>
  <c r="O257" i="5"/>
  <c r="N257" i="5"/>
  <c r="M257" i="5"/>
  <c r="L257" i="5"/>
  <c r="K257" i="5"/>
  <c r="E249" i="5"/>
  <c r="I249" i="5" s="1"/>
  <c r="J249" i="5" s="1"/>
  <c r="S249" i="5"/>
  <c r="R249" i="5"/>
  <c r="Q249" i="5"/>
  <c r="P249" i="5"/>
  <c r="O249" i="5"/>
  <c r="N249" i="5"/>
  <c r="M249" i="5"/>
  <c r="L249" i="5"/>
  <c r="K249" i="5"/>
  <c r="E241" i="5"/>
  <c r="I241" i="5" s="1"/>
  <c r="J241" i="5" s="1"/>
  <c r="S241" i="5"/>
  <c r="R241" i="5"/>
  <c r="Q241" i="5"/>
  <c r="P241" i="5"/>
  <c r="O241" i="5"/>
  <c r="N241" i="5"/>
  <c r="M241" i="5"/>
  <c r="L241" i="5"/>
  <c r="K241" i="5"/>
  <c r="E233" i="5"/>
  <c r="I233" i="5" s="1"/>
  <c r="J233" i="5" s="1"/>
  <c r="S233" i="5"/>
  <c r="R233" i="5"/>
  <c r="Q233" i="5"/>
  <c r="P233" i="5"/>
  <c r="O233" i="5"/>
  <c r="N233" i="5"/>
  <c r="M233" i="5"/>
  <c r="L233" i="5"/>
  <c r="K233" i="5"/>
  <c r="E225" i="5"/>
  <c r="I225" i="5" s="1"/>
  <c r="J225" i="5" s="1"/>
  <c r="S225" i="5"/>
  <c r="R225" i="5"/>
  <c r="Q225" i="5"/>
  <c r="P225" i="5"/>
  <c r="O225" i="5"/>
  <c r="N225" i="5"/>
  <c r="M225" i="5"/>
  <c r="L225" i="5"/>
  <c r="K225" i="5"/>
  <c r="E217" i="5"/>
  <c r="I217" i="5" s="1"/>
  <c r="J217" i="5" s="1"/>
  <c r="S217" i="5"/>
  <c r="R217" i="5"/>
  <c r="Q217" i="5"/>
  <c r="P217" i="5"/>
  <c r="O217" i="5"/>
  <c r="N217" i="5"/>
  <c r="M217" i="5"/>
  <c r="L217" i="5"/>
  <c r="K217" i="5"/>
  <c r="E209" i="5"/>
  <c r="I209" i="5" s="1"/>
  <c r="J209" i="5" s="1"/>
  <c r="S209" i="5"/>
  <c r="R209" i="5"/>
  <c r="Q209" i="5"/>
  <c r="P209" i="5"/>
  <c r="O209" i="5"/>
  <c r="N209" i="5"/>
  <c r="M209" i="5"/>
  <c r="L209" i="5"/>
  <c r="K209" i="5"/>
  <c r="E201" i="5"/>
  <c r="I201" i="5" s="1"/>
  <c r="J201" i="5" s="1"/>
  <c r="R201" i="5"/>
  <c r="S201" i="5"/>
  <c r="Q201" i="5"/>
  <c r="P201" i="5"/>
  <c r="O201" i="5"/>
  <c r="N201" i="5"/>
  <c r="M201" i="5"/>
  <c r="L201" i="5"/>
  <c r="K201" i="5"/>
  <c r="E193" i="5"/>
  <c r="I193" i="5" s="1"/>
  <c r="J193" i="5" s="1"/>
  <c r="R193" i="5"/>
  <c r="S193" i="5"/>
  <c r="Q193" i="5"/>
  <c r="P193" i="5"/>
  <c r="O193" i="5"/>
  <c r="N193" i="5"/>
  <c r="M193" i="5"/>
  <c r="L193" i="5"/>
  <c r="K193" i="5"/>
  <c r="E185" i="5"/>
  <c r="I185" i="5" s="1"/>
  <c r="J185" i="5" s="1"/>
  <c r="S185" i="5"/>
  <c r="R185" i="5"/>
  <c r="Q185" i="5"/>
  <c r="P185" i="5"/>
  <c r="O185" i="5"/>
  <c r="N185" i="5"/>
  <c r="M185" i="5"/>
  <c r="L185" i="5"/>
  <c r="K185" i="5"/>
  <c r="E177" i="5"/>
  <c r="I177" i="5" s="1"/>
  <c r="J177" i="5" s="1"/>
  <c r="S177" i="5"/>
  <c r="R177" i="5"/>
  <c r="Q177" i="5"/>
  <c r="P177" i="5"/>
  <c r="O177" i="5"/>
  <c r="N177" i="5"/>
  <c r="M177" i="5"/>
  <c r="L177" i="5"/>
  <c r="K177" i="5"/>
  <c r="E169" i="5"/>
  <c r="I169" i="5" s="1"/>
  <c r="J169" i="5" s="1"/>
  <c r="S169" i="5"/>
  <c r="R169" i="5"/>
  <c r="Q169" i="5"/>
  <c r="P169" i="5"/>
  <c r="O169" i="5"/>
  <c r="N169" i="5"/>
  <c r="M169" i="5"/>
  <c r="L169" i="5"/>
  <c r="K169" i="5"/>
  <c r="E161" i="5"/>
  <c r="I161" i="5" s="1"/>
  <c r="J161" i="5" s="1"/>
  <c r="S161" i="5"/>
  <c r="R161" i="5"/>
  <c r="Q161" i="5"/>
  <c r="P161" i="5"/>
  <c r="O161" i="5"/>
  <c r="N161" i="5"/>
  <c r="M161" i="5"/>
  <c r="L161" i="5"/>
  <c r="K161" i="5"/>
  <c r="E153" i="5"/>
  <c r="I153" i="5" s="1"/>
  <c r="J153" i="5" s="1"/>
  <c r="S153" i="5"/>
  <c r="R153" i="5"/>
  <c r="Q153" i="5"/>
  <c r="P153" i="5"/>
  <c r="O153" i="5"/>
  <c r="N153" i="5"/>
  <c r="M153" i="5"/>
  <c r="L153" i="5"/>
  <c r="K153" i="5"/>
  <c r="E145" i="5"/>
  <c r="I145" i="5" s="1"/>
  <c r="J145" i="5" s="1"/>
  <c r="S145" i="5"/>
  <c r="R145" i="5"/>
  <c r="Q145" i="5"/>
  <c r="P145" i="5"/>
  <c r="O145" i="5"/>
  <c r="N145" i="5"/>
  <c r="M145" i="5"/>
  <c r="L145" i="5"/>
  <c r="K145" i="5"/>
  <c r="E137" i="5"/>
  <c r="I137" i="5" s="1"/>
  <c r="J137" i="5" s="1"/>
  <c r="R137" i="5"/>
  <c r="S137" i="5"/>
  <c r="Q137" i="5"/>
  <c r="P137" i="5"/>
  <c r="O137" i="5"/>
  <c r="N137" i="5"/>
  <c r="M137" i="5"/>
  <c r="L137" i="5"/>
  <c r="K137" i="5"/>
  <c r="E129" i="5"/>
  <c r="I129" i="5" s="1"/>
  <c r="J129" i="5" s="1"/>
  <c r="R129" i="5"/>
  <c r="S129" i="5"/>
  <c r="Q129" i="5"/>
  <c r="P129" i="5"/>
  <c r="O129" i="5"/>
  <c r="N129" i="5"/>
  <c r="M129" i="5"/>
  <c r="L129" i="5"/>
  <c r="K129" i="5"/>
  <c r="E121" i="5"/>
  <c r="I121" i="5" s="1"/>
  <c r="J121" i="5" s="1"/>
  <c r="S121" i="5"/>
  <c r="R121" i="5"/>
  <c r="Q121" i="5"/>
  <c r="P121" i="5"/>
  <c r="O121" i="5"/>
  <c r="N121" i="5"/>
  <c r="M121" i="5"/>
  <c r="L121" i="5"/>
  <c r="K121" i="5"/>
  <c r="E113" i="5"/>
  <c r="I113" i="5" s="1"/>
  <c r="J113" i="5" s="1"/>
  <c r="S113" i="5"/>
  <c r="R113" i="5"/>
  <c r="Q113" i="5"/>
  <c r="P113" i="5"/>
  <c r="O113" i="5"/>
  <c r="N113" i="5"/>
  <c r="M113" i="5"/>
  <c r="L113" i="5"/>
  <c r="K113" i="5"/>
  <c r="E105" i="5"/>
  <c r="I105" i="5" s="1"/>
  <c r="J105" i="5" s="1"/>
  <c r="R105" i="5"/>
  <c r="S105" i="5"/>
  <c r="Q105" i="5"/>
  <c r="P105" i="5"/>
  <c r="O105" i="5"/>
  <c r="N105" i="5"/>
  <c r="M105" i="5"/>
  <c r="L105" i="5"/>
  <c r="K105" i="5"/>
  <c r="E97" i="5"/>
  <c r="I97" i="5" s="1"/>
  <c r="J97" i="5" s="1"/>
  <c r="R97" i="5"/>
  <c r="S97" i="5"/>
  <c r="Q97" i="5"/>
  <c r="P97" i="5"/>
  <c r="O97" i="5"/>
  <c r="N97" i="5"/>
  <c r="M97" i="5"/>
  <c r="L97" i="5"/>
  <c r="K97" i="5"/>
  <c r="E89" i="5"/>
  <c r="I89" i="5" s="1"/>
  <c r="J89" i="5" s="1"/>
  <c r="S89" i="5"/>
  <c r="R89" i="5"/>
  <c r="Q89" i="5"/>
  <c r="P89" i="5"/>
  <c r="O89" i="5"/>
  <c r="N89" i="5"/>
  <c r="M89" i="5"/>
  <c r="L89" i="5"/>
  <c r="K89" i="5"/>
  <c r="E81" i="5"/>
  <c r="I81" i="5" s="1"/>
  <c r="J81" i="5" s="1"/>
  <c r="R81" i="5"/>
  <c r="S81" i="5"/>
  <c r="Q81" i="5"/>
  <c r="P81" i="5"/>
  <c r="O81" i="5"/>
  <c r="N81" i="5"/>
  <c r="M81" i="5"/>
  <c r="L81" i="5"/>
  <c r="K81" i="5"/>
  <c r="E73" i="5"/>
  <c r="I73" i="5" s="1"/>
  <c r="J73" i="5" s="1"/>
  <c r="R73" i="5"/>
  <c r="S73" i="5"/>
  <c r="Q73" i="5"/>
  <c r="P73" i="5"/>
  <c r="O73" i="5"/>
  <c r="N73" i="5"/>
  <c r="M73" i="5"/>
  <c r="L73" i="5"/>
  <c r="K73" i="5"/>
  <c r="E65" i="5"/>
  <c r="I65" i="5" s="1"/>
  <c r="J65" i="5" s="1"/>
  <c r="R65" i="5"/>
  <c r="S65" i="5"/>
  <c r="Q65" i="5"/>
  <c r="P65" i="5"/>
  <c r="O65" i="5"/>
  <c r="N65" i="5"/>
  <c r="M65" i="5"/>
  <c r="L65" i="5"/>
  <c r="K65" i="5"/>
  <c r="E57" i="5"/>
  <c r="I57" i="5" s="1"/>
  <c r="J57" i="5" s="1"/>
  <c r="R57" i="5"/>
  <c r="S57" i="5"/>
  <c r="Q57" i="5"/>
  <c r="P57" i="5"/>
  <c r="O57" i="5"/>
  <c r="N57" i="5"/>
  <c r="M57" i="5"/>
  <c r="L57" i="5"/>
  <c r="K57" i="5"/>
  <c r="E49" i="5"/>
  <c r="I49" i="5" s="1"/>
  <c r="J49" i="5" s="1"/>
  <c r="R49" i="5"/>
  <c r="S49" i="5"/>
  <c r="Q49" i="5"/>
  <c r="P49" i="5"/>
  <c r="O49" i="5"/>
  <c r="N49" i="5"/>
  <c r="M49" i="5"/>
  <c r="L49" i="5"/>
  <c r="K49" i="5"/>
  <c r="E41" i="5"/>
  <c r="I41" i="5" s="1"/>
  <c r="J41" i="5" s="1"/>
  <c r="R41" i="5"/>
  <c r="S41" i="5"/>
  <c r="Q41" i="5"/>
  <c r="P41" i="5"/>
  <c r="O41" i="5"/>
  <c r="N41" i="5"/>
  <c r="L41" i="5"/>
  <c r="M41" i="5"/>
  <c r="K41" i="5"/>
  <c r="E33" i="5"/>
  <c r="I33" i="5" s="1"/>
  <c r="J33" i="5" s="1"/>
  <c r="R33" i="5"/>
  <c r="S33" i="5"/>
  <c r="Q33" i="5"/>
  <c r="P33" i="5"/>
  <c r="O33" i="5"/>
  <c r="N33" i="5"/>
  <c r="L33" i="5"/>
  <c r="M33" i="5"/>
  <c r="K33" i="5"/>
  <c r="E25" i="5"/>
  <c r="I25" i="5" s="1"/>
  <c r="J25" i="5" s="1"/>
  <c r="S25" i="5"/>
  <c r="R25" i="5"/>
  <c r="Q25" i="5"/>
  <c r="P25" i="5"/>
  <c r="O25" i="5"/>
  <c r="N25" i="5"/>
  <c r="L25" i="5"/>
  <c r="M25" i="5"/>
  <c r="K25" i="5"/>
  <c r="E17" i="5"/>
  <c r="I17" i="5" s="1"/>
  <c r="J17" i="5" s="1"/>
  <c r="R17" i="5"/>
  <c r="S17" i="5"/>
  <c r="Q17" i="5"/>
  <c r="P17" i="5"/>
  <c r="O17" i="5"/>
  <c r="N17" i="5"/>
  <c r="L17" i="5"/>
  <c r="M17" i="5"/>
  <c r="K17" i="5"/>
  <c r="E981" i="5"/>
  <c r="I981" i="5" s="1"/>
  <c r="J981" i="5" s="1"/>
  <c r="S981" i="5"/>
  <c r="R981" i="5"/>
  <c r="Q981" i="5"/>
  <c r="P981" i="5"/>
  <c r="O981" i="5"/>
  <c r="N981" i="5"/>
  <c r="M981" i="5"/>
  <c r="L981" i="5"/>
  <c r="E941" i="5"/>
  <c r="I941" i="5" s="1"/>
  <c r="J941" i="5" s="1"/>
  <c r="S941" i="5"/>
  <c r="R941" i="5"/>
  <c r="Q941" i="5"/>
  <c r="P941" i="5"/>
  <c r="O941" i="5"/>
  <c r="N941" i="5"/>
  <c r="M941" i="5"/>
  <c r="L941" i="5"/>
  <c r="E893" i="5"/>
  <c r="I893" i="5" s="1"/>
  <c r="J893" i="5" s="1"/>
  <c r="S893" i="5"/>
  <c r="R893" i="5"/>
  <c r="Q893" i="5"/>
  <c r="P893" i="5"/>
  <c r="O893" i="5"/>
  <c r="N893" i="5"/>
  <c r="M893" i="5"/>
  <c r="L893" i="5"/>
  <c r="E869" i="5"/>
  <c r="I869" i="5" s="1"/>
  <c r="J869" i="5" s="1"/>
  <c r="S869" i="5"/>
  <c r="R869" i="5"/>
  <c r="Q869" i="5"/>
  <c r="P869" i="5"/>
  <c r="O869" i="5"/>
  <c r="N869" i="5"/>
  <c r="M869" i="5"/>
  <c r="L869" i="5"/>
  <c r="E813" i="5"/>
  <c r="I813" i="5" s="1"/>
  <c r="J813" i="5" s="1"/>
  <c r="S813" i="5"/>
  <c r="R813" i="5"/>
  <c r="Q813" i="5"/>
  <c r="P813" i="5"/>
  <c r="O813" i="5"/>
  <c r="N813" i="5"/>
  <c r="M813" i="5"/>
  <c r="L813" i="5"/>
  <c r="E749" i="5"/>
  <c r="I749" i="5" s="1"/>
  <c r="J749" i="5" s="1"/>
  <c r="S749" i="5"/>
  <c r="R749" i="5"/>
  <c r="Q749" i="5"/>
  <c r="P749" i="5"/>
  <c r="O749" i="5"/>
  <c r="N749" i="5"/>
  <c r="M749" i="5"/>
  <c r="L749" i="5"/>
  <c r="E685" i="5"/>
  <c r="I685" i="5" s="1"/>
  <c r="J685" i="5" s="1"/>
  <c r="S685" i="5"/>
  <c r="R685" i="5"/>
  <c r="Q685" i="5"/>
  <c r="P685" i="5"/>
  <c r="N685" i="5"/>
  <c r="O685" i="5"/>
  <c r="M685" i="5"/>
  <c r="L685" i="5"/>
  <c r="E661" i="5"/>
  <c r="I661" i="5" s="1"/>
  <c r="J661" i="5" s="1"/>
  <c r="S661" i="5"/>
  <c r="R661" i="5"/>
  <c r="Q661" i="5"/>
  <c r="P661" i="5"/>
  <c r="N661" i="5"/>
  <c r="O661" i="5"/>
  <c r="M661" i="5"/>
  <c r="L661" i="5"/>
  <c r="E589" i="5"/>
  <c r="I589" i="5" s="1"/>
  <c r="J589" i="5" s="1"/>
  <c r="S589" i="5"/>
  <c r="R589" i="5"/>
  <c r="Q589" i="5"/>
  <c r="P589" i="5"/>
  <c r="N589" i="5"/>
  <c r="O589" i="5"/>
  <c r="M589" i="5"/>
  <c r="L589" i="5"/>
  <c r="E509" i="5"/>
  <c r="I509" i="5" s="1"/>
  <c r="J509" i="5" s="1"/>
  <c r="S509" i="5"/>
  <c r="R509" i="5"/>
  <c r="Q509" i="5"/>
  <c r="P509" i="5"/>
  <c r="N509" i="5"/>
  <c r="O509" i="5"/>
  <c r="M509" i="5"/>
  <c r="L509" i="5"/>
  <c r="E485" i="5"/>
  <c r="I485" i="5" s="1"/>
  <c r="J485" i="5" s="1"/>
  <c r="S485" i="5"/>
  <c r="R485" i="5"/>
  <c r="Q485" i="5"/>
  <c r="P485" i="5"/>
  <c r="N485" i="5"/>
  <c r="O485" i="5"/>
  <c r="M485" i="5"/>
  <c r="L485" i="5"/>
  <c r="E429" i="5"/>
  <c r="I429" i="5" s="1"/>
  <c r="J429" i="5" s="1"/>
  <c r="S429" i="5"/>
  <c r="R429" i="5"/>
  <c r="Q429" i="5"/>
  <c r="P429" i="5"/>
  <c r="N429" i="5"/>
  <c r="O429" i="5"/>
  <c r="M429" i="5"/>
  <c r="L429" i="5"/>
  <c r="E341" i="5"/>
  <c r="I341" i="5" s="1"/>
  <c r="J341" i="5" s="1"/>
  <c r="S341" i="5"/>
  <c r="R341" i="5"/>
  <c r="Q341" i="5"/>
  <c r="P341" i="5"/>
  <c r="N341" i="5"/>
  <c r="O341" i="5"/>
  <c r="M341" i="5"/>
  <c r="L341" i="5"/>
  <c r="K341" i="5"/>
  <c r="E325" i="5"/>
  <c r="I325" i="5" s="1"/>
  <c r="J325" i="5" s="1"/>
  <c r="S325" i="5"/>
  <c r="R325" i="5"/>
  <c r="Q325" i="5"/>
  <c r="P325" i="5"/>
  <c r="O325" i="5"/>
  <c r="N325" i="5"/>
  <c r="M325" i="5"/>
  <c r="L325" i="5"/>
  <c r="K325" i="5"/>
  <c r="E277" i="5"/>
  <c r="I277" i="5" s="1"/>
  <c r="J277" i="5" s="1"/>
  <c r="S277" i="5"/>
  <c r="R277" i="5"/>
  <c r="Q277" i="5"/>
  <c r="P277" i="5"/>
  <c r="O277" i="5"/>
  <c r="N277" i="5"/>
  <c r="M277" i="5"/>
  <c r="L277" i="5"/>
  <c r="K277" i="5"/>
  <c r="E229" i="5"/>
  <c r="I229" i="5" s="1"/>
  <c r="J229" i="5" s="1"/>
  <c r="S229" i="5"/>
  <c r="R229" i="5"/>
  <c r="Q229" i="5"/>
  <c r="P229" i="5"/>
  <c r="O229" i="5"/>
  <c r="N229" i="5"/>
  <c r="M229" i="5"/>
  <c r="L229" i="5"/>
  <c r="K229" i="5"/>
  <c r="E173" i="5"/>
  <c r="I173" i="5" s="1"/>
  <c r="J173" i="5" s="1"/>
  <c r="S173" i="5"/>
  <c r="R173" i="5"/>
  <c r="Q173" i="5"/>
  <c r="P173" i="5"/>
  <c r="O173" i="5"/>
  <c r="N173" i="5"/>
  <c r="M173" i="5"/>
  <c r="K173" i="5"/>
  <c r="L173" i="5"/>
  <c r="E133" i="5"/>
  <c r="I133" i="5" s="1"/>
  <c r="J133" i="5" s="1"/>
  <c r="S133" i="5"/>
  <c r="R133" i="5"/>
  <c r="Q133" i="5"/>
  <c r="P133" i="5"/>
  <c r="O133" i="5"/>
  <c r="N133" i="5"/>
  <c r="M133" i="5"/>
  <c r="K133" i="5"/>
  <c r="L133" i="5"/>
  <c r="E109" i="5"/>
  <c r="I109" i="5" s="1"/>
  <c r="J109" i="5" s="1"/>
  <c r="S109" i="5"/>
  <c r="R109" i="5"/>
  <c r="Q109" i="5"/>
  <c r="P109" i="5"/>
  <c r="O109" i="5"/>
  <c r="N109" i="5"/>
  <c r="M109" i="5"/>
  <c r="K109" i="5"/>
  <c r="L109" i="5"/>
  <c r="S13" i="5"/>
  <c r="R13" i="5"/>
  <c r="Q13" i="5"/>
  <c r="P13" i="5"/>
  <c r="O13" i="5"/>
  <c r="N13" i="5"/>
  <c r="M13" i="5"/>
  <c r="L13" i="5"/>
  <c r="K13" i="5"/>
  <c r="E986" i="5"/>
  <c r="I986" i="5" s="1"/>
  <c r="J986" i="5" s="1"/>
  <c r="S986" i="5"/>
  <c r="R986" i="5"/>
  <c r="Q986" i="5"/>
  <c r="P986" i="5"/>
  <c r="O986" i="5"/>
  <c r="M986" i="5"/>
  <c r="N986" i="5"/>
  <c r="L986" i="5"/>
  <c r="E7" i="5"/>
  <c r="I7" i="5" s="1"/>
  <c r="J7" i="5" s="1"/>
  <c r="S7" i="5"/>
  <c r="R7" i="5"/>
  <c r="Q7" i="5"/>
  <c r="P7" i="5"/>
  <c r="O7" i="5"/>
  <c r="N7" i="5"/>
  <c r="M7" i="5"/>
  <c r="L7" i="5"/>
  <c r="K7" i="5"/>
  <c r="E976" i="5"/>
  <c r="I976" i="5" s="1"/>
  <c r="J976" i="5" s="1"/>
  <c r="S976" i="5"/>
  <c r="R976" i="5"/>
  <c r="Q976" i="5"/>
  <c r="P976" i="5"/>
  <c r="O976" i="5"/>
  <c r="N976" i="5"/>
  <c r="M976" i="5"/>
  <c r="L976" i="5"/>
  <c r="E960" i="5"/>
  <c r="I960" i="5" s="1"/>
  <c r="J960" i="5" s="1"/>
  <c r="S960" i="5"/>
  <c r="R960" i="5"/>
  <c r="Q960" i="5"/>
  <c r="P960" i="5"/>
  <c r="O960" i="5"/>
  <c r="N960" i="5"/>
  <c r="M960" i="5"/>
  <c r="L960" i="5"/>
  <c r="E952" i="5"/>
  <c r="I952" i="5" s="1"/>
  <c r="J952" i="5" s="1"/>
  <c r="S952" i="5"/>
  <c r="R952" i="5"/>
  <c r="Q952" i="5"/>
  <c r="P952" i="5"/>
  <c r="O952" i="5"/>
  <c r="N952" i="5"/>
  <c r="M952" i="5"/>
  <c r="L952" i="5"/>
  <c r="E944" i="5"/>
  <c r="I944" i="5" s="1"/>
  <c r="J944" i="5" s="1"/>
  <c r="S944" i="5"/>
  <c r="R944" i="5"/>
  <c r="Q944" i="5"/>
  <c r="P944" i="5"/>
  <c r="O944" i="5"/>
  <c r="N944" i="5"/>
  <c r="M944" i="5"/>
  <c r="L944" i="5"/>
  <c r="E936" i="5"/>
  <c r="I936" i="5" s="1"/>
  <c r="J936" i="5" s="1"/>
  <c r="S936" i="5"/>
  <c r="R936" i="5"/>
  <c r="Q936" i="5"/>
  <c r="P936" i="5"/>
  <c r="O936" i="5"/>
  <c r="N936" i="5"/>
  <c r="M936" i="5"/>
  <c r="L936" i="5"/>
  <c r="E928" i="5"/>
  <c r="I928" i="5" s="1"/>
  <c r="J928" i="5" s="1"/>
  <c r="S928" i="5"/>
  <c r="R928" i="5"/>
  <c r="Q928" i="5"/>
  <c r="P928" i="5"/>
  <c r="O928" i="5"/>
  <c r="N928" i="5"/>
  <c r="M928" i="5"/>
  <c r="L928" i="5"/>
  <c r="E920" i="5"/>
  <c r="I920" i="5" s="1"/>
  <c r="J920" i="5" s="1"/>
  <c r="S920" i="5"/>
  <c r="R920" i="5"/>
  <c r="Q920" i="5"/>
  <c r="P920" i="5"/>
  <c r="O920" i="5"/>
  <c r="N920" i="5"/>
  <c r="M920" i="5"/>
  <c r="L920" i="5"/>
  <c r="E912" i="5"/>
  <c r="I912" i="5" s="1"/>
  <c r="J912" i="5" s="1"/>
  <c r="S912" i="5"/>
  <c r="R912" i="5"/>
  <c r="Q912" i="5"/>
  <c r="P912" i="5"/>
  <c r="O912" i="5"/>
  <c r="N912" i="5"/>
  <c r="M912" i="5"/>
  <c r="L912" i="5"/>
  <c r="E904" i="5"/>
  <c r="I904" i="5" s="1"/>
  <c r="J904" i="5" s="1"/>
  <c r="S904" i="5"/>
  <c r="R904" i="5"/>
  <c r="Q904" i="5"/>
  <c r="P904" i="5"/>
  <c r="O904" i="5"/>
  <c r="N904" i="5"/>
  <c r="M904" i="5"/>
  <c r="L904" i="5"/>
  <c r="E896" i="5"/>
  <c r="I896" i="5" s="1"/>
  <c r="J896" i="5" s="1"/>
  <c r="S896" i="5"/>
  <c r="R896" i="5"/>
  <c r="Q896" i="5"/>
  <c r="P896" i="5"/>
  <c r="O896" i="5"/>
  <c r="N896" i="5"/>
  <c r="M896" i="5"/>
  <c r="L896" i="5"/>
  <c r="E888" i="5"/>
  <c r="I888" i="5" s="1"/>
  <c r="J888" i="5" s="1"/>
  <c r="S888" i="5"/>
  <c r="R888" i="5"/>
  <c r="Q888" i="5"/>
  <c r="P888" i="5"/>
  <c r="O888" i="5"/>
  <c r="N888" i="5"/>
  <c r="M888" i="5"/>
  <c r="L888" i="5"/>
  <c r="E880" i="5"/>
  <c r="I880" i="5" s="1"/>
  <c r="J880" i="5" s="1"/>
  <c r="S880" i="5"/>
  <c r="R880" i="5"/>
  <c r="Q880" i="5"/>
  <c r="P880" i="5"/>
  <c r="O880" i="5"/>
  <c r="N880" i="5"/>
  <c r="M880" i="5"/>
  <c r="L880" i="5"/>
  <c r="E872" i="5"/>
  <c r="I872" i="5" s="1"/>
  <c r="J872" i="5" s="1"/>
  <c r="S872" i="5"/>
  <c r="R872" i="5"/>
  <c r="Q872" i="5"/>
  <c r="P872" i="5"/>
  <c r="O872" i="5"/>
  <c r="N872" i="5"/>
  <c r="M872" i="5"/>
  <c r="L872" i="5"/>
  <c r="E864" i="5"/>
  <c r="I864" i="5" s="1"/>
  <c r="J864" i="5" s="1"/>
  <c r="S864" i="5"/>
  <c r="R864" i="5"/>
  <c r="Q864" i="5"/>
  <c r="P864" i="5"/>
  <c r="O864" i="5"/>
  <c r="N864" i="5"/>
  <c r="M864" i="5"/>
  <c r="L864" i="5"/>
  <c r="E856" i="5"/>
  <c r="I856" i="5" s="1"/>
  <c r="J856" i="5" s="1"/>
  <c r="S856" i="5"/>
  <c r="R856" i="5"/>
  <c r="Q856" i="5"/>
  <c r="P856" i="5"/>
  <c r="O856" i="5"/>
  <c r="N856" i="5"/>
  <c r="M856" i="5"/>
  <c r="L856" i="5"/>
  <c r="E848" i="5"/>
  <c r="I848" i="5" s="1"/>
  <c r="J848" i="5" s="1"/>
  <c r="S848" i="5"/>
  <c r="R848" i="5"/>
  <c r="Q848" i="5"/>
  <c r="P848" i="5"/>
  <c r="O848" i="5"/>
  <c r="N848" i="5"/>
  <c r="M848" i="5"/>
  <c r="L848" i="5"/>
  <c r="E840" i="5"/>
  <c r="I840" i="5" s="1"/>
  <c r="J840" i="5" s="1"/>
  <c r="S840" i="5"/>
  <c r="R840" i="5"/>
  <c r="Q840" i="5"/>
  <c r="P840" i="5"/>
  <c r="O840" i="5"/>
  <c r="N840" i="5"/>
  <c r="M840" i="5"/>
  <c r="L840" i="5"/>
  <c r="E832" i="5"/>
  <c r="I832" i="5" s="1"/>
  <c r="J832" i="5" s="1"/>
  <c r="S832" i="5"/>
  <c r="R832" i="5"/>
  <c r="Q832" i="5"/>
  <c r="P832" i="5"/>
  <c r="O832" i="5"/>
  <c r="N832" i="5"/>
  <c r="M832" i="5"/>
  <c r="L832" i="5"/>
  <c r="E824" i="5"/>
  <c r="I824" i="5" s="1"/>
  <c r="J824" i="5" s="1"/>
  <c r="S824" i="5"/>
  <c r="R824" i="5"/>
  <c r="Q824" i="5"/>
  <c r="P824" i="5"/>
  <c r="O824" i="5"/>
  <c r="N824" i="5"/>
  <c r="M824" i="5"/>
  <c r="L824" i="5"/>
  <c r="E816" i="5"/>
  <c r="I816" i="5" s="1"/>
  <c r="J816" i="5" s="1"/>
  <c r="S816" i="5"/>
  <c r="R816" i="5"/>
  <c r="Q816" i="5"/>
  <c r="P816" i="5"/>
  <c r="O816" i="5"/>
  <c r="N816" i="5"/>
  <c r="M816" i="5"/>
  <c r="L816" i="5"/>
  <c r="E808" i="5"/>
  <c r="I808" i="5" s="1"/>
  <c r="J808" i="5" s="1"/>
  <c r="S808" i="5"/>
  <c r="R808" i="5"/>
  <c r="Q808" i="5"/>
  <c r="P808" i="5"/>
  <c r="O808" i="5"/>
  <c r="N808" i="5"/>
  <c r="M808" i="5"/>
  <c r="L808" i="5"/>
  <c r="E800" i="5"/>
  <c r="I800" i="5" s="1"/>
  <c r="J800" i="5" s="1"/>
  <c r="S800" i="5"/>
  <c r="R800" i="5"/>
  <c r="Q800" i="5"/>
  <c r="P800" i="5"/>
  <c r="O800" i="5"/>
  <c r="N800" i="5"/>
  <c r="M800" i="5"/>
  <c r="L800" i="5"/>
  <c r="E792" i="5"/>
  <c r="I792" i="5" s="1"/>
  <c r="J792" i="5" s="1"/>
  <c r="S792" i="5"/>
  <c r="R792" i="5"/>
  <c r="Q792" i="5"/>
  <c r="P792" i="5"/>
  <c r="O792" i="5"/>
  <c r="N792" i="5"/>
  <c r="M792" i="5"/>
  <c r="L792" i="5"/>
  <c r="E784" i="5"/>
  <c r="I784" i="5" s="1"/>
  <c r="J784" i="5" s="1"/>
  <c r="S784" i="5"/>
  <c r="R784" i="5"/>
  <c r="Q784" i="5"/>
  <c r="P784" i="5"/>
  <c r="O784" i="5"/>
  <c r="N784" i="5"/>
  <c r="M784" i="5"/>
  <c r="L784" i="5"/>
  <c r="E776" i="5"/>
  <c r="I776" i="5" s="1"/>
  <c r="J776" i="5" s="1"/>
  <c r="S776" i="5"/>
  <c r="R776" i="5"/>
  <c r="Q776" i="5"/>
  <c r="P776" i="5"/>
  <c r="O776" i="5"/>
  <c r="N776" i="5"/>
  <c r="M776" i="5"/>
  <c r="L776" i="5"/>
  <c r="E768" i="5"/>
  <c r="I768" i="5" s="1"/>
  <c r="J768" i="5" s="1"/>
  <c r="S768" i="5"/>
  <c r="R768" i="5"/>
  <c r="Q768" i="5"/>
  <c r="P768" i="5"/>
  <c r="O768" i="5"/>
  <c r="N768" i="5"/>
  <c r="M768" i="5"/>
  <c r="L768" i="5"/>
  <c r="E760" i="5"/>
  <c r="I760" i="5" s="1"/>
  <c r="J760" i="5" s="1"/>
  <c r="S760" i="5"/>
  <c r="R760" i="5"/>
  <c r="Q760" i="5"/>
  <c r="P760" i="5"/>
  <c r="O760" i="5"/>
  <c r="N760" i="5"/>
  <c r="M760" i="5"/>
  <c r="L760" i="5"/>
  <c r="E752" i="5"/>
  <c r="I752" i="5" s="1"/>
  <c r="J752" i="5" s="1"/>
  <c r="S752" i="5"/>
  <c r="R752" i="5"/>
  <c r="Q752" i="5"/>
  <c r="P752" i="5"/>
  <c r="O752" i="5"/>
  <c r="N752" i="5"/>
  <c r="M752" i="5"/>
  <c r="L752" i="5"/>
  <c r="E744" i="5"/>
  <c r="I744" i="5" s="1"/>
  <c r="J744" i="5" s="1"/>
  <c r="S744" i="5"/>
  <c r="R744" i="5"/>
  <c r="Q744" i="5"/>
  <c r="P744" i="5"/>
  <c r="O744" i="5"/>
  <c r="N744" i="5"/>
  <c r="M744" i="5"/>
  <c r="L744" i="5"/>
  <c r="E736" i="5"/>
  <c r="I736" i="5" s="1"/>
  <c r="J736" i="5" s="1"/>
  <c r="S736" i="5"/>
  <c r="R736" i="5"/>
  <c r="Q736" i="5"/>
  <c r="P736" i="5"/>
  <c r="O736" i="5"/>
  <c r="N736" i="5"/>
  <c r="M736" i="5"/>
  <c r="L736" i="5"/>
  <c r="E728" i="5"/>
  <c r="I728" i="5" s="1"/>
  <c r="J728" i="5" s="1"/>
  <c r="S728" i="5"/>
  <c r="R728" i="5"/>
  <c r="Q728" i="5"/>
  <c r="P728" i="5"/>
  <c r="O728" i="5"/>
  <c r="N728" i="5"/>
  <c r="M728" i="5"/>
  <c r="L728" i="5"/>
  <c r="E720" i="5"/>
  <c r="I720" i="5" s="1"/>
  <c r="J720" i="5" s="1"/>
  <c r="S720" i="5"/>
  <c r="R720" i="5"/>
  <c r="Q720" i="5"/>
  <c r="P720" i="5"/>
  <c r="O720" i="5"/>
  <c r="N720" i="5"/>
  <c r="M720" i="5"/>
  <c r="L720" i="5"/>
  <c r="E712" i="5"/>
  <c r="I712" i="5" s="1"/>
  <c r="J712" i="5" s="1"/>
  <c r="S712" i="5"/>
  <c r="R712" i="5"/>
  <c r="Q712" i="5"/>
  <c r="P712" i="5"/>
  <c r="O712" i="5"/>
  <c r="N712" i="5"/>
  <c r="M712" i="5"/>
  <c r="L712" i="5"/>
  <c r="E704" i="5"/>
  <c r="I704" i="5" s="1"/>
  <c r="J704" i="5" s="1"/>
  <c r="S704" i="5"/>
  <c r="R704" i="5"/>
  <c r="Q704" i="5"/>
  <c r="P704" i="5"/>
  <c r="O704" i="5"/>
  <c r="N704" i="5"/>
  <c r="M704" i="5"/>
  <c r="L704" i="5"/>
  <c r="E696" i="5"/>
  <c r="I696" i="5" s="1"/>
  <c r="J696" i="5" s="1"/>
  <c r="S696" i="5"/>
  <c r="R696" i="5"/>
  <c r="Q696" i="5"/>
  <c r="P696" i="5"/>
  <c r="O696" i="5"/>
  <c r="N696" i="5"/>
  <c r="M696" i="5"/>
  <c r="L696" i="5"/>
  <c r="E688" i="5"/>
  <c r="I688" i="5" s="1"/>
  <c r="J688" i="5" s="1"/>
  <c r="S688" i="5"/>
  <c r="R688" i="5"/>
  <c r="Q688" i="5"/>
  <c r="P688" i="5"/>
  <c r="O688" i="5"/>
  <c r="N688" i="5"/>
  <c r="M688" i="5"/>
  <c r="L688" i="5"/>
  <c r="E680" i="5"/>
  <c r="I680" i="5" s="1"/>
  <c r="J680" i="5" s="1"/>
  <c r="S680" i="5"/>
  <c r="R680" i="5"/>
  <c r="Q680" i="5"/>
  <c r="P680" i="5"/>
  <c r="O680" i="5"/>
  <c r="N680" i="5"/>
  <c r="M680" i="5"/>
  <c r="L680" i="5"/>
  <c r="E672" i="5"/>
  <c r="I672" i="5" s="1"/>
  <c r="J672" i="5" s="1"/>
  <c r="S672" i="5"/>
  <c r="R672" i="5"/>
  <c r="Q672" i="5"/>
  <c r="P672" i="5"/>
  <c r="O672" i="5"/>
  <c r="N672" i="5"/>
  <c r="M672" i="5"/>
  <c r="L672" i="5"/>
  <c r="E664" i="5"/>
  <c r="I664" i="5" s="1"/>
  <c r="J664" i="5" s="1"/>
  <c r="S664" i="5"/>
  <c r="R664" i="5"/>
  <c r="Q664" i="5"/>
  <c r="P664" i="5"/>
  <c r="O664" i="5"/>
  <c r="N664" i="5"/>
  <c r="M664" i="5"/>
  <c r="L664" i="5"/>
  <c r="E656" i="5"/>
  <c r="I656" i="5" s="1"/>
  <c r="J656" i="5" s="1"/>
  <c r="S656" i="5"/>
  <c r="R656" i="5"/>
  <c r="Q656" i="5"/>
  <c r="P656" i="5"/>
  <c r="O656" i="5"/>
  <c r="N656" i="5"/>
  <c r="M656" i="5"/>
  <c r="L656" i="5"/>
  <c r="E648" i="5"/>
  <c r="I648" i="5" s="1"/>
  <c r="J648" i="5" s="1"/>
  <c r="S648" i="5"/>
  <c r="R648" i="5"/>
  <c r="Q648" i="5"/>
  <c r="P648" i="5"/>
  <c r="O648" i="5"/>
  <c r="N648" i="5"/>
  <c r="M648" i="5"/>
  <c r="L648" i="5"/>
  <c r="E640" i="5"/>
  <c r="I640" i="5" s="1"/>
  <c r="J640" i="5" s="1"/>
  <c r="S640" i="5"/>
  <c r="R640" i="5"/>
  <c r="Q640" i="5"/>
  <c r="P640" i="5"/>
  <c r="O640" i="5"/>
  <c r="N640" i="5"/>
  <c r="M640" i="5"/>
  <c r="L640" i="5"/>
  <c r="E632" i="5"/>
  <c r="I632" i="5" s="1"/>
  <c r="J632" i="5" s="1"/>
  <c r="S632" i="5"/>
  <c r="R632" i="5"/>
  <c r="Q632" i="5"/>
  <c r="P632" i="5"/>
  <c r="O632" i="5"/>
  <c r="N632" i="5"/>
  <c r="M632" i="5"/>
  <c r="L632" i="5"/>
  <c r="E624" i="5"/>
  <c r="I624" i="5" s="1"/>
  <c r="J624" i="5" s="1"/>
  <c r="S624" i="5"/>
  <c r="R624" i="5"/>
  <c r="Q624" i="5"/>
  <c r="P624" i="5"/>
  <c r="O624" i="5"/>
  <c r="N624" i="5"/>
  <c r="M624" i="5"/>
  <c r="L624" i="5"/>
  <c r="E616" i="5"/>
  <c r="I616" i="5" s="1"/>
  <c r="J616" i="5" s="1"/>
  <c r="S616" i="5"/>
  <c r="R616" i="5"/>
  <c r="Q616" i="5"/>
  <c r="P616" i="5"/>
  <c r="O616" i="5"/>
  <c r="N616" i="5"/>
  <c r="M616" i="5"/>
  <c r="L616" i="5"/>
  <c r="E608" i="5"/>
  <c r="I608" i="5" s="1"/>
  <c r="J608" i="5" s="1"/>
  <c r="S608" i="5"/>
  <c r="R608" i="5"/>
  <c r="Q608" i="5"/>
  <c r="P608" i="5"/>
  <c r="O608" i="5"/>
  <c r="N608" i="5"/>
  <c r="M608" i="5"/>
  <c r="L608" i="5"/>
  <c r="E600" i="5"/>
  <c r="I600" i="5" s="1"/>
  <c r="J600" i="5" s="1"/>
  <c r="S600" i="5"/>
  <c r="R600" i="5"/>
  <c r="Q600" i="5"/>
  <c r="P600" i="5"/>
  <c r="O600" i="5"/>
  <c r="N600" i="5"/>
  <c r="M600" i="5"/>
  <c r="L600" i="5"/>
  <c r="E592" i="5"/>
  <c r="I592" i="5" s="1"/>
  <c r="J592" i="5" s="1"/>
  <c r="S592" i="5"/>
  <c r="R592" i="5"/>
  <c r="Q592" i="5"/>
  <c r="P592" i="5"/>
  <c r="O592" i="5"/>
  <c r="N592" i="5"/>
  <c r="M592" i="5"/>
  <c r="L592" i="5"/>
  <c r="E584" i="5"/>
  <c r="I584" i="5" s="1"/>
  <c r="J584" i="5" s="1"/>
  <c r="S584" i="5"/>
  <c r="R584" i="5"/>
  <c r="Q584" i="5"/>
  <c r="P584" i="5"/>
  <c r="O584" i="5"/>
  <c r="N584" i="5"/>
  <c r="M584" i="5"/>
  <c r="L584" i="5"/>
  <c r="E576" i="5"/>
  <c r="I576" i="5" s="1"/>
  <c r="J576" i="5" s="1"/>
  <c r="S576" i="5"/>
  <c r="R576" i="5"/>
  <c r="Q576" i="5"/>
  <c r="P576" i="5"/>
  <c r="O576" i="5"/>
  <c r="N576" i="5"/>
  <c r="M576" i="5"/>
  <c r="L576" i="5"/>
  <c r="E568" i="5"/>
  <c r="I568" i="5" s="1"/>
  <c r="J568" i="5" s="1"/>
  <c r="S568" i="5"/>
  <c r="R568" i="5"/>
  <c r="Q568" i="5"/>
  <c r="P568" i="5"/>
  <c r="O568" i="5"/>
  <c r="N568" i="5"/>
  <c r="M568" i="5"/>
  <c r="L568" i="5"/>
  <c r="E560" i="5"/>
  <c r="I560" i="5" s="1"/>
  <c r="J560" i="5" s="1"/>
  <c r="S560" i="5"/>
  <c r="R560" i="5"/>
  <c r="Q560" i="5"/>
  <c r="P560" i="5"/>
  <c r="O560" i="5"/>
  <c r="N560" i="5"/>
  <c r="M560" i="5"/>
  <c r="L560" i="5"/>
  <c r="E552" i="5"/>
  <c r="I552" i="5" s="1"/>
  <c r="J552" i="5" s="1"/>
  <c r="S552" i="5"/>
  <c r="R552" i="5"/>
  <c r="Q552" i="5"/>
  <c r="P552" i="5"/>
  <c r="O552" i="5"/>
  <c r="N552" i="5"/>
  <c r="M552" i="5"/>
  <c r="L552" i="5"/>
  <c r="E544" i="5"/>
  <c r="I544" i="5" s="1"/>
  <c r="J544" i="5" s="1"/>
  <c r="R544" i="5"/>
  <c r="S544" i="5"/>
  <c r="Q544" i="5"/>
  <c r="P544" i="5"/>
  <c r="O544" i="5"/>
  <c r="N544" i="5"/>
  <c r="M544" i="5"/>
  <c r="L544" i="5"/>
  <c r="E536" i="5"/>
  <c r="I536" i="5" s="1"/>
  <c r="J536" i="5" s="1"/>
  <c r="R536" i="5"/>
  <c r="S536" i="5"/>
  <c r="Q536" i="5"/>
  <c r="P536" i="5"/>
  <c r="O536" i="5"/>
  <c r="N536" i="5"/>
  <c r="M536" i="5"/>
  <c r="L536" i="5"/>
  <c r="E528" i="5"/>
  <c r="I528" i="5" s="1"/>
  <c r="J528" i="5" s="1"/>
  <c r="S528" i="5"/>
  <c r="R528" i="5"/>
  <c r="Q528" i="5"/>
  <c r="P528" i="5"/>
  <c r="O528" i="5"/>
  <c r="N528" i="5"/>
  <c r="M528" i="5"/>
  <c r="L528" i="5"/>
  <c r="E520" i="5"/>
  <c r="I520" i="5" s="1"/>
  <c r="J520" i="5" s="1"/>
  <c r="S520" i="5"/>
  <c r="R520" i="5"/>
  <c r="Q520" i="5"/>
  <c r="P520" i="5"/>
  <c r="O520" i="5"/>
  <c r="N520" i="5"/>
  <c r="M520" i="5"/>
  <c r="L520" i="5"/>
  <c r="E512" i="5"/>
  <c r="I512" i="5" s="1"/>
  <c r="J512" i="5" s="1"/>
  <c r="S512" i="5"/>
  <c r="R512" i="5"/>
  <c r="Q512" i="5"/>
  <c r="P512" i="5"/>
  <c r="O512" i="5"/>
  <c r="N512" i="5"/>
  <c r="M512" i="5"/>
  <c r="L512" i="5"/>
  <c r="E504" i="5"/>
  <c r="I504" i="5" s="1"/>
  <c r="J504" i="5" s="1"/>
  <c r="S504" i="5"/>
  <c r="R504" i="5"/>
  <c r="Q504" i="5"/>
  <c r="P504" i="5"/>
  <c r="O504" i="5"/>
  <c r="N504" i="5"/>
  <c r="M504" i="5"/>
  <c r="L504" i="5"/>
  <c r="E496" i="5"/>
  <c r="I496" i="5" s="1"/>
  <c r="J496" i="5" s="1"/>
  <c r="S496" i="5"/>
  <c r="R496" i="5"/>
  <c r="Q496" i="5"/>
  <c r="P496" i="5"/>
  <c r="O496" i="5"/>
  <c r="N496" i="5"/>
  <c r="M496" i="5"/>
  <c r="L496" i="5"/>
  <c r="E488" i="5"/>
  <c r="I488" i="5" s="1"/>
  <c r="J488" i="5" s="1"/>
  <c r="S488" i="5"/>
  <c r="R488" i="5"/>
  <c r="Q488" i="5"/>
  <c r="P488" i="5"/>
  <c r="O488" i="5"/>
  <c r="N488" i="5"/>
  <c r="M488" i="5"/>
  <c r="L488" i="5"/>
  <c r="E480" i="5"/>
  <c r="I480" i="5" s="1"/>
  <c r="J480" i="5" s="1"/>
  <c r="R480" i="5"/>
  <c r="S480" i="5"/>
  <c r="Q480" i="5"/>
  <c r="P480" i="5"/>
  <c r="O480" i="5"/>
  <c r="N480" i="5"/>
  <c r="M480" i="5"/>
  <c r="L480" i="5"/>
  <c r="E472" i="5"/>
  <c r="I472" i="5" s="1"/>
  <c r="J472" i="5" s="1"/>
  <c r="R472" i="5"/>
  <c r="S472" i="5"/>
  <c r="Q472" i="5"/>
  <c r="P472" i="5"/>
  <c r="O472" i="5"/>
  <c r="N472" i="5"/>
  <c r="M472" i="5"/>
  <c r="L472" i="5"/>
  <c r="E464" i="5"/>
  <c r="I464" i="5" s="1"/>
  <c r="J464" i="5" s="1"/>
  <c r="S464" i="5"/>
  <c r="R464" i="5"/>
  <c r="Q464" i="5"/>
  <c r="P464" i="5"/>
  <c r="O464" i="5"/>
  <c r="N464" i="5"/>
  <c r="M464" i="5"/>
  <c r="L464" i="5"/>
  <c r="E456" i="5"/>
  <c r="I456" i="5" s="1"/>
  <c r="J456" i="5" s="1"/>
  <c r="S456" i="5"/>
  <c r="R456" i="5"/>
  <c r="Q456" i="5"/>
  <c r="P456" i="5"/>
  <c r="O456" i="5"/>
  <c r="N456" i="5"/>
  <c r="M456" i="5"/>
  <c r="L456" i="5"/>
  <c r="E448" i="5"/>
  <c r="I448" i="5" s="1"/>
  <c r="J448" i="5" s="1"/>
  <c r="S448" i="5"/>
  <c r="R448" i="5"/>
  <c r="Q448" i="5"/>
  <c r="P448" i="5"/>
  <c r="O448" i="5"/>
  <c r="N448" i="5"/>
  <c r="M448" i="5"/>
  <c r="L448" i="5"/>
  <c r="E440" i="5"/>
  <c r="I440" i="5" s="1"/>
  <c r="J440" i="5" s="1"/>
  <c r="S440" i="5"/>
  <c r="R440" i="5"/>
  <c r="Q440" i="5"/>
  <c r="P440" i="5"/>
  <c r="O440" i="5"/>
  <c r="N440" i="5"/>
  <c r="M440" i="5"/>
  <c r="L440" i="5"/>
  <c r="E432" i="5"/>
  <c r="I432" i="5" s="1"/>
  <c r="J432" i="5" s="1"/>
  <c r="S432" i="5"/>
  <c r="R432" i="5"/>
  <c r="Q432" i="5"/>
  <c r="P432" i="5"/>
  <c r="O432" i="5"/>
  <c r="N432" i="5"/>
  <c r="M432" i="5"/>
  <c r="L432" i="5"/>
  <c r="E424" i="5"/>
  <c r="I424" i="5" s="1"/>
  <c r="J424" i="5" s="1"/>
  <c r="S424" i="5"/>
  <c r="R424" i="5"/>
  <c r="Q424" i="5"/>
  <c r="P424" i="5"/>
  <c r="O424" i="5"/>
  <c r="N424" i="5"/>
  <c r="M424" i="5"/>
  <c r="L424" i="5"/>
  <c r="E416" i="5"/>
  <c r="I416" i="5" s="1"/>
  <c r="J416" i="5" s="1"/>
  <c r="R416" i="5"/>
  <c r="S416" i="5"/>
  <c r="Q416" i="5"/>
  <c r="P416" i="5"/>
  <c r="O416" i="5"/>
  <c r="N416" i="5"/>
  <c r="M416" i="5"/>
  <c r="L416" i="5"/>
  <c r="E408" i="5"/>
  <c r="I408" i="5" s="1"/>
  <c r="J408" i="5" s="1"/>
  <c r="S408" i="5"/>
  <c r="R408" i="5"/>
  <c r="Q408" i="5"/>
  <c r="P408" i="5"/>
  <c r="O408" i="5"/>
  <c r="N408" i="5"/>
  <c r="M408" i="5"/>
  <c r="L408" i="5"/>
  <c r="E400" i="5"/>
  <c r="I400" i="5" s="1"/>
  <c r="J400" i="5" s="1"/>
  <c r="S400" i="5"/>
  <c r="R400" i="5"/>
  <c r="Q400" i="5"/>
  <c r="P400" i="5"/>
  <c r="O400" i="5"/>
  <c r="N400" i="5"/>
  <c r="M400" i="5"/>
  <c r="K400" i="5"/>
  <c r="L400" i="5"/>
  <c r="E392" i="5"/>
  <c r="I392" i="5" s="1"/>
  <c r="J392" i="5" s="1"/>
  <c r="S392" i="5"/>
  <c r="R392" i="5"/>
  <c r="Q392" i="5"/>
  <c r="P392" i="5"/>
  <c r="O392" i="5"/>
  <c r="N392" i="5"/>
  <c r="M392" i="5"/>
  <c r="K392" i="5"/>
  <c r="L392" i="5"/>
  <c r="E384" i="5"/>
  <c r="I384" i="5" s="1"/>
  <c r="J384" i="5" s="1"/>
  <c r="S384" i="5"/>
  <c r="R384" i="5"/>
  <c r="Q384" i="5"/>
  <c r="P384" i="5"/>
  <c r="O384" i="5"/>
  <c r="N384" i="5"/>
  <c r="M384" i="5"/>
  <c r="K384" i="5"/>
  <c r="L384" i="5"/>
  <c r="E376" i="5"/>
  <c r="I376" i="5" s="1"/>
  <c r="J376" i="5" s="1"/>
  <c r="S376" i="5"/>
  <c r="R376" i="5"/>
  <c r="Q376" i="5"/>
  <c r="P376" i="5"/>
  <c r="O376" i="5"/>
  <c r="N376" i="5"/>
  <c r="M376" i="5"/>
  <c r="K376" i="5"/>
  <c r="L376" i="5"/>
  <c r="E368" i="5"/>
  <c r="I368" i="5" s="1"/>
  <c r="J368" i="5" s="1"/>
  <c r="S368" i="5"/>
  <c r="R368" i="5"/>
  <c r="Q368" i="5"/>
  <c r="P368" i="5"/>
  <c r="O368" i="5"/>
  <c r="N368" i="5"/>
  <c r="M368" i="5"/>
  <c r="K368" i="5"/>
  <c r="L368" i="5"/>
  <c r="E360" i="5"/>
  <c r="I360" i="5" s="1"/>
  <c r="J360" i="5" s="1"/>
  <c r="S360" i="5"/>
  <c r="R360" i="5"/>
  <c r="Q360" i="5"/>
  <c r="P360" i="5"/>
  <c r="O360" i="5"/>
  <c r="N360" i="5"/>
  <c r="M360" i="5"/>
  <c r="K360" i="5"/>
  <c r="L360" i="5"/>
  <c r="E352" i="5"/>
  <c r="I352" i="5" s="1"/>
  <c r="J352" i="5" s="1"/>
  <c r="R352" i="5"/>
  <c r="S352" i="5"/>
  <c r="Q352" i="5"/>
  <c r="P352" i="5"/>
  <c r="O352" i="5"/>
  <c r="N352" i="5"/>
  <c r="M352" i="5"/>
  <c r="K352" i="5"/>
  <c r="L352" i="5"/>
  <c r="E344" i="5"/>
  <c r="I344" i="5" s="1"/>
  <c r="J344" i="5" s="1"/>
  <c r="R344" i="5"/>
  <c r="S344" i="5"/>
  <c r="Q344" i="5"/>
  <c r="P344" i="5"/>
  <c r="O344" i="5"/>
  <c r="N344" i="5"/>
  <c r="M344" i="5"/>
  <c r="K344" i="5"/>
  <c r="L344" i="5"/>
  <c r="E336" i="5"/>
  <c r="I336" i="5" s="1"/>
  <c r="J336" i="5" s="1"/>
  <c r="S336" i="5"/>
  <c r="R336" i="5"/>
  <c r="Q336" i="5"/>
  <c r="P336" i="5"/>
  <c r="O336" i="5"/>
  <c r="N336" i="5"/>
  <c r="M336" i="5"/>
  <c r="K336" i="5"/>
  <c r="L336" i="5"/>
  <c r="E328" i="5"/>
  <c r="I328" i="5" s="1"/>
  <c r="J328" i="5" s="1"/>
  <c r="S328" i="5"/>
  <c r="R328" i="5"/>
  <c r="Q328" i="5"/>
  <c r="P328" i="5"/>
  <c r="O328" i="5"/>
  <c r="N328" i="5"/>
  <c r="M328" i="5"/>
  <c r="K328" i="5"/>
  <c r="L328" i="5"/>
  <c r="E320" i="5"/>
  <c r="I320" i="5" s="1"/>
  <c r="J320" i="5" s="1"/>
  <c r="S320" i="5"/>
  <c r="R320" i="5"/>
  <c r="Q320" i="5"/>
  <c r="P320" i="5"/>
  <c r="O320" i="5"/>
  <c r="N320" i="5"/>
  <c r="M320" i="5"/>
  <c r="K320" i="5"/>
  <c r="L320" i="5"/>
  <c r="E312" i="5"/>
  <c r="I312" i="5" s="1"/>
  <c r="J312" i="5" s="1"/>
  <c r="S312" i="5"/>
  <c r="R312" i="5"/>
  <c r="Q312" i="5"/>
  <c r="P312" i="5"/>
  <c r="O312" i="5"/>
  <c r="N312" i="5"/>
  <c r="M312" i="5"/>
  <c r="K312" i="5"/>
  <c r="L312" i="5"/>
  <c r="E304" i="5"/>
  <c r="I304" i="5" s="1"/>
  <c r="J304" i="5" s="1"/>
  <c r="S304" i="5"/>
  <c r="R304" i="5"/>
  <c r="Q304" i="5"/>
  <c r="P304" i="5"/>
  <c r="O304" i="5"/>
  <c r="N304" i="5"/>
  <c r="M304" i="5"/>
  <c r="K304" i="5"/>
  <c r="L304" i="5"/>
  <c r="E296" i="5"/>
  <c r="I296" i="5" s="1"/>
  <c r="J296" i="5" s="1"/>
  <c r="S296" i="5"/>
  <c r="R296" i="5"/>
  <c r="Q296" i="5"/>
  <c r="P296" i="5"/>
  <c r="O296" i="5"/>
  <c r="N296" i="5"/>
  <c r="M296" i="5"/>
  <c r="K296" i="5"/>
  <c r="L296" i="5"/>
  <c r="E288" i="5"/>
  <c r="I288" i="5" s="1"/>
  <c r="J288" i="5" s="1"/>
  <c r="R288" i="5"/>
  <c r="S288" i="5"/>
  <c r="Q288" i="5"/>
  <c r="P288" i="5"/>
  <c r="O288" i="5"/>
  <c r="N288" i="5"/>
  <c r="M288" i="5"/>
  <c r="K288" i="5"/>
  <c r="L288" i="5"/>
  <c r="E280" i="5"/>
  <c r="I280" i="5" s="1"/>
  <c r="J280" i="5" s="1"/>
  <c r="R280" i="5"/>
  <c r="S280" i="5"/>
  <c r="Q280" i="5"/>
  <c r="P280" i="5"/>
  <c r="O280" i="5"/>
  <c r="N280" i="5"/>
  <c r="M280" i="5"/>
  <c r="K280" i="5"/>
  <c r="L280" i="5"/>
  <c r="E272" i="5"/>
  <c r="I272" i="5" s="1"/>
  <c r="J272" i="5" s="1"/>
  <c r="S272" i="5"/>
  <c r="R272" i="5"/>
  <c r="Q272" i="5"/>
  <c r="P272" i="5"/>
  <c r="O272" i="5"/>
  <c r="N272" i="5"/>
  <c r="M272" i="5"/>
  <c r="K272" i="5"/>
  <c r="L272" i="5"/>
  <c r="E264" i="5"/>
  <c r="I264" i="5" s="1"/>
  <c r="J264" i="5" s="1"/>
  <c r="S264" i="5"/>
  <c r="R264" i="5"/>
  <c r="Q264" i="5"/>
  <c r="P264" i="5"/>
  <c r="O264" i="5"/>
  <c r="N264" i="5"/>
  <c r="M264" i="5"/>
  <c r="K264" i="5"/>
  <c r="L264" i="5"/>
  <c r="E256" i="5"/>
  <c r="I256" i="5" s="1"/>
  <c r="J256" i="5" s="1"/>
  <c r="S256" i="5"/>
  <c r="R256" i="5"/>
  <c r="Q256" i="5"/>
  <c r="P256" i="5"/>
  <c r="O256" i="5"/>
  <c r="N256" i="5"/>
  <c r="M256" i="5"/>
  <c r="K256" i="5"/>
  <c r="L256" i="5"/>
  <c r="E248" i="5"/>
  <c r="I248" i="5" s="1"/>
  <c r="J248" i="5" s="1"/>
  <c r="S248" i="5"/>
  <c r="R248" i="5"/>
  <c r="Q248" i="5"/>
  <c r="P248" i="5"/>
  <c r="O248" i="5"/>
  <c r="N248" i="5"/>
  <c r="M248" i="5"/>
  <c r="K248" i="5"/>
  <c r="L248" i="5"/>
  <c r="E240" i="5"/>
  <c r="I240" i="5" s="1"/>
  <c r="J240" i="5" s="1"/>
  <c r="S240" i="5"/>
  <c r="R240" i="5"/>
  <c r="Q240" i="5"/>
  <c r="P240" i="5"/>
  <c r="O240" i="5"/>
  <c r="N240" i="5"/>
  <c r="M240" i="5"/>
  <c r="K240" i="5"/>
  <c r="L240" i="5"/>
  <c r="E232" i="5"/>
  <c r="I232" i="5" s="1"/>
  <c r="J232" i="5" s="1"/>
  <c r="S232" i="5"/>
  <c r="R232" i="5"/>
  <c r="Q232" i="5"/>
  <c r="P232" i="5"/>
  <c r="O232" i="5"/>
  <c r="N232" i="5"/>
  <c r="M232" i="5"/>
  <c r="K232" i="5"/>
  <c r="L232" i="5"/>
  <c r="E224" i="5"/>
  <c r="I224" i="5" s="1"/>
  <c r="J224" i="5" s="1"/>
  <c r="R224" i="5"/>
  <c r="S224" i="5"/>
  <c r="Q224" i="5"/>
  <c r="P224" i="5"/>
  <c r="O224" i="5"/>
  <c r="N224" i="5"/>
  <c r="M224" i="5"/>
  <c r="K224" i="5"/>
  <c r="L224" i="5"/>
  <c r="E216" i="5"/>
  <c r="I216" i="5" s="1"/>
  <c r="J216" i="5" s="1"/>
  <c r="R216" i="5"/>
  <c r="S216" i="5"/>
  <c r="Q216" i="5"/>
  <c r="P216" i="5"/>
  <c r="O216" i="5"/>
  <c r="N216" i="5"/>
  <c r="M216" i="5"/>
  <c r="K216" i="5"/>
  <c r="L216" i="5"/>
  <c r="E208" i="5"/>
  <c r="I208" i="5" s="1"/>
  <c r="J208" i="5" s="1"/>
  <c r="S208" i="5"/>
  <c r="R208" i="5"/>
  <c r="Q208" i="5"/>
  <c r="P208" i="5"/>
  <c r="O208" i="5"/>
  <c r="N208" i="5"/>
  <c r="M208" i="5"/>
  <c r="K208" i="5"/>
  <c r="L208" i="5"/>
  <c r="E200" i="5"/>
  <c r="I200" i="5" s="1"/>
  <c r="J200" i="5" s="1"/>
  <c r="S200" i="5"/>
  <c r="R200" i="5"/>
  <c r="Q200" i="5"/>
  <c r="P200" i="5"/>
  <c r="O200" i="5"/>
  <c r="N200" i="5"/>
  <c r="M200" i="5"/>
  <c r="K200" i="5"/>
  <c r="L200" i="5"/>
  <c r="E192" i="5"/>
  <c r="I192" i="5" s="1"/>
  <c r="J192" i="5" s="1"/>
  <c r="S192" i="5"/>
  <c r="R192" i="5"/>
  <c r="Q192" i="5"/>
  <c r="P192" i="5"/>
  <c r="O192" i="5"/>
  <c r="N192" i="5"/>
  <c r="M192" i="5"/>
  <c r="K192" i="5"/>
  <c r="L192" i="5"/>
  <c r="E184" i="5"/>
  <c r="I184" i="5" s="1"/>
  <c r="J184" i="5" s="1"/>
  <c r="S184" i="5"/>
  <c r="R184" i="5"/>
  <c r="Q184" i="5"/>
  <c r="P184" i="5"/>
  <c r="O184" i="5"/>
  <c r="N184" i="5"/>
  <c r="M184" i="5"/>
  <c r="K184" i="5"/>
  <c r="L184" i="5"/>
  <c r="E176" i="5"/>
  <c r="I176" i="5" s="1"/>
  <c r="J176" i="5" s="1"/>
  <c r="S176" i="5"/>
  <c r="R176" i="5"/>
  <c r="Q176" i="5"/>
  <c r="P176" i="5"/>
  <c r="O176" i="5"/>
  <c r="N176" i="5"/>
  <c r="M176" i="5"/>
  <c r="K176" i="5"/>
  <c r="L176" i="5"/>
  <c r="E168" i="5"/>
  <c r="I168" i="5" s="1"/>
  <c r="J168" i="5" s="1"/>
  <c r="S168" i="5"/>
  <c r="R168" i="5"/>
  <c r="Q168" i="5"/>
  <c r="P168" i="5"/>
  <c r="O168" i="5"/>
  <c r="N168" i="5"/>
  <c r="M168" i="5"/>
  <c r="K168" i="5"/>
  <c r="L168" i="5"/>
  <c r="E160" i="5"/>
  <c r="I160" i="5" s="1"/>
  <c r="J160" i="5" s="1"/>
  <c r="R160" i="5"/>
  <c r="S160" i="5"/>
  <c r="Q160" i="5"/>
  <c r="P160" i="5"/>
  <c r="O160" i="5"/>
  <c r="N160" i="5"/>
  <c r="M160" i="5"/>
  <c r="K160" i="5"/>
  <c r="L160" i="5"/>
  <c r="E152" i="5"/>
  <c r="I152" i="5" s="1"/>
  <c r="J152" i="5" s="1"/>
  <c r="S152" i="5"/>
  <c r="R152" i="5"/>
  <c r="Q152" i="5"/>
  <c r="P152" i="5"/>
  <c r="O152" i="5"/>
  <c r="N152" i="5"/>
  <c r="M152" i="5"/>
  <c r="K152" i="5"/>
  <c r="L152" i="5"/>
  <c r="E144" i="5"/>
  <c r="I144" i="5" s="1"/>
  <c r="J144" i="5" s="1"/>
  <c r="S144" i="5"/>
  <c r="R144" i="5"/>
  <c r="Q144" i="5"/>
  <c r="P144" i="5"/>
  <c r="O144" i="5"/>
  <c r="N144" i="5"/>
  <c r="M144" i="5"/>
  <c r="K144" i="5"/>
  <c r="L144" i="5"/>
  <c r="E136" i="5"/>
  <c r="I136" i="5" s="1"/>
  <c r="J136" i="5" s="1"/>
  <c r="S136" i="5"/>
  <c r="R136" i="5"/>
  <c r="Q136" i="5"/>
  <c r="P136" i="5"/>
  <c r="O136" i="5"/>
  <c r="N136" i="5"/>
  <c r="M136" i="5"/>
  <c r="K136" i="5"/>
  <c r="L136" i="5"/>
  <c r="E128" i="5"/>
  <c r="I128" i="5" s="1"/>
  <c r="J128" i="5" s="1"/>
  <c r="S128" i="5"/>
  <c r="R128" i="5"/>
  <c r="Q128" i="5"/>
  <c r="P128" i="5"/>
  <c r="O128" i="5"/>
  <c r="N128" i="5"/>
  <c r="M128" i="5"/>
  <c r="K128" i="5"/>
  <c r="L128" i="5"/>
  <c r="E120" i="5"/>
  <c r="I120" i="5" s="1"/>
  <c r="J120" i="5" s="1"/>
  <c r="S120" i="5"/>
  <c r="R120" i="5"/>
  <c r="Q120" i="5"/>
  <c r="P120" i="5"/>
  <c r="O120" i="5"/>
  <c r="N120" i="5"/>
  <c r="M120" i="5"/>
  <c r="K120" i="5"/>
  <c r="L120" i="5"/>
  <c r="E112" i="5"/>
  <c r="I112" i="5" s="1"/>
  <c r="J112" i="5" s="1"/>
  <c r="S112" i="5"/>
  <c r="R112" i="5"/>
  <c r="Q112" i="5"/>
  <c r="P112" i="5"/>
  <c r="O112" i="5"/>
  <c r="N112" i="5"/>
  <c r="M112" i="5"/>
  <c r="K112" i="5"/>
  <c r="L112" i="5"/>
  <c r="E104" i="5"/>
  <c r="I104" i="5" s="1"/>
  <c r="J104" i="5" s="1"/>
  <c r="S104" i="5"/>
  <c r="R104" i="5"/>
  <c r="Q104" i="5"/>
  <c r="P104" i="5"/>
  <c r="O104" i="5"/>
  <c r="N104" i="5"/>
  <c r="M104" i="5"/>
  <c r="K104" i="5"/>
  <c r="L104" i="5"/>
  <c r="E96" i="5"/>
  <c r="I96" i="5" s="1"/>
  <c r="J96" i="5" s="1"/>
  <c r="S96" i="5"/>
  <c r="R96" i="5"/>
  <c r="Q96" i="5"/>
  <c r="P96" i="5"/>
  <c r="O96" i="5"/>
  <c r="N96" i="5"/>
  <c r="M96" i="5"/>
  <c r="K96" i="5"/>
  <c r="L96" i="5"/>
  <c r="E88" i="5"/>
  <c r="I88" i="5" s="1"/>
  <c r="J88" i="5" s="1"/>
  <c r="R88" i="5"/>
  <c r="S88" i="5"/>
  <c r="Q88" i="5"/>
  <c r="P88" i="5"/>
  <c r="O88" i="5"/>
  <c r="N88" i="5"/>
  <c r="M88" i="5"/>
  <c r="K88" i="5"/>
  <c r="L88" i="5"/>
  <c r="E80" i="5"/>
  <c r="I80" i="5" s="1"/>
  <c r="J80" i="5" s="1"/>
  <c r="S80" i="5"/>
  <c r="R80" i="5"/>
  <c r="Q80" i="5"/>
  <c r="P80" i="5"/>
  <c r="O80" i="5"/>
  <c r="N80" i="5"/>
  <c r="M80" i="5"/>
  <c r="K80" i="5"/>
  <c r="L80" i="5"/>
  <c r="E72" i="5"/>
  <c r="I72" i="5" s="1"/>
  <c r="J72" i="5" s="1"/>
  <c r="S72" i="5"/>
  <c r="R72" i="5"/>
  <c r="Q72" i="5"/>
  <c r="P72" i="5"/>
  <c r="O72" i="5"/>
  <c r="N72" i="5"/>
  <c r="M72" i="5"/>
  <c r="K72" i="5"/>
  <c r="L72" i="5"/>
  <c r="E64" i="5"/>
  <c r="I64" i="5" s="1"/>
  <c r="J64" i="5" s="1"/>
  <c r="S64" i="5"/>
  <c r="R64" i="5"/>
  <c r="Q64" i="5"/>
  <c r="P64" i="5"/>
  <c r="O64" i="5"/>
  <c r="N64" i="5"/>
  <c r="M64" i="5"/>
  <c r="K64" i="5"/>
  <c r="L64" i="5"/>
  <c r="E56" i="5"/>
  <c r="I56" i="5" s="1"/>
  <c r="J56" i="5" s="1"/>
  <c r="S56" i="5"/>
  <c r="R56" i="5"/>
  <c r="Q56" i="5"/>
  <c r="P56" i="5"/>
  <c r="O56" i="5"/>
  <c r="N56" i="5"/>
  <c r="M56" i="5"/>
  <c r="K56" i="5"/>
  <c r="L56" i="5"/>
  <c r="E48" i="5"/>
  <c r="I48" i="5" s="1"/>
  <c r="J48" i="5" s="1"/>
  <c r="S48" i="5"/>
  <c r="R48" i="5"/>
  <c r="Q48" i="5"/>
  <c r="P48" i="5"/>
  <c r="O48" i="5"/>
  <c r="N48" i="5"/>
  <c r="L48" i="5"/>
  <c r="M48" i="5"/>
  <c r="K48" i="5"/>
  <c r="E40" i="5"/>
  <c r="I40" i="5" s="1"/>
  <c r="J40" i="5" s="1"/>
  <c r="S40" i="5"/>
  <c r="R40" i="5"/>
  <c r="Q40" i="5"/>
  <c r="P40" i="5"/>
  <c r="O40" i="5"/>
  <c r="N40" i="5"/>
  <c r="L40" i="5"/>
  <c r="M40" i="5"/>
  <c r="K40" i="5"/>
  <c r="E32" i="5"/>
  <c r="I32" i="5" s="1"/>
  <c r="J32" i="5" s="1"/>
  <c r="S32" i="5"/>
  <c r="R32" i="5"/>
  <c r="Q32" i="5"/>
  <c r="P32" i="5"/>
  <c r="O32" i="5"/>
  <c r="N32" i="5"/>
  <c r="L32" i="5"/>
  <c r="M32" i="5"/>
  <c r="K32" i="5"/>
  <c r="E24" i="5"/>
  <c r="I24" i="5" s="1"/>
  <c r="J24" i="5" s="1"/>
  <c r="S24" i="5"/>
  <c r="R24" i="5"/>
  <c r="Q24" i="5"/>
  <c r="P24" i="5"/>
  <c r="O24" i="5"/>
  <c r="N24" i="5"/>
  <c r="L24" i="5"/>
  <c r="M24" i="5"/>
  <c r="K24" i="5"/>
  <c r="E16" i="5"/>
  <c r="I16" i="5" s="1"/>
  <c r="J16" i="5" s="1"/>
  <c r="S16" i="5"/>
  <c r="R16" i="5"/>
  <c r="Q16" i="5"/>
  <c r="P16" i="5"/>
  <c r="O16" i="5"/>
  <c r="N16" i="5"/>
  <c r="L16" i="5"/>
  <c r="M16" i="5"/>
  <c r="K16" i="5"/>
  <c r="K997" i="5"/>
  <c r="K981" i="5"/>
  <c r="K965" i="5"/>
  <c r="K941" i="5"/>
  <c r="K933" i="5"/>
  <c r="K917" i="5"/>
  <c r="K893" i="5"/>
  <c r="K877" i="5"/>
  <c r="K869" i="5"/>
  <c r="K837" i="5"/>
  <c r="K821" i="5"/>
  <c r="K813" i="5"/>
  <c r="K805" i="5"/>
  <c r="K757" i="5"/>
  <c r="K749" i="5"/>
  <c r="K741" i="5"/>
  <c r="K709" i="5"/>
  <c r="K701" i="5"/>
  <c r="K685" i="5"/>
  <c r="K661" i="5"/>
  <c r="K653" i="5"/>
  <c r="K645" i="5"/>
  <c r="K613" i="5"/>
  <c r="K597" i="5"/>
  <c r="K589" i="5"/>
  <c r="K533" i="5"/>
  <c r="K525" i="5"/>
  <c r="K509" i="5"/>
  <c r="K485" i="5"/>
  <c r="K461" i="5"/>
  <c r="K445" i="5"/>
  <c r="K429" i="5"/>
  <c r="E973" i="5"/>
  <c r="I973" i="5" s="1"/>
  <c r="J973" i="5" s="1"/>
  <c r="S973" i="5"/>
  <c r="R973" i="5"/>
  <c r="Q973" i="5"/>
  <c r="P973" i="5"/>
  <c r="O973" i="5"/>
  <c r="N973" i="5"/>
  <c r="M973" i="5"/>
  <c r="L973" i="5"/>
  <c r="E925" i="5"/>
  <c r="I925" i="5" s="1"/>
  <c r="J925" i="5" s="1"/>
  <c r="S925" i="5"/>
  <c r="R925" i="5"/>
  <c r="Q925" i="5"/>
  <c r="P925" i="5"/>
  <c r="O925" i="5"/>
  <c r="N925" i="5"/>
  <c r="M925" i="5"/>
  <c r="L925" i="5"/>
  <c r="E861" i="5"/>
  <c r="I861" i="5" s="1"/>
  <c r="J861" i="5" s="1"/>
  <c r="S861" i="5"/>
  <c r="R861" i="5"/>
  <c r="Q861" i="5"/>
  <c r="P861" i="5"/>
  <c r="O861" i="5"/>
  <c r="N861" i="5"/>
  <c r="M861" i="5"/>
  <c r="L861" i="5"/>
  <c r="E789" i="5"/>
  <c r="I789" i="5" s="1"/>
  <c r="J789" i="5" s="1"/>
  <c r="S789" i="5"/>
  <c r="R789" i="5"/>
  <c r="Q789" i="5"/>
  <c r="P789" i="5"/>
  <c r="O789" i="5"/>
  <c r="N789" i="5"/>
  <c r="M789" i="5"/>
  <c r="L789" i="5"/>
  <c r="E717" i="5"/>
  <c r="I717" i="5" s="1"/>
  <c r="J717" i="5" s="1"/>
  <c r="S717" i="5"/>
  <c r="R717" i="5"/>
  <c r="Q717" i="5"/>
  <c r="P717" i="5"/>
  <c r="O717" i="5"/>
  <c r="N717" i="5"/>
  <c r="M717" i="5"/>
  <c r="L717" i="5"/>
  <c r="E669" i="5"/>
  <c r="I669" i="5" s="1"/>
  <c r="J669" i="5" s="1"/>
  <c r="S669" i="5"/>
  <c r="R669" i="5"/>
  <c r="Q669" i="5"/>
  <c r="P669" i="5"/>
  <c r="N669" i="5"/>
  <c r="O669" i="5"/>
  <c r="M669" i="5"/>
  <c r="L669" i="5"/>
  <c r="E629" i="5"/>
  <c r="I629" i="5" s="1"/>
  <c r="J629" i="5" s="1"/>
  <c r="S629" i="5"/>
  <c r="R629" i="5"/>
  <c r="Q629" i="5"/>
  <c r="P629" i="5"/>
  <c r="N629" i="5"/>
  <c r="O629" i="5"/>
  <c r="M629" i="5"/>
  <c r="L629" i="5"/>
  <c r="E581" i="5"/>
  <c r="I581" i="5" s="1"/>
  <c r="J581" i="5" s="1"/>
  <c r="S581" i="5"/>
  <c r="R581" i="5"/>
  <c r="Q581" i="5"/>
  <c r="P581" i="5"/>
  <c r="N581" i="5"/>
  <c r="O581" i="5"/>
  <c r="M581" i="5"/>
  <c r="L581" i="5"/>
  <c r="E549" i="5"/>
  <c r="I549" i="5" s="1"/>
  <c r="J549" i="5" s="1"/>
  <c r="S549" i="5"/>
  <c r="R549" i="5"/>
  <c r="Q549" i="5"/>
  <c r="P549" i="5"/>
  <c r="N549" i="5"/>
  <c r="O549" i="5"/>
  <c r="M549" i="5"/>
  <c r="L549" i="5"/>
  <c r="E477" i="5"/>
  <c r="I477" i="5" s="1"/>
  <c r="J477" i="5" s="1"/>
  <c r="S477" i="5"/>
  <c r="R477" i="5"/>
  <c r="Q477" i="5"/>
  <c r="P477" i="5"/>
  <c r="N477" i="5"/>
  <c r="O477" i="5"/>
  <c r="M477" i="5"/>
  <c r="L477" i="5"/>
  <c r="E397" i="5"/>
  <c r="I397" i="5" s="1"/>
  <c r="J397" i="5" s="1"/>
  <c r="S397" i="5"/>
  <c r="R397" i="5"/>
  <c r="Q397" i="5"/>
  <c r="P397" i="5"/>
  <c r="N397" i="5"/>
  <c r="O397" i="5"/>
  <c r="M397" i="5"/>
  <c r="L397" i="5"/>
  <c r="K397" i="5"/>
  <c r="E333" i="5"/>
  <c r="I333" i="5" s="1"/>
  <c r="J333" i="5" s="1"/>
  <c r="S333" i="5"/>
  <c r="R333" i="5"/>
  <c r="Q333" i="5"/>
  <c r="P333" i="5"/>
  <c r="O333" i="5"/>
  <c r="N333" i="5"/>
  <c r="M333" i="5"/>
  <c r="L333" i="5"/>
  <c r="K333" i="5"/>
  <c r="E285" i="5"/>
  <c r="I285" i="5" s="1"/>
  <c r="J285" i="5" s="1"/>
  <c r="S285" i="5"/>
  <c r="R285" i="5"/>
  <c r="Q285" i="5"/>
  <c r="P285" i="5"/>
  <c r="O285" i="5"/>
  <c r="N285" i="5"/>
  <c r="M285" i="5"/>
  <c r="L285" i="5"/>
  <c r="K285" i="5"/>
  <c r="E221" i="5"/>
  <c r="I221" i="5" s="1"/>
  <c r="J221" i="5" s="1"/>
  <c r="S221" i="5"/>
  <c r="R221" i="5"/>
  <c r="Q221" i="5"/>
  <c r="P221" i="5"/>
  <c r="O221" i="5"/>
  <c r="N221" i="5"/>
  <c r="M221" i="5"/>
  <c r="L221" i="5"/>
  <c r="K221" i="5"/>
  <c r="E125" i="5"/>
  <c r="I125" i="5" s="1"/>
  <c r="J125" i="5" s="1"/>
  <c r="S125" i="5"/>
  <c r="R125" i="5"/>
  <c r="Q125" i="5"/>
  <c r="P125" i="5"/>
  <c r="O125" i="5"/>
  <c r="N125" i="5"/>
  <c r="M125" i="5"/>
  <c r="K125" i="5"/>
  <c r="L125" i="5"/>
  <c r="E93" i="5"/>
  <c r="I93" i="5" s="1"/>
  <c r="J93" i="5" s="1"/>
  <c r="S93" i="5"/>
  <c r="R93" i="5"/>
  <c r="Q93" i="5"/>
  <c r="P93" i="5"/>
  <c r="O93" i="5"/>
  <c r="N93" i="5"/>
  <c r="M93" i="5"/>
  <c r="K93" i="5"/>
  <c r="L93" i="5"/>
  <c r="E53" i="5"/>
  <c r="I53" i="5" s="1"/>
  <c r="J53" i="5" s="1"/>
  <c r="S53" i="5"/>
  <c r="R53" i="5"/>
  <c r="Q53" i="5"/>
  <c r="P53" i="5"/>
  <c r="O53" i="5"/>
  <c r="N53" i="5"/>
  <c r="M53" i="5"/>
  <c r="K53" i="5"/>
  <c r="L53" i="5"/>
  <c r="E1002" i="5"/>
  <c r="I1002" i="5" s="1"/>
  <c r="J1002" i="5" s="1"/>
  <c r="S1002" i="5"/>
  <c r="R1002" i="5"/>
  <c r="Q1002" i="5"/>
  <c r="P1002" i="5"/>
  <c r="O1002" i="5"/>
  <c r="M1002" i="5"/>
  <c r="N1002" i="5"/>
  <c r="L1002" i="5"/>
  <c r="E993" i="5"/>
  <c r="I993" i="5" s="1"/>
  <c r="J993" i="5" s="1"/>
  <c r="S993" i="5"/>
  <c r="R993" i="5"/>
  <c r="Q993" i="5"/>
  <c r="P993" i="5"/>
  <c r="O993" i="5"/>
  <c r="N993" i="5"/>
  <c r="M993" i="5"/>
  <c r="L993" i="5"/>
  <c r="E992" i="5"/>
  <c r="I992" i="5" s="1"/>
  <c r="J992" i="5" s="1"/>
  <c r="S992" i="5"/>
  <c r="R992" i="5"/>
  <c r="Q992" i="5"/>
  <c r="P992" i="5"/>
  <c r="O992" i="5"/>
  <c r="N992" i="5"/>
  <c r="M992" i="5"/>
  <c r="L992" i="5"/>
  <c r="E968" i="5"/>
  <c r="I968" i="5" s="1"/>
  <c r="J968" i="5" s="1"/>
  <c r="S968" i="5"/>
  <c r="R968" i="5"/>
  <c r="Q968" i="5"/>
  <c r="P968" i="5"/>
  <c r="O968" i="5"/>
  <c r="N968" i="5"/>
  <c r="M968" i="5"/>
  <c r="L968" i="5"/>
  <c r="E991" i="5"/>
  <c r="I991" i="5" s="1"/>
  <c r="J991" i="5" s="1"/>
  <c r="S991" i="5"/>
  <c r="R991" i="5"/>
  <c r="Q991" i="5"/>
  <c r="P991" i="5"/>
  <c r="O991" i="5"/>
  <c r="N991" i="5"/>
  <c r="M991" i="5"/>
  <c r="L991" i="5"/>
  <c r="E975" i="5"/>
  <c r="I975" i="5" s="1"/>
  <c r="J975" i="5" s="1"/>
  <c r="S975" i="5"/>
  <c r="R975" i="5"/>
  <c r="Q975" i="5"/>
  <c r="P975" i="5"/>
  <c r="O975" i="5"/>
  <c r="N975" i="5"/>
  <c r="M975" i="5"/>
  <c r="L975" i="5"/>
  <c r="E967" i="5"/>
  <c r="I967" i="5" s="1"/>
  <c r="J967" i="5" s="1"/>
  <c r="S967" i="5"/>
  <c r="R967" i="5"/>
  <c r="Q967" i="5"/>
  <c r="P967" i="5"/>
  <c r="O967" i="5"/>
  <c r="N967" i="5"/>
  <c r="M967" i="5"/>
  <c r="L967" i="5"/>
  <c r="E951" i="5"/>
  <c r="I951" i="5" s="1"/>
  <c r="J951" i="5" s="1"/>
  <c r="S951" i="5"/>
  <c r="R951" i="5"/>
  <c r="Q951" i="5"/>
  <c r="P951" i="5"/>
  <c r="O951" i="5"/>
  <c r="N951" i="5"/>
  <c r="M951" i="5"/>
  <c r="L951" i="5"/>
  <c r="E927" i="5"/>
  <c r="I927" i="5" s="1"/>
  <c r="J927" i="5" s="1"/>
  <c r="S927" i="5"/>
  <c r="R927" i="5"/>
  <c r="Q927" i="5"/>
  <c r="P927" i="5"/>
  <c r="O927" i="5"/>
  <c r="N927" i="5"/>
  <c r="M927" i="5"/>
  <c r="L927" i="5"/>
  <c r="E911" i="5"/>
  <c r="I911" i="5" s="1"/>
  <c r="J911" i="5" s="1"/>
  <c r="S911" i="5"/>
  <c r="R911" i="5"/>
  <c r="Q911" i="5"/>
  <c r="P911" i="5"/>
  <c r="O911" i="5"/>
  <c r="N911" i="5"/>
  <c r="M911" i="5"/>
  <c r="L911" i="5"/>
  <c r="E903" i="5"/>
  <c r="I903" i="5" s="1"/>
  <c r="J903" i="5" s="1"/>
  <c r="S903" i="5"/>
  <c r="R903" i="5"/>
  <c r="Q903" i="5"/>
  <c r="P903" i="5"/>
  <c r="O903" i="5"/>
  <c r="N903" i="5"/>
  <c r="M903" i="5"/>
  <c r="L903" i="5"/>
  <c r="E895" i="5"/>
  <c r="I895" i="5" s="1"/>
  <c r="J895" i="5" s="1"/>
  <c r="S895" i="5"/>
  <c r="R895" i="5"/>
  <c r="Q895" i="5"/>
  <c r="P895" i="5"/>
  <c r="O895" i="5"/>
  <c r="N895" i="5"/>
  <c r="M895" i="5"/>
  <c r="L895" i="5"/>
  <c r="E887" i="5"/>
  <c r="I887" i="5" s="1"/>
  <c r="J887" i="5" s="1"/>
  <c r="S887" i="5"/>
  <c r="R887" i="5"/>
  <c r="Q887" i="5"/>
  <c r="P887" i="5"/>
  <c r="O887" i="5"/>
  <c r="N887" i="5"/>
  <c r="M887" i="5"/>
  <c r="L887" i="5"/>
  <c r="E879" i="5"/>
  <c r="I879" i="5" s="1"/>
  <c r="J879" i="5" s="1"/>
  <c r="S879" i="5"/>
  <c r="R879" i="5"/>
  <c r="Q879" i="5"/>
  <c r="P879" i="5"/>
  <c r="O879" i="5"/>
  <c r="N879" i="5"/>
  <c r="M879" i="5"/>
  <c r="L879" i="5"/>
  <c r="E871" i="5"/>
  <c r="I871" i="5" s="1"/>
  <c r="J871" i="5" s="1"/>
  <c r="S871" i="5"/>
  <c r="R871" i="5"/>
  <c r="Q871" i="5"/>
  <c r="P871" i="5"/>
  <c r="O871" i="5"/>
  <c r="N871" i="5"/>
  <c r="M871" i="5"/>
  <c r="L871" i="5"/>
  <c r="E863" i="5"/>
  <c r="I863" i="5" s="1"/>
  <c r="J863" i="5" s="1"/>
  <c r="S863" i="5"/>
  <c r="R863" i="5"/>
  <c r="Q863" i="5"/>
  <c r="P863" i="5"/>
  <c r="O863" i="5"/>
  <c r="N863" i="5"/>
  <c r="M863" i="5"/>
  <c r="L863" i="5"/>
  <c r="E855" i="5"/>
  <c r="I855" i="5" s="1"/>
  <c r="J855" i="5" s="1"/>
  <c r="S855" i="5"/>
  <c r="R855" i="5"/>
  <c r="Q855" i="5"/>
  <c r="P855" i="5"/>
  <c r="O855" i="5"/>
  <c r="N855" i="5"/>
  <c r="M855" i="5"/>
  <c r="L855" i="5"/>
  <c r="E847" i="5"/>
  <c r="I847" i="5" s="1"/>
  <c r="J847" i="5" s="1"/>
  <c r="S847" i="5"/>
  <c r="R847" i="5"/>
  <c r="Q847" i="5"/>
  <c r="P847" i="5"/>
  <c r="O847" i="5"/>
  <c r="N847" i="5"/>
  <c r="M847" i="5"/>
  <c r="L847" i="5"/>
  <c r="E839" i="5"/>
  <c r="I839" i="5" s="1"/>
  <c r="J839" i="5" s="1"/>
  <c r="S839" i="5"/>
  <c r="R839" i="5"/>
  <c r="Q839" i="5"/>
  <c r="P839" i="5"/>
  <c r="O839" i="5"/>
  <c r="N839" i="5"/>
  <c r="M839" i="5"/>
  <c r="L839" i="5"/>
  <c r="E831" i="5"/>
  <c r="I831" i="5" s="1"/>
  <c r="J831" i="5" s="1"/>
  <c r="S831" i="5"/>
  <c r="R831" i="5"/>
  <c r="Q831" i="5"/>
  <c r="P831" i="5"/>
  <c r="O831" i="5"/>
  <c r="N831" i="5"/>
  <c r="M831" i="5"/>
  <c r="L831" i="5"/>
  <c r="E823" i="5"/>
  <c r="I823" i="5" s="1"/>
  <c r="J823" i="5" s="1"/>
  <c r="S823" i="5"/>
  <c r="R823" i="5"/>
  <c r="Q823" i="5"/>
  <c r="P823" i="5"/>
  <c r="O823" i="5"/>
  <c r="N823" i="5"/>
  <c r="M823" i="5"/>
  <c r="L823" i="5"/>
  <c r="E815" i="5"/>
  <c r="I815" i="5" s="1"/>
  <c r="J815" i="5" s="1"/>
  <c r="S815" i="5"/>
  <c r="R815" i="5"/>
  <c r="Q815" i="5"/>
  <c r="P815" i="5"/>
  <c r="O815" i="5"/>
  <c r="N815" i="5"/>
  <c r="M815" i="5"/>
  <c r="L815" i="5"/>
  <c r="E807" i="5"/>
  <c r="I807" i="5" s="1"/>
  <c r="J807" i="5" s="1"/>
  <c r="S807" i="5"/>
  <c r="R807" i="5"/>
  <c r="Q807" i="5"/>
  <c r="P807" i="5"/>
  <c r="O807" i="5"/>
  <c r="N807" i="5"/>
  <c r="M807" i="5"/>
  <c r="L807" i="5"/>
  <c r="E799" i="5"/>
  <c r="I799" i="5" s="1"/>
  <c r="J799" i="5" s="1"/>
  <c r="S799" i="5"/>
  <c r="R799" i="5"/>
  <c r="Q799" i="5"/>
  <c r="P799" i="5"/>
  <c r="O799" i="5"/>
  <c r="N799" i="5"/>
  <c r="M799" i="5"/>
  <c r="L799" i="5"/>
  <c r="E791" i="5"/>
  <c r="I791" i="5" s="1"/>
  <c r="J791" i="5" s="1"/>
  <c r="S791" i="5"/>
  <c r="R791" i="5"/>
  <c r="Q791" i="5"/>
  <c r="P791" i="5"/>
  <c r="O791" i="5"/>
  <c r="N791" i="5"/>
  <c r="M791" i="5"/>
  <c r="L791" i="5"/>
  <c r="E783" i="5"/>
  <c r="I783" i="5" s="1"/>
  <c r="J783" i="5" s="1"/>
  <c r="S783" i="5"/>
  <c r="R783" i="5"/>
  <c r="Q783" i="5"/>
  <c r="P783" i="5"/>
  <c r="O783" i="5"/>
  <c r="N783" i="5"/>
  <c r="M783" i="5"/>
  <c r="L783" i="5"/>
  <c r="E775" i="5"/>
  <c r="I775" i="5" s="1"/>
  <c r="J775" i="5" s="1"/>
  <c r="S775" i="5"/>
  <c r="R775" i="5"/>
  <c r="Q775" i="5"/>
  <c r="P775" i="5"/>
  <c r="O775" i="5"/>
  <c r="N775" i="5"/>
  <c r="M775" i="5"/>
  <c r="L775" i="5"/>
  <c r="E767" i="5"/>
  <c r="I767" i="5" s="1"/>
  <c r="J767" i="5" s="1"/>
  <c r="S767" i="5"/>
  <c r="R767" i="5"/>
  <c r="Q767" i="5"/>
  <c r="P767" i="5"/>
  <c r="O767" i="5"/>
  <c r="N767" i="5"/>
  <c r="M767" i="5"/>
  <c r="L767" i="5"/>
  <c r="E759" i="5"/>
  <c r="I759" i="5" s="1"/>
  <c r="J759" i="5" s="1"/>
  <c r="S759" i="5"/>
  <c r="R759" i="5"/>
  <c r="Q759" i="5"/>
  <c r="P759" i="5"/>
  <c r="O759" i="5"/>
  <c r="N759" i="5"/>
  <c r="M759" i="5"/>
  <c r="L759" i="5"/>
  <c r="E751" i="5"/>
  <c r="I751" i="5" s="1"/>
  <c r="J751" i="5" s="1"/>
  <c r="S751" i="5"/>
  <c r="R751" i="5"/>
  <c r="Q751" i="5"/>
  <c r="P751" i="5"/>
  <c r="O751" i="5"/>
  <c r="N751" i="5"/>
  <c r="M751" i="5"/>
  <c r="L751" i="5"/>
  <c r="E743" i="5"/>
  <c r="I743" i="5" s="1"/>
  <c r="J743" i="5" s="1"/>
  <c r="S743" i="5"/>
  <c r="R743" i="5"/>
  <c r="Q743" i="5"/>
  <c r="P743" i="5"/>
  <c r="O743" i="5"/>
  <c r="N743" i="5"/>
  <c r="M743" i="5"/>
  <c r="L743" i="5"/>
  <c r="E735" i="5"/>
  <c r="I735" i="5" s="1"/>
  <c r="J735" i="5" s="1"/>
  <c r="S735" i="5"/>
  <c r="R735" i="5"/>
  <c r="Q735" i="5"/>
  <c r="P735" i="5"/>
  <c r="O735" i="5"/>
  <c r="N735" i="5"/>
  <c r="M735" i="5"/>
  <c r="L735" i="5"/>
  <c r="E727" i="5"/>
  <c r="I727" i="5" s="1"/>
  <c r="J727" i="5" s="1"/>
  <c r="S727" i="5"/>
  <c r="R727" i="5"/>
  <c r="Q727" i="5"/>
  <c r="P727" i="5"/>
  <c r="O727" i="5"/>
  <c r="N727" i="5"/>
  <c r="M727" i="5"/>
  <c r="L727" i="5"/>
  <c r="E719" i="5"/>
  <c r="I719" i="5" s="1"/>
  <c r="J719" i="5" s="1"/>
  <c r="S719" i="5"/>
  <c r="R719" i="5"/>
  <c r="Q719" i="5"/>
  <c r="P719" i="5"/>
  <c r="O719" i="5"/>
  <c r="N719" i="5"/>
  <c r="M719" i="5"/>
  <c r="L719" i="5"/>
  <c r="E711" i="5"/>
  <c r="I711" i="5" s="1"/>
  <c r="J711" i="5" s="1"/>
  <c r="S711" i="5"/>
  <c r="R711" i="5"/>
  <c r="Q711" i="5"/>
  <c r="P711" i="5"/>
  <c r="O711" i="5"/>
  <c r="N711" i="5"/>
  <c r="M711" i="5"/>
  <c r="L711" i="5"/>
  <c r="E703" i="5"/>
  <c r="I703" i="5" s="1"/>
  <c r="J703" i="5" s="1"/>
  <c r="S703" i="5"/>
  <c r="R703" i="5"/>
  <c r="Q703" i="5"/>
  <c r="P703" i="5"/>
  <c r="O703" i="5"/>
  <c r="N703" i="5"/>
  <c r="M703" i="5"/>
  <c r="L703" i="5"/>
  <c r="E695" i="5"/>
  <c r="I695" i="5" s="1"/>
  <c r="J695" i="5" s="1"/>
  <c r="S695" i="5"/>
  <c r="R695" i="5"/>
  <c r="Q695" i="5"/>
  <c r="P695" i="5"/>
  <c r="O695" i="5"/>
  <c r="N695" i="5"/>
  <c r="M695" i="5"/>
  <c r="L695" i="5"/>
  <c r="E687" i="5"/>
  <c r="I687" i="5" s="1"/>
  <c r="J687" i="5" s="1"/>
  <c r="S687" i="5"/>
  <c r="R687" i="5"/>
  <c r="Q687" i="5"/>
  <c r="P687" i="5"/>
  <c r="O687" i="5"/>
  <c r="N687" i="5"/>
  <c r="M687" i="5"/>
  <c r="L687" i="5"/>
  <c r="E679" i="5"/>
  <c r="I679" i="5" s="1"/>
  <c r="J679" i="5" s="1"/>
  <c r="S679" i="5"/>
  <c r="R679" i="5"/>
  <c r="Q679" i="5"/>
  <c r="P679" i="5"/>
  <c r="O679" i="5"/>
  <c r="N679" i="5"/>
  <c r="M679" i="5"/>
  <c r="L679" i="5"/>
  <c r="E671" i="5"/>
  <c r="I671" i="5" s="1"/>
  <c r="J671" i="5" s="1"/>
  <c r="S671" i="5"/>
  <c r="R671" i="5"/>
  <c r="Q671" i="5"/>
  <c r="P671" i="5"/>
  <c r="O671" i="5"/>
  <c r="N671" i="5"/>
  <c r="M671" i="5"/>
  <c r="L671" i="5"/>
  <c r="E663" i="5"/>
  <c r="I663" i="5" s="1"/>
  <c r="J663" i="5" s="1"/>
  <c r="S663" i="5"/>
  <c r="R663" i="5"/>
  <c r="Q663" i="5"/>
  <c r="P663" i="5"/>
  <c r="O663" i="5"/>
  <c r="N663" i="5"/>
  <c r="M663" i="5"/>
  <c r="L663" i="5"/>
  <c r="E655" i="5"/>
  <c r="I655" i="5" s="1"/>
  <c r="J655" i="5" s="1"/>
  <c r="S655" i="5"/>
  <c r="R655" i="5"/>
  <c r="Q655" i="5"/>
  <c r="P655" i="5"/>
  <c r="O655" i="5"/>
  <c r="N655" i="5"/>
  <c r="M655" i="5"/>
  <c r="L655" i="5"/>
  <c r="E647" i="5"/>
  <c r="I647" i="5" s="1"/>
  <c r="J647" i="5" s="1"/>
  <c r="S647" i="5"/>
  <c r="R647" i="5"/>
  <c r="Q647" i="5"/>
  <c r="P647" i="5"/>
  <c r="O647" i="5"/>
  <c r="N647" i="5"/>
  <c r="M647" i="5"/>
  <c r="L647" i="5"/>
  <c r="E639" i="5"/>
  <c r="I639" i="5" s="1"/>
  <c r="J639" i="5" s="1"/>
  <c r="S639" i="5"/>
  <c r="R639" i="5"/>
  <c r="Q639" i="5"/>
  <c r="P639" i="5"/>
  <c r="O639" i="5"/>
  <c r="N639" i="5"/>
  <c r="M639" i="5"/>
  <c r="L639" i="5"/>
  <c r="E631" i="5"/>
  <c r="I631" i="5" s="1"/>
  <c r="J631" i="5" s="1"/>
  <c r="S631" i="5"/>
  <c r="R631" i="5"/>
  <c r="Q631" i="5"/>
  <c r="P631" i="5"/>
  <c r="O631" i="5"/>
  <c r="N631" i="5"/>
  <c r="M631" i="5"/>
  <c r="L631" i="5"/>
  <c r="E623" i="5"/>
  <c r="I623" i="5" s="1"/>
  <c r="J623" i="5" s="1"/>
  <c r="S623" i="5"/>
  <c r="R623" i="5"/>
  <c r="Q623" i="5"/>
  <c r="P623" i="5"/>
  <c r="O623" i="5"/>
  <c r="N623" i="5"/>
  <c r="M623" i="5"/>
  <c r="L623" i="5"/>
  <c r="E615" i="5"/>
  <c r="I615" i="5" s="1"/>
  <c r="J615" i="5" s="1"/>
  <c r="S615" i="5"/>
  <c r="R615" i="5"/>
  <c r="Q615" i="5"/>
  <c r="P615" i="5"/>
  <c r="O615" i="5"/>
  <c r="N615" i="5"/>
  <c r="M615" i="5"/>
  <c r="L615" i="5"/>
  <c r="E607" i="5"/>
  <c r="I607" i="5" s="1"/>
  <c r="J607" i="5" s="1"/>
  <c r="S607" i="5"/>
  <c r="R607" i="5"/>
  <c r="Q607" i="5"/>
  <c r="P607" i="5"/>
  <c r="O607" i="5"/>
  <c r="N607" i="5"/>
  <c r="M607" i="5"/>
  <c r="L607" i="5"/>
  <c r="E599" i="5"/>
  <c r="I599" i="5" s="1"/>
  <c r="J599" i="5" s="1"/>
  <c r="S599" i="5"/>
  <c r="R599" i="5"/>
  <c r="Q599" i="5"/>
  <c r="P599" i="5"/>
  <c r="O599" i="5"/>
  <c r="N599" i="5"/>
  <c r="M599" i="5"/>
  <c r="L599" i="5"/>
  <c r="E591" i="5"/>
  <c r="I591" i="5" s="1"/>
  <c r="J591" i="5" s="1"/>
  <c r="S591" i="5"/>
  <c r="R591" i="5"/>
  <c r="Q591" i="5"/>
  <c r="P591" i="5"/>
  <c r="O591" i="5"/>
  <c r="N591" i="5"/>
  <c r="M591" i="5"/>
  <c r="L591" i="5"/>
  <c r="E583" i="5"/>
  <c r="I583" i="5" s="1"/>
  <c r="J583" i="5" s="1"/>
  <c r="S583" i="5"/>
  <c r="R583" i="5"/>
  <c r="Q583" i="5"/>
  <c r="P583" i="5"/>
  <c r="O583" i="5"/>
  <c r="N583" i="5"/>
  <c r="M583" i="5"/>
  <c r="L583" i="5"/>
  <c r="E575" i="5"/>
  <c r="I575" i="5" s="1"/>
  <c r="J575" i="5" s="1"/>
  <c r="S575" i="5"/>
  <c r="R575" i="5"/>
  <c r="Q575" i="5"/>
  <c r="P575" i="5"/>
  <c r="O575" i="5"/>
  <c r="N575" i="5"/>
  <c r="M575" i="5"/>
  <c r="L575" i="5"/>
  <c r="E567" i="5"/>
  <c r="I567" i="5" s="1"/>
  <c r="J567" i="5" s="1"/>
  <c r="S567" i="5"/>
  <c r="R567" i="5"/>
  <c r="Q567" i="5"/>
  <c r="P567" i="5"/>
  <c r="O567" i="5"/>
  <c r="N567" i="5"/>
  <c r="M567" i="5"/>
  <c r="L567" i="5"/>
  <c r="E559" i="5"/>
  <c r="I559" i="5" s="1"/>
  <c r="J559" i="5" s="1"/>
  <c r="S559" i="5"/>
  <c r="R559" i="5"/>
  <c r="Q559" i="5"/>
  <c r="P559" i="5"/>
  <c r="O559" i="5"/>
  <c r="N559" i="5"/>
  <c r="M559" i="5"/>
  <c r="L559" i="5"/>
  <c r="E551" i="5"/>
  <c r="I551" i="5" s="1"/>
  <c r="J551" i="5" s="1"/>
  <c r="S551" i="5"/>
  <c r="R551" i="5"/>
  <c r="Q551" i="5"/>
  <c r="P551" i="5"/>
  <c r="O551" i="5"/>
  <c r="N551" i="5"/>
  <c r="M551" i="5"/>
  <c r="L551" i="5"/>
  <c r="E543" i="5"/>
  <c r="I543" i="5" s="1"/>
  <c r="J543" i="5" s="1"/>
  <c r="S543" i="5"/>
  <c r="R543" i="5"/>
  <c r="Q543" i="5"/>
  <c r="P543" i="5"/>
  <c r="O543" i="5"/>
  <c r="N543" i="5"/>
  <c r="M543" i="5"/>
  <c r="L543" i="5"/>
  <c r="E535" i="5"/>
  <c r="I535" i="5" s="1"/>
  <c r="J535" i="5" s="1"/>
  <c r="S535" i="5"/>
  <c r="R535" i="5"/>
  <c r="Q535" i="5"/>
  <c r="P535" i="5"/>
  <c r="O535" i="5"/>
  <c r="N535" i="5"/>
  <c r="M535" i="5"/>
  <c r="L535" i="5"/>
  <c r="E527" i="5"/>
  <c r="I527" i="5" s="1"/>
  <c r="J527" i="5" s="1"/>
  <c r="S527" i="5"/>
  <c r="R527" i="5"/>
  <c r="Q527" i="5"/>
  <c r="P527" i="5"/>
  <c r="O527" i="5"/>
  <c r="N527" i="5"/>
  <c r="M527" i="5"/>
  <c r="L527" i="5"/>
  <c r="E519" i="5"/>
  <c r="I519" i="5" s="1"/>
  <c r="J519" i="5" s="1"/>
  <c r="S519" i="5"/>
  <c r="R519" i="5"/>
  <c r="Q519" i="5"/>
  <c r="P519" i="5"/>
  <c r="O519" i="5"/>
  <c r="N519" i="5"/>
  <c r="M519" i="5"/>
  <c r="L519" i="5"/>
  <c r="E511" i="5"/>
  <c r="I511" i="5" s="1"/>
  <c r="J511" i="5" s="1"/>
  <c r="S511" i="5"/>
  <c r="R511" i="5"/>
  <c r="Q511" i="5"/>
  <c r="P511" i="5"/>
  <c r="O511" i="5"/>
  <c r="N511" i="5"/>
  <c r="M511" i="5"/>
  <c r="L511" i="5"/>
  <c r="E503" i="5"/>
  <c r="I503" i="5" s="1"/>
  <c r="J503" i="5" s="1"/>
  <c r="S503" i="5"/>
  <c r="R503" i="5"/>
  <c r="Q503" i="5"/>
  <c r="P503" i="5"/>
  <c r="O503" i="5"/>
  <c r="N503" i="5"/>
  <c r="M503" i="5"/>
  <c r="L503" i="5"/>
  <c r="E495" i="5"/>
  <c r="I495" i="5" s="1"/>
  <c r="J495" i="5" s="1"/>
  <c r="S495" i="5"/>
  <c r="R495" i="5"/>
  <c r="Q495" i="5"/>
  <c r="P495" i="5"/>
  <c r="O495" i="5"/>
  <c r="N495" i="5"/>
  <c r="M495" i="5"/>
  <c r="L495" i="5"/>
  <c r="E487" i="5"/>
  <c r="I487" i="5" s="1"/>
  <c r="J487" i="5" s="1"/>
  <c r="S487" i="5"/>
  <c r="R487" i="5"/>
  <c r="Q487" i="5"/>
  <c r="P487" i="5"/>
  <c r="O487" i="5"/>
  <c r="N487" i="5"/>
  <c r="M487" i="5"/>
  <c r="L487" i="5"/>
  <c r="E479" i="5"/>
  <c r="I479" i="5" s="1"/>
  <c r="J479" i="5" s="1"/>
  <c r="S479" i="5"/>
  <c r="R479" i="5"/>
  <c r="Q479" i="5"/>
  <c r="P479" i="5"/>
  <c r="O479" i="5"/>
  <c r="N479" i="5"/>
  <c r="M479" i="5"/>
  <c r="L479" i="5"/>
  <c r="E471" i="5"/>
  <c r="I471" i="5" s="1"/>
  <c r="J471" i="5" s="1"/>
  <c r="S471" i="5"/>
  <c r="R471" i="5"/>
  <c r="Q471" i="5"/>
  <c r="P471" i="5"/>
  <c r="O471" i="5"/>
  <c r="N471" i="5"/>
  <c r="M471" i="5"/>
  <c r="L471" i="5"/>
  <c r="E463" i="5"/>
  <c r="I463" i="5" s="1"/>
  <c r="J463" i="5" s="1"/>
  <c r="S463" i="5"/>
  <c r="R463" i="5"/>
  <c r="Q463" i="5"/>
  <c r="P463" i="5"/>
  <c r="O463" i="5"/>
  <c r="N463" i="5"/>
  <c r="M463" i="5"/>
  <c r="L463" i="5"/>
  <c r="E455" i="5"/>
  <c r="I455" i="5" s="1"/>
  <c r="J455" i="5" s="1"/>
  <c r="S455" i="5"/>
  <c r="R455" i="5"/>
  <c r="Q455" i="5"/>
  <c r="P455" i="5"/>
  <c r="O455" i="5"/>
  <c r="N455" i="5"/>
  <c r="M455" i="5"/>
  <c r="L455" i="5"/>
  <c r="E447" i="5"/>
  <c r="I447" i="5" s="1"/>
  <c r="J447" i="5" s="1"/>
  <c r="S447" i="5"/>
  <c r="R447" i="5"/>
  <c r="Q447" i="5"/>
  <c r="P447" i="5"/>
  <c r="O447" i="5"/>
  <c r="N447" i="5"/>
  <c r="M447" i="5"/>
  <c r="L447" i="5"/>
  <c r="E439" i="5"/>
  <c r="I439" i="5" s="1"/>
  <c r="J439" i="5" s="1"/>
  <c r="S439" i="5"/>
  <c r="R439" i="5"/>
  <c r="Q439" i="5"/>
  <c r="P439" i="5"/>
  <c r="O439" i="5"/>
  <c r="N439" i="5"/>
  <c r="M439" i="5"/>
  <c r="L439" i="5"/>
  <c r="E431" i="5"/>
  <c r="I431" i="5" s="1"/>
  <c r="J431" i="5" s="1"/>
  <c r="S431" i="5"/>
  <c r="R431" i="5"/>
  <c r="Q431" i="5"/>
  <c r="P431" i="5"/>
  <c r="O431" i="5"/>
  <c r="N431" i="5"/>
  <c r="M431" i="5"/>
  <c r="L431" i="5"/>
  <c r="E423" i="5"/>
  <c r="I423" i="5" s="1"/>
  <c r="J423" i="5" s="1"/>
  <c r="S423" i="5"/>
  <c r="R423" i="5"/>
  <c r="Q423" i="5"/>
  <c r="P423" i="5"/>
  <c r="O423" i="5"/>
  <c r="N423" i="5"/>
  <c r="M423" i="5"/>
  <c r="L423" i="5"/>
  <c r="E415" i="5"/>
  <c r="I415" i="5" s="1"/>
  <c r="J415" i="5" s="1"/>
  <c r="S415" i="5"/>
  <c r="R415" i="5"/>
  <c r="Q415" i="5"/>
  <c r="P415" i="5"/>
  <c r="O415" i="5"/>
  <c r="N415" i="5"/>
  <c r="M415" i="5"/>
  <c r="L415" i="5"/>
  <c r="E407" i="5"/>
  <c r="I407" i="5" s="1"/>
  <c r="J407" i="5" s="1"/>
  <c r="S407" i="5"/>
  <c r="R407" i="5"/>
  <c r="Q407" i="5"/>
  <c r="P407" i="5"/>
  <c r="O407" i="5"/>
  <c r="N407" i="5"/>
  <c r="M407" i="5"/>
  <c r="K407" i="5"/>
  <c r="L407" i="5"/>
  <c r="E399" i="5"/>
  <c r="I399" i="5" s="1"/>
  <c r="J399" i="5" s="1"/>
  <c r="S399" i="5"/>
  <c r="R399" i="5"/>
  <c r="Q399" i="5"/>
  <c r="P399" i="5"/>
  <c r="O399" i="5"/>
  <c r="N399" i="5"/>
  <c r="M399" i="5"/>
  <c r="K399" i="5"/>
  <c r="L399" i="5"/>
  <c r="E391" i="5"/>
  <c r="I391" i="5" s="1"/>
  <c r="J391" i="5" s="1"/>
  <c r="S391" i="5"/>
  <c r="R391" i="5"/>
  <c r="Q391" i="5"/>
  <c r="P391" i="5"/>
  <c r="O391" i="5"/>
  <c r="N391" i="5"/>
  <c r="M391" i="5"/>
  <c r="K391" i="5"/>
  <c r="L391" i="5"/>
  <c r="E383" i="5"/>
  <c r="I383" i="5" s="1"/>
  <c r="J383" i="5" s="1"/>
  <c r="S383" i="5"/>
  <c r="R383" i="5"/>
  <c r="Q383" i="5"/>
  <c r="P383" i="5"/>
  <c r="O383" i="5"/>
  <c r="N383" i="5"/>
  <c r="M383" i="5"/>
  <c r="K383" i="5"/>
  <c r="L383" i="5"/>
  <c r="E375" i="5"/>
  <c r="I375" i="5" s="1"/>
  <c r="J375" i="5" s="1"/>
  <c r="S375" i="5"/>
  <c r="R375" i="5"/>
  <c r="Q375" i="5"/>
  <c r="P375" i="5"/>
  <c r="O375" i="5"/>
  <c r="N375" i="5"/>
  <c r="M375" i="5"/>
  <c r="K375" i="5"/>
  <c r="L375" i="5"/>
  <c r="E367" i="5"/>
  <c r="I367" i="5" s="1"/>
  <c r="J367" i="5" s="1"/>
  <c r="S367" i="5"/>
  <c r="R367" i="5"/>
  <c r="Q367" i="5"/>
  <c r="P367" i="5"/>
  <c r="O367" i="5"/>
  <c r="N367" i="5"/>
  <c r="M367" i="5"/>
  <c r="K367" i="5"/>
  <c r="L367" i="5"/>
  <c r="E359" i="5"/>
  <c r="I359" i="5" s="1"/>
  <c r="J359" i="5" s="1"/>
  <c r="S359" i="5"/>
  <c r="R359" i="5"/>
  <c r="Q359" i="5"/>
  <c r="P359" i="5"/>
  <c r="O359" i="5"/>
  <c r="N359" i="5"/>
  <c r="M359" i="5"/>
  <c r="K359" i="5"/>
  <c r="L359" i="5"/>
  <c r="E351" i="5"/>
  <c r="I351" i="5" s="1"/>
  <c r="J351" i="5" s="1"/>
  <c r="S351" i="5"/>
  <c r="R351" i="5"/>
  <c r="Q351" i="5"/>
  <c r="P351" i="5"/>
  <c r="O351" i="5"/>
  <c r="N351" i="5"/>
  <c r="M351" i="5"/>
  <c r="K351" i="5"/>
  <c r="L351" i="5"/>
  <c r="E343" i="5"/>
  <c r="I343" i="5" s="1"/>
  <c r="J343" i="5" s="1"/>
  <c r="S343" i="5"/>
  <c r="R343" i="5"/>
  <c r="Q343" i="5"/>
  <c r="P343" i="5"/>
  <c r="O343" i="5"/>
  <c r="N343" i="5"/>
  <c r="M343" i="5"/>
  <c r="K343" i="5"/>
  <c r="L343" i="5"/>
  <c r="E335" i="5"/>
  <c r="I335" i="5" s="1"/>
  <c r="J335" i="5" s="1"/>
  <c r="S335" i="5"/>
  <c r="R335" i="5"/>
  <c r="Q335" i="5"/>
  <c r="P335" i="5"/>
  <c r="O335" i="5"/>
  <c r="N335" i="5"/>
  <c r="M335" i="5"/>
  <c r="K335" i="5"/>
  <c r="L335" i="5"/>
  <c r="E327" i="5"/>
  <c r="I327" i="5" s="1"/>
  <c r="J327" i="5" s="1"/>
  <c r="S327" i="5"/>
  <c r="R327" i="5"/>
  <c r="Q327" i="5"/>
  <c r="P327" i="5"/>
  <c r="O327" i="5"/>
  <c r="N327" i="5"/>
  <c r="M327" i="5"/>
  <c r="K327" i="5"/>
  <c r="L327" i="5"/>
  <c r="E319" i="5"/>
  <c r="I319" i="5" s="1"/>
  <c r="J319" i="5" s="1"/>
  <c r="S319" i="5"/>
  <c r="R319" i="5"/>
  <c r="Q319" i="5"/>
  <c r="P319" i="5"/>
  <c r="O319" i="5"/>
  <c r="N319" i="5"/>
  <c r="M319" i="5"/>
  <c r="K319" i="5"/>
  <c r="L319" i="5"/>
  <c r="E311" i="5"/>
  <c r="I311" i="5" s="1"/>
  <c r="J311" i="5" s="1"/>
  <c r="S311" i="5"/>
  <c r="R311" i="5"/>
  <c r="Q311" i="5"/>
  <c r="P311" i="5"/>
  <c r="O311" i="5"/>
  <c r="N311" i="5"/>
  <c r="M311" i="5"/>
  <c r="K311" i="5"/>
  <c r="L311" i="5"/>
  <c r="E303" i="5"/>
  <c r="I303" i="5" s="1"/>
  <c r="J303" i="5" s="1"/>
  <c r="S303" i="5"/>
  <c r="R303" i="5"/>
  <c r="Q303" i="5"/>
  <c r="P303" i="5"/>
  <c r="O303" i="5"/>
  <c r="N303" i="5"/>
  <c r="M303" i="5"/>
  <c r="K303" i="5"/>
  <c r="L303" i="5"/>
  <c r="E295" i="5"/>
  <c r="I295" i="5" s="1"/>
  <c r="J295" i="5" s="1"/>
  <c r="S295" i="5"/>
  <c r="R295" i="5"/>
  <c r="Q295" i="5"/>
  <c r="P295" i="5"/>
  <c r="O295" i="5"/>
  <c r="N295" i="5"/>
  <c r="M295" i="5"/>
  <c r="K295" i="5"/>
  <c r="L295" i="5"/>
  <c r="E287" i="5"/>
  <c r="I287" i="5" s="1"/>
  <c r="J287" i="5" s="1"/>
  <c r="S287" i="5"/>
  <c r="R287" i="5"/>
  <c r="Q287" i="5"/>
  <c r="P287" i="5"/>
  <c r="O287" i="5"/>
  <c r="N287" i="5"/>
  <c r="M287" i="5"/>
  <c r="K287" i="5"/>
  <c r="L287" i="5"/>
  <c r="E279" i="5"/>
  <c r="I279" i="5" s="1"/>
  <c r="J279" i="5" s="1"/>
  <c r="S279" i="5"/>
  <c r="R279" i="5"/>
  <c r="Q279" i="5"/>
  <c r="P279" i="5"/>
  <c r="O279" i="5"/>
  <c r="N279" i="5"/>
  <c r="M279" i="5"/>
  <c r="K279" i="5"/>
  <c r="L279" i="5"/>
  <c r="E271" i="5"/>
  <c r="I271" i="5" s="1"/>
  <c r="J271" i="5" s="1"/>
  <c r="S271" i="5"/>
  <c r="R271" i="5"/>
  <c r="Q271" i="5"/>
  <c r="P271" i="5"/>
  <c r="O271" i="5"/>
  <c r="N271" i="5"/>
  <c r="M271" i="5"/>
  <c r="K271" i="5"/>
  <c r="L271" i="5"/>
  <c r="E263" i="5"/>
  <c r="I263" i="5" s="1"/>
  <c r="J263" i="5" s="1"/>
  <c r="S263" i="5"/>
  <c r="R263" i="5"/>
  <c r="Q263" i="5"/>
  <c r="P263" i="5"/>
  <c r="O263" i="5"/>
  <c r="N263" i="5"/>
  <c r="M263" i="5"/>
  <c r="K263" i="5"/>
  <c r="L263" i="5"/>
  <c r="E255" i="5"/>
  <c r="I255" i="5" s="1"/>
  <c r="J255" i="5" s="1"/>
  <c r="S255" i="5"/>
  <c r="R255" i="5"/>
  <c r="Q255" i="5"/>
  <c r="P255" i="5"/>
  <c r="O255" i="5"/>
  <c r="N255" i="5"/>
  <c r="M255" i="5"/>
  <c r="K255" i="5"/>
  <c r="L255" i="5"/>
  <c r="E247" i="5"/>
  <c r="I247" i="5" s="1"/>
  <c r="J247" i="5" s="1"/>
  <c r="S247" i="5"/>
  <c r="R247" i="5"/>
  <c r="Q247" i="5"/>
  <c r="P247" i="5"/>
  <c r="O247" i="5"/>
  <c r="N247" i="5"/>
  <c r="M247" i="5"/>
  <c r="K247" i="5"/>
  <c r="L247" i="5"/>
  <c r="E239" i="5"/>
  <c r="I239" i="5" s="1"/>
  <c r="J239" i="5" s="1"/>
  <c r="S239" i="5"/>
  <c r="R239" i="5"/>
  <c r="Q239" i="5"/>
  <c r="P239" i="5"/>
  <c r="O239" i="5"/>
  <c r="N239" i="5"/>
  <c r="M239" i="5"/>
  <c r="K239" i="5"/>
  <c r="L239" i="5"/>
  <c r="E231" i="5"/>
  <c r="I231" i="5" s="1"/>
  <c r="J231" i="5" s="1"/>
  <c r="S231" i="5"/>
  <c r="R231" i="5"/>
  <c r="Q231" i="5"/>
  <c r="P231" i="5"/>
  <c r="O231" i="5"/>
  <c r="N231" i="5"/>
  <c r="M231" i="5"/>
  <c r="K231" i="5"/>
  <c r="L231" i="5"/>
  <c r="E223" i="5"/>
  <c r="I223" i="5" s="1"/>
  <c r="J223" i="5" s="1"/>
  <c r="S223" i="5"/>
  <c r="R223" i="5"/>
  <c r="Q223" i="5"/>
  <c r="P223" i="5"/>
  <c r="O223" i="5"/>
  <c r="N223" i="5"/>
  <c r="M223" i="5"/>
  <c r="K223" i="5"/>
  <c r="L223" i="5"/>
  <c r="E215" i="5"/>
  <c r="I215" i="5" s="1"/>
  <c r="J215" i="5" s="1"/>
  <c r="S215" i="5"/>
  <c r="R215" i="5"/>
  <c r="Q215" i="5"/>
  <c r="P215" i="5"/>
  <c r="O215" i="5"/>
  <c r="N215" i="5"/>
  <c r="M215" i="5"/>
  <c r="K215" i="5"/>
  <c r="L215" i="5"/>
  <c r="E207" i="5"/>
  <c r="I207" i="5" s="1"/>
  <c r="J207" i="5" s="1"/>
  <c r="S207" i="5"/>
  <c r="R207" i="5"/>
  <c r="Q207" i="5"/>
  <c r="P207" i="5"/>
  <c r="O207" i="5"/>
  <c r="N207" i="5"/>
  <c r="M207" i="5"/>
  <c r="K207" i="5"/>
  <c r="L207" i="5"/>
  <c r="E199" i="5"/>
  <c r="I199" i="5" s="1"/>
  <c r="J199" i="5" s="1"/>
  <c r="S199" i="5"/>
  <c r="R199" i="5"/>
  <c r="Q199" i="5"/>
  <c r="P199" i="5"/>
  <c r="O199" i="5"/>
  <c r="N199" i="5"/>
  <c r="M199" i="5"/>
  <c r="K199" i="5"/>
  <c r="L199" i="5"/>
  <c r="E191" i="5"/>
  <c r="I191" i="5" s="1"/>
  <c r="J191" i="5" s="1"/>
  <c r="S191" i="5"/>
  <c r="R191" i="5"/>
  <c r="Q191" i="5"/>
  <c r="P191" i="5"/>
  <c r="O191" i="5"/>
  <c r="N191" i="5"/>
  <c r="M191" i="5"/>
  <c r="K191" i="5"/>
  <c r="L191" i="5"/>
  <c r="E183" i="5"/>
  <c r="I183" i="5" s="1"/>
  <c r="J183" i="5" s="1"/>
  <c r="S183" i="5"/>
  <c r="R183" i="5"/>
  <c r="Q183" i="5"/>
  <c r="P183" i="5"/>
  <c r="O183" i="5"/>
  <c r="N183" i="5"/>
  <c r="M183" i="5"/>
  <c r="K183" i="5"/>
  <c r="L183" i="5"/>
  <c r="E175" i="5"/>
  <c r="I175" i="5" s="1"/>
  <c r="J175" i="5" s="1"/>
  <c r="S175" i="5"/>
  <c r="R175" i="5"/>
  <c r="Q175" i="5"/>
  <c r="P175" i="5"/>
  <c r="O175" i="5"/>
  <c r="N175" i="5"/>
  <c r="M175" i="5"/>
  <c r="K175" i="5"/>
  <c r="L175" i="5"/>
  <c r="E167" i="5"/>
  <c r="I167" i="5" s="1"/>
  <c r="J167" i="5" s="1"/>
  <c r="S167" i="5"/>
  <c r="R167" i="5"/>
  <c r="Q167" i="5"/>
  <c r="P167" i="5"/>
  <c r="O167" i="5"/>
  <c r="N167" i="5"/>
  <c r="M167" i="5"/>
  <c r="K167" i="5"/>
  <c r="L167" i="5"/>
  <c r="E159" i="5"/>
  <c r="I159" i="5" s="1"/>
  <c r="J159" i="5" s="1"/>
  <c r="S159" i="5"/>
  <c r="R159" i="5"/>
  <c r="Q159" i="5"/>
  <c r="P159" i="5"/>
  <c r="O159" i="5"/>
  <c r="N159" i="5"/>
  <c r="M159" i="5"/>
  <c r="K159" i="5"/>
  <c r="L159" i="5"/>
  <c r="E151" i="5"/>
  <c r="I151" i="5" s="1"/>
  <c r="J151" i="5" s="1"/>
  <c r="S151" i="5"/>
  <c r="R151" i="5"/>
  <c r="Q151" i="5"/>
  <c r="P151" i="5"/>
  <c r="O151" i="5"/>
  <c r="N151" i="5"/>
  <c r="M151" i="5"/>
  <c r="K151" i="5"/>
  <c r="L151" i="5"/>
  <c r="E143" i="5"/>
  <c r="I143" i="5" s="1"/>
  <c r="J143" i="5" s="1"/>
  <c r="S143" i="5"/>
  <c r="R143" i="5"/>
  <c r="Q143" i="5"/>
  <c r="P143" i="5"/>
  <c r="O143" i="5"/>
  <c r="N143" i="5"/>
  <c r="M143" i="5"/>
  <c r="K143" i="5"/>
  <c r="L143" i="5"/>
  <c r="E135" i="5"/>
  <c r="I135" i="5" s="1"/>
  <c r="J135" i="5" s="1"/>
  <c r="S135" i="5"/>
  <c r="R135" i="5"/>
  <c r="Q135" i="5"/>
  <c r="P135" i="5"/>
  <c r="O135" i="5"/>
  <c r="N135" i="5"/>
  <c r="M135" i="5"/>
  <c r="K135" i="5"/>
  <c r="L135" i="5"/>
  <c r="E127" i="5"/>
  <c r="I127" i="5" s="1"/>
  <c r="J127" i="5" s="1"/>
  <c r="S127" i="5"/>
  <c r="R127" i="5"/>
  <c r="Q127" i="5"/>
  <c r="P127" i="5"/>
  <c r="O127" i="5"/>
  <c r="N127" i="5"/>
  <c r="M127" i="5"/>
  <c r="K127" i="5"/>
  <c r="L127" i="5"/>
  <c r="E119" i="5"/>
  <c r="I119" i="5" s="1"/>
  <c r="J119" i="5" s="1"/>
  <c r="S119" i="5"/>
  <c r="R119" i="5"/>
  <c r="Q119" i="5"/>
  <c r="P119" i="5"/>
  <c r="O119" i="5"/>
  <c r="N119" i="5"/>
  <c r="M119" i="5"/>
  <c r="K119" i="5"/>
  <c r="L119" i="5"/>
  <c r="E111" i="5"/>
  <c r="I111" i="5" s="1"/>
  <c r="J111" i="5" s="1"/>
  <c r="S111" i="5"/>
  <c r="R111" i="5"/>
  <c r="Q111" i="5"/>
  <c r="P111" i="5"/>
  <c r="O111" i="5"/>
  <c r="N111" i="5"/>
  <c r="M111" i="5"/>
  <c r="K111" i="5"/>
  <c r="L111" i="5"/>
  <c r="E103" i="5"/>
  <c r="I103" i="5" s="1"/>
  <c r="J103" i="5" s="1"/>
  <c r="S103" i="5"/>
  <c r="R103" i="5"/>
  <c r="Q103" i="5"/>
  <c r="P103" i="5"/>
  <c r="O103" i="5"/>
  <c r="N103" i="5"/>
  <c r="M103" i="5"/>
  <c r="K103" i="5"/>
  <c r="L103" i="5"/>
  <c r="E95" i="5"/>
  <c r="I95" i="5" s="1"/>
  <c r="J95" i="5" s="1"/>
  <c r="S95" i="5"/>
  <c r="R95" i="5"/>
  <c r="Q95" i="5"/>
  <c r="P95" i="5"/>
  <c r="O95" i="5"/>
  <c r="N95" i="5"/>
  <c r="M95" i="5"/>
  <c r="K95" i="5"/>
  <c r="L95" i="5"/>
  <c r="E87" i="5"/>
  <c r="I87" i="5" s="1"/>
  <c r="J87" i="5" s="1"/>
  <c r="S87" i="5"/>
  <c r="R87" i="5"/>
  <c r="Q87" i="5"/>
  <c r="P87" i="5"/>
  <c r="O87" i="5"/>
  <c r="N87" i="5"/>
  <c r="M87" i="5"/>
  <c r="K87" i="5"/>
  <c r="L87" i="5"/>
  <c r="E79" i="5"/>
  <c r="I79" i="5" s="1"/>
  <c r="J79" i="5" s="1"/>
  <c r="S79" i="5"/>
  <c r="R79" i="5"/>
  <c r="Q79" i="5"/>
  <c r="P79" i="5"/>
  <c r="O79" i="5"/>
  <c r="N79" i="5"/>
  <c r="M79" i="5"/>
  <c r="K79" i="5"/>
  <c r="L79" i="5"/>
  <c r="E71" i="5"/>
  <c r="I71" i="5" s="1"/>
  <c r="J71" i="5" s="1"/>
  <c r="S71" i="5"/>
  <c r="R71" i="5"/>
  <c r="Q71" i="5"/>
  <c r="P71" i="5"/>
  <c r="O71" i="5"/>
  <c r="N71" i="5"/>
  <c r="M71" i="5"/>
  <c r="K71" i="5"/>
  <c r="L71" i="5"/>
  <c r="E63" i="5"/>
  <c r="I63" i="5" s="1"/>
  <c r="J63" i="5" s="1"/>
  <c r="S63" i="5"/>
  <c r="R63" i="5"/>
  <c r="Q63" i="5"/>
  <c r="P63" i="5"/>
  <c r="O63" i="5"/>
  <c r="N63" i="5"/>
  <c r="M63" i="5"/>
  <c r="K63" i="5"/>
  <c r="L63" i="5"/>
  <c r="E55" i="5"/>
  <c r="I55" i="5" s="1"/>
  <c r="S55" i="5"/>
  <c r="R55" i="5"/>
  <c r="Q55" i="5"/>
  <c r="P55" i="5"/>
  <c r="O55" i="5"/>
  <c r="N55" i="5"/>
  <c r="M55" i="5"/>
  <c r="K55" i="5"/>
  <c r="L55" i="5"/>
  <c r="E47" i="5"/>
  <c r="I47" i="5" s="1"/>
  <c r="J47" i="5" s="1"/>
  <c r="S47" i="5"/>
  <c r="R47" i="5"/>
  <c r="Q47" i="5"/>
  <c r="P47" i="5"/>
  <c r="O47" i="5"/>
  <c r="N47" i="5"/>
  <c r="M47" i="5"/>
  <c r="L47" i="5"/>
  <c r="K47" i="5"/>
  <c r="E39" i="5"/>
  <c r="I39" i="5" s="1"/>
  <c r="J39" i="5" s="1"/>
  <c r="S39" i="5"/>
  <c r="R39" i="5"/>
  <c r="Q39" i="5"/>
  <c r="P39" i="5"/>
  <c r="O39" i="5"/>
  <c r="N39" i="5"/>
  <c r="M39" i="5"/>
  <c r="L39" i="5"/>
  <c r="K39" i="5"/>
  <c r="E31" i="5"/>
  <c r="I31" i="5" s="1"/>
  <c r="J31" i="5" s="1"/>
  <c r="S31" i="5"/>
  <c r="R31" i="5"/>
  <c r="Q31" i="5"/>
  <c r="P31" i="5"/>
  <c r="O31" i="5"/>
  <c r="N31" i="5"/>
  <c r="M31" i="5"/>
  <c r="L31" i="5"/>
  <c r="K31" i="5"/>
  <c r="E23" i="5"/>
  <c r="I23" i="5" s="1"/>
  <c r="J23" i="5" s="1"/>
  <c r="S23" i="5"/>
  <c r="R23" i="5"/>
  <c r="Q23" i="5"/>
  <c r="P23" i="5"/>
  <c r="O23" i="5"/>
  <c r="N23" i="5"/>
  <c r="M23" i="5"/>
  <c r="L23" i="5"/>
  <c r="K23" i="5"/>
  <c r="E15" i="5"/>
  <c r="I15" i="5" s="1"/>
  <c r="J15" i="5" s="1"/>
  <c r="S15" i="5"/>
  <c r="R15" i="5"/>
  <c r="Q15" i="5"/>
  <c r="P15" i="5"/>
  <c r="O15" i="5"/>
  <c r="N15" i="5"/>
  <c r="M15" i="5"/>
  <c r="L15" i="5"/>
  <c r="K15" i="5"/>
  <c r="E989" i="5"/>
  <c r="I989" i="5" s="1"/>
  <c r="J989" i="5" s="1"/>
  <c r="S989" i="5"/>
  <c r="R989" i="5"/>
  <c r="Q989" i="5"/>
  <c r="P989" i="5"/>
  <c r="O989" i="5"/>
  <c r="N989" i="5"/>
  <c r="M989" i="5"/>
  <c r="L989" i="5"/>
  <c r="E909" i="5"/>
  <c r="I909" i="5" s="1"/>
  <c r="J909" i="5" s="1"/>
  <c r="S909" i="5"/>
  <c r="R909" i="5"/>
  <c r="Q909" i="5"/>
  <c r="P909" i="5"/>
  <c r="O909" i="5"/>
  <c r="N909" i="5"/>
  <c r="M909" i="5"/>
  <c r="L909" i="5"/>
  <c r="E829" i="5"/>
  <c r="I829" i="5" s="1"/>
  <c r="J829" i="5" s="1"/>
  <c r="S829" i="5"/>
  <c r="R829" i="5"/>
  <c r="Q829" i="5"/>
  <c r="P829" i="5"/>
  <c r="O829" i="5"/>
  <c r="N829" i="5"/>
  <c r="M829" i="5"/>
  <c r="L829" i="5"/>
  <c r="E781" i="5"/>
  <c r="I781" i="5" s="1"/>
  <c r="J781" i="5" s="1"/>
  <c r="S781" i="5"/>
  <c r="R781" i="5"/>
  <c r="Q781" i="5"/>
  <c r="P781" i="5"/>
  <c r="O781" i="5"/>
  <c r="N781" i="5"/>
  <c r="M781" i="5"/>
  <c r="L781" i="5"/>
  <c r="E725" i="5"/>
  <c r="I725" i="5" s="1"/>
  <c r="J725" i="5" s="1"/>
  <c r="S725" i="5"/>
  <c r="R725" i="5"/>
  <c r="Q725" i="5"/>
  <c r="P725" i="5"/>
  <c r="O725" i="5"/>
  <c r="N725" i="5"/>
  <c r="M725" i="5"/>
  <c r="L725" i="5"/>
  <c r="E637" i="5"/>
  <c r="I637" i="5" s="1"/>
  <c r="J637" i="5" s="1"/>
  <c r="S637" i="5"/>
  <c r="R637" i="5"/>
  <c r="Q637" i="5"/>
  <c r="P637" i="5"/>
  <c r="N637" i="5"/>
  <c r="O637" i="5"/>
  <c r="M637" i="5"/>
  <c r="L637" i="5"/>
  <c r="E573" i="5"/>
  <c r="I573" i="5" s="1"/>
  <c r="J573" i="5" s="1"/>
  <c r="S573" i="5"/>
  <c r="R573" i="5"/>
  <c r="Q573" i="5"/>
  <c r="P573" i="5"/>
  <c r="N573" i="5"/>
  <c r="O573" i="5"/>
  <c r="M573" i="5"/>
  <c r="L573" i="5"/>
  <c r="E541" i="5"/>
  <c r="I541" i="5" s="1"/>
  <c r="J541" i="5" s="1"/>
  <c r="S541" i="5"/>
  <c r="R541" i="5"/>
  <c r="Q541" i="5"/>
  <c r="P541" i="5"/>
  <c r="N541" i="5"/>
  <c r="O541" i="5"/>
  <c r="M541" i="5"/>
  <c r="L541" i="5"/>
  <c r="E501" i="5"/>
  <c r="I501" i="5" s="1"/>
  <c r="J501" i="5" s="1"/>
  <c r="S501" i="5"/>
  <c r="R501" i="5"/>
  <c r="Q501" i="5"/>
  <c r="P501" i="5"/>
  <c r="N501" i="5"/>
  <c r="O501" i="5"/>
  <c r="M501" i="5"/>
  <c r="L501" i="5"/>
  <c r="E453" i="5"/>
  <c r="I453" i="5" s="1"/>
  <c r="J453" i="5" s="1"/>
  <c r="S453" i="5"/>
  <c r="R453" i="5"/>
  <c r="Q453" i="5"/>
  <c r="P453" i="5"/>
  <c r="N453" i="5"/>
  <c r="O453" i="5"/>
  <c r="M453" i="5"/>
  <c r="L453" i="5"/>
  <c r="E421" i="5"/>
  <c r="I421" i="5" s="1"/>
  <c r="J421" i="5" s="1"/>
  <c r="S421" i="5"/>
  <c r="R421" i="5"/>
  <c r="Q421" i="5"/>
  <c r="P421" i="5"/>
  <c r="N421" i="5"/>
  <c r="O421" i="5"/>
  <c r="M421" i="5"/>
  <c r="L421" i="5"/>
  <c r="E389" i="5"/>
  <c r="I389" i="5" s="1"/>
  <c r="J389" i="5" s="1"/>
  <c r="S389" i="5"/>
  <c r="R389" i="5"/>
  <c r="Q389" i="5"/>
  <c r="P389" i="5"/>
  <c r="N389" i="5"/>
  <c r="O389" i="5"/>
  <c r="M389" i="5"/>
  <c r="L389" i="5"/>
  <c r="K389" i="5"/>
  <c r="E357" i="5"/>
  <c r="I357" i="5" s="1"/>
  <c r="J357" i="5" s="1"/>
  <c r="S357" i="5"/>
  <c r="R357" i="5"/>
  <c r="Q357" i="5"/>
  <c r="P357" i="5"/>
  <c r="N357" i="5"/>
  <c r="O357" i="5"/>
  <c r="M357" i="5"/>
  <c r="L357" i="5"/>
  <c r="K357" i="5"/>
  <c r="E317" i="5"/>
  <c r="I317" i="5" s="1"/>
  <c r="J317" i="5" s="1"/>
  <c r="S317" i="5"/>
  <c r="R317" i="5"/>
  <c r="Q317" i="5"/>
  <c r="P317" i="5"/>
  <c r="O317" i="5"/>
  <c r="N317" i="5"/>
  <c r="M317" i="5"/>
  <c r="L317" i="5"/>
  <c r="K317" i="5"/>
  <c r="E245" i="5"/>
  <c r="I245" i="5" s="1"/>
  <c r="J245" i="5" s="1"/>
  <c r="S245" i="5"/>
  <c r="R245" i="5"/>
  <c r="Q245" i="5"/>
  <c r="P245" i="5"/>
  <c r="O245" i="5"/>
  <c r="N245" i="5"/>
  <c r="M245" i="5"/>
  <c r="L245" i="5"/>
  <c r="K245" i="5"/>
  <c r="E165" i="5"/>
  <c r="I165" i="5" s="1"/>
  <c r="J165" i="5" s="1"/>
  <c r="S165" i="5"/>
  <c r="R165" i="5"/>
  <c r="Q165" i="5"/>
  <c r="P165" i="5"/>
  <c r="O165" i="5"/>
  <c r="N165" i="5"/>
  <c r="M165" i="5"/>
  <c r="K165" i="5"/>
  <c r="L165" i="5"/>
  <c r="E85" i="5"/>
  <c r="I85" i="5" s="1"/>
  <c r="J85" i="5" s="1"/>
  <c r="S85" i="5"/>
  <c r="R85" i="5"/>
  <c r="Q85" i="5"/>
  <c r="P85" i="5"/>
  <c r="O85" i="5"/>
  <c r="N85" i="5"/>
  <c r="M85" i="5"/>
  <c r="K85" i="5"/>
  <c r="L85" i="5"/>
  <c r="E37" i="5"/>
  <c r="I37" i="5" s="1"/>
  <c r="J37" i="5" s="1"/>
  <c r="S37" i="5"/>
  <c r="R37" i="5"/>
  <c r="Q37" i="5"/>
  <c r="P37" i="5"/>
  <c r="O37" i="5"/>
  <c r="N37" i="5"/>
  <c r="M37" i="5"/>
  <c r="L37" i="5"/>
  <c r="K37" i="5"/>
  <c r="E994" i="5"/>
  <c r="I994" i="5" s="1"/>
  <c r="J994" i="5" s="1"/>
  <c r="S994" i="5"/>
  <c r="R994" i="5"/>
  <c r="Q994" i="5"/>
  <c r="P994" i="5"/>
  <c r="O994" i="5"/>
  <c r="M994" i="5"/>
  <c r="N994" i="5"/>
  <c r="L994" i="5"/>
  <c r="E1001" i="5"/>
  <c r="I1001" i="5" s="1"/>
  <c r="J1001" i="5" s="1"/>
  <c r="S1001" i="5"/>
  <c r="R1001" i="5"/>
  <c r="Q1001" i="5"/>
  <c r="P1001" i="5"/>
  <c r="O1001" i="5"/>
  <c r="N1001" i="5"/>
  <c r="M1001" i="5"/>
  <c r="L1001" i="5"/>
  <c r="E1000" i="5"/>
  <c r="I1000" i="5" s="1"/>
  <c r="J1000" i="5" s="1"/>
  <c r="S1000" i="5"/>
  <c r="R1000" i="5"/>
  <c r="Q1000" i="5"/>
  <c r="P1000" i="5"/>
  <c r="O1000" i="5"/>
  <c r="N1000" i="5"/>
  <c r="M1000" i="5"/>
  <c r="L1000" i="5"/>
  <c r="E984" i="5"/>
  <c r="I984" i="5" s="1"/>
  <c r="J984" i="5" s="1"/>
  <c r="S984" i="5"/>
  <c r="R984" i="5"/>
  <c r="Q984" i="5"/>
  <c r="P984" i="5"/>
  <c r="O984" i="5"/>
  <c r="N984" i="5"/>
  <c r="M984" i="5"/>
  <c r="L984" i="5"/>
  <c r="E6" i="5"/>
  <c r="I6" i="5" s="1"/>
  <c r="J6" i="5" s="1"/>
  <c r="S6" i="5"/>
  <c r="R6" i="5"/>
  <c r="Q6" i="5"/>
  <c r="P6" i="5"/>
  <c r="O6" i="5"/>
  <c r="N6" i="5"/>
  <c r="M6" i="5"/>
  <c r="L6" i="5"/>
  <c r="K6" i="5"/>
  <c r="E999" i="5"/>
  <c r="I999" i="5" s="1"/>
  <c r="J999" i="5" s="1"/>
  <c r="S999" i="5"/>
  <c r="R999" i="5"/>
  <c r="Q999" i="5"/>
  <c r="P999" i="5"/>
  <c r="O999" i="5"/>
  <c r="N999" i="5"/>
  <c r="M999" i="5"/>
  <c r="L999" i="5"/>
  <c r="E983" i="5"/>
  <c r="I983" i="5" s="1"/>
  <c r="J983" i="5" s="1"/>
  <c r="S983" i="5"/>
  <c r="R983" i="5"/>
  <c r="Q983" i="5"/>
  <c r="P983" i="5"/>
  <c r="O983" i="5"/>
  <c r="N983" i="5"/>
  <c r="M983" i="5"/>
  <c r="L983" i="5"/>
  <c r="E959" i="5"/>
  <c r="I959" i="5" s="1"/>
  <c r="J959" i="5" s="1"/>
  <c r="S959" i="5"/>
  <c r="R959" i="5"/>
  <c r="Q959" i="5"/>
  <c r="P959" i="5"/>
  <c r="O959" i="5"/>
  <c r="N959" i="5"/>
  <c r="M959" i="5"/>
  <c r="L959" i="5"/>
  <c r="E943" i="5"/>
  <c r="I943" i="5" s="1"/>
  <c r="J943" i="5" s="1"/>
  <c r="S943" i="5"/>
  <c r="R943" i="5"/>
  <c r="Q943" i="5"/>
  <c r="P943" i="5"/>
  <c r="O943" i="5"/>
  <c r="N943" i="5"/>
  <c r="M943" i="5"/>
  <c r="L943" i="5"/>
  <c r="E935" i="5"/>
  <c r="I935" i="5" s="1"/>
  <c r="J935" i="5" s="1"/>
  <c r="S935" i="5"/>
  <c r="R935" i="5"/>
  <c r="Q935" i="5"/>
  <c r="P935" i="5"/>
  <c r="O935" i="5"/>
  <c r="N935" i="5"/>
  <c r="M935" i="5"/>
  <c r="L935" i="5"/>
  <c r="E919" i="5"/>
  <c r="I919" i="5" s="1"/>
  <c r="J919" i="5" s="1"/>
  <c r="S919" i="5"/>
  <c r="R919" i="5"/>
  <c r="Q919" i="5"/>
  <c r="P919" i="5"/>
  <c r="O919" i="5"/>
  <c r="N919" i="5"/>
  <c r="M919" i="5"/>
  <c r="L919" i="5"/>
  <c r="E5" i="5"/>
  <c r="I5" i="5" s="1"/>
  <c r="J5" i="5" s="1"/>
  <c r="S5" i="5"/>
  <c r="R5" i="5"/>
  <c r="Q5" i="5"/>
  <c r="P5" i="5"/>
  <c r="O5" i="5"/>
  <c r="N5" i="5"/>
  <c r="M5" i="5"/>
  <c r="L5" i="5"/>
  <c r="K5" i="5"/>
  <c r="E998" i="5"/>
  <c r="I998" i="5" s="1"/>
  <c r="J998" i="5" s="1"/>
  <c r="S998" i="5"/>
  <c r="R998" i="5"/>
  <c r="Q998" i="5"/>
  <c r="P998" i="5"/>
  <c r="O998" i="5"/>
  <c r="N998" i="5"/>
  <c r="M998" i="5"/>
  <c r="L998" i="5"/>
  <c r="E990" i="5"/>
  <c r="I990" i="5" s="1"/>
  <c r="J990" i="5" s="1"/>
  <c r="S990" i="5"/>
  <c r="R990" i="5"/>
  <c r="Q990" i="5"/>
  <c r="P990" i="5"/>
  <c r="O990" i="5"/>
  <c r="N990" i="5"/>
  <c r="M990" i="5"/>
  <c r="L990" i="5"/>
  <c r="E982" i="5"/>
  <c r="I982" i="5" s="1"/>
  <c r="J982" i="5" s="1"/>
  <c r="S982" i="5"/>
  <c r="R982" i="5"/>
  <c r="Q982" i="5"/>
  <c r="P982" i="5"/>
  <c r="O982" i="5"/>
  <c r="N982" i="5"/>
  <c r="M982" i="5"/>
  <c r="L982" i="5"/>
  <c r="E974" i="5"/>
  <c r="I974" i="5" s="1"/>
  <c r="J974" i="5" s="1"/>
  <c r="S974" i="5"/>
  <c r="R974" i="5"/>
  <c r="Q974" i="5"/>
  <c r="P974" i="5"/>
  <c r="O974" i="5"/>
  <c r="N974" i="5"/>
  <c r="M974" i="5"/>
  <c r="L974" i="5"/>
  <c r="E966" i="5"/>
  <c r="I966" i="5" s="1"/>
  <c r="J966" i="5" s="1"/>
  <c r="S966" i="5"/>
  <c r="R966" i="5"/>
  <c r="Q966" i="5"/>
  <c r="P966" i="5"/>
  <c r="O966" i="5"/>
  <c r="N966" i="5"/>
  <c r="M966" i="5"/>
  <c r="L966" i="5"/>
  <c r="E958" i="5"/>
  <c r="I958" i="5" s="1"/>
  <c r="J958" i="5" s="1"/>
  <c r="S958" i="5"/>
  <c r="R958" i="5"/>
  <c r="Q958" i="5"/>
  <c r="P958" i="5"/>
  <c r="O958" i="5"/>
  <c r="N958" i="5"/>
  <c r="M958" i="5"/>
  <c r="L958" i="5"/>
  <c r="E950" i="5"/>
  <c r="I950" i="5" s="1"/>
  <c r="J950" i="5" s="1"/>
  <c r="S950" i="5"/>
  <c r="R950" i="5"/>
  <c r="Q950" i="5"/>
  <c r="P950" i="5"/>
  <c r="O950" i="5"/>
  <c r="N950" i="5"/>
  <c r="M950" i="5"/>
  <c r="L950" i="5"/>
  <c r="E942" i="5"/>
  <c r="I942" i="5" s="1"/>
  <c r="J942" i="5" s="1"/>
  <c r="S942" i="5"/>
  <c r="R942" i="5"/>
  <c r="Q942" i="5"/>
  <c r="P942" i="5"/>
  <c r="O942" i="5"/>
  <c r="N942" i="5"/>
  <c r="M942" i="5"/>
  <c r="L942" i="5"/>
  <c r="E934" i="5"/>
  <c r="I934" i="5" s="1"/>
  <c r="J934" i="5" s="1"/>
  <c r="S934" i="5"/>
  <c r="R934" i="5"/>
  <c r="Q934" i="5"/>
  <c r="P934" i="5"/>
  <c r="O934" i="5"/>
  <c r="N934" i="5"/>
  <c r="M934" i="5"/>
  <c r="L934" i="5"/>
  <c r="E926" i="5"/>
  <c r="I926" i="5" s="1"/>
  <c r="J926" i="5" s="1"/>
  <c r="S926" i="5"/>
  <c r="R926" i="5"/>
  <c r="Q926" i="5"/>
  <c r="P926" i="5"/>
  <c r="O926" i="5"/>
  <c r="N926" i="5"/>
  <c r="M926" i="5"/>
  <c r="L926" i="5"/>
  <c r="E918" i="5"/>
  <c r="I918" i="5" s="1"/>
  <c r="J918" i="5" s="1"/>
  <c r="S918" i="5"/>
  <c r="R918" i="5"/>
  <c r="Q918" i="5"/>
  <c r="P918" i="5"/>
  <c r="O918" i="5"/>
  <c r="N918" i="5"/>
  <c r="M918" i="5"/>
  <c r="L918" i="5"/>
  <c r="E910" i="5"/>
  <c r="I910" i="5" s="1"/>
  <c r="J910" i="5" s="1"/>
  <c r="S910" i="5"/>
  <c r="R910" i="5"/>
  <c r="Q910" i="5"/>
  <c r="P910" i="5"/>
  <c r="O910" i="5"/>
  <c r="N910" i="5"/>
  <c r="M910" i="5"/>
  <c r="L910" i="5"/>
  <c r="E902" i="5"/>
  <c r="I902" i="5" s="1"/>
  <c r="J902" i="5" s="1"/>
  <c r="S902" i="5"/>
  <c r="R902" i="5"/>
  <c r="Q902" i="5"/>
  <c r="P902" i="5"/>
  <c r="O902" i="5"/>
  <c r="N902" i="5"/>
  <c r="M902" i="5"/>
  <c r="L902" i="5"/>
  <c r="E894" i="5"/>
  <c r="I894" i="5" s="1"/>
  <c r="J894" i="5" s="1"/>
  <c r="S894" i="5"/>
  <c r="R894" i="5"/>
  <c r="Q894" i="5"/>
  <c r="P894" i="5"/>
  <c r="O894" i="5"/>
  <c r="N894" i="5"/>
  <c r="M894" i="5"/>
  <c r="L894" i="5"/>
  <c r="E886" i="5"/>
  <c r="I886" i="5" s="1"/>
  <c r="J886" i="5" s="1"/>
  <c r="S886" i="5"/>
  <c r="R886" i="5"/>
  <c r="Q886" i="5"/>
  <c r="P886" i="5"/>
  <c r="O886" i="5"/>
  <c r="N886" i="5"/>
  <c r="M886" i="5"/>
  <c r="L886" i="5"/>
  <c r="E878" i="5"/>
  <c r="I878" i="5" s="1"/>
  <c r="J878" i="5" s="1"/>
  <c r="S878" i="5"/>
  <c r="R878" i="5"/>
  <c r="Q878" i="5"/>
  <c r="P878" i="5"/>
  <c r="O878" i="5"/>
  <c r="N878" i="5"/>
  <c r="M878" i="5"/>
  <c r="L878" i="5"/>
  <c r="E870" i="5"/>
  <c r="I870" i="5" s="1"/>
  <c r="J870" i="5" s="1"/>
  <c r="S870" i="5"/>
  <c r="R870" i="5"/>
  <c r="Q870" i="5"/>
  <c r="P870" i="5"/>
  <c r="O870" i="5"/>
  <c r="N870" i="5"/>
  <c r="M870" i="5"/>
  <c r="L870" i="5"/>
  <c r="E862" i="5"/>
  <c r="I862" i="5" s="1"/>
  <c r="J862" i="5" s="1"/>
  <c r="S862" i="5"/>
  <c r="R862" i="5"/>
  <c r="Q862" i="5"/>
  <c r="P862" i="5"/>
  <c r="O862" i="5"/>
  <c r="N862" i="5"/>
  <c r="M862" i="5"/>
  <c r="L862" i="5"/>
  <c r="E854" i="5"/>
  <c r="I854" i="5" s="1"/>
  <c r="J854" i="5" s="1"/>
  <c r="S854" i="5"/>
  <c r="R854" i="5"/>
  <c r="Q854" i="5"/>
  <c r="P854" i="5"/>
  <c r="O854" i="5"/>
  <c r="N854" i="5"/>
  <c r="M854" i="5"/>
  <c r="L854" i="5"/>
  <c r="E846" i="5"/>
  <c r="I846" i="5" s="1"/>
  <c r="J846" i="5" s="1"/>
  <c r="S846" i="5"/>
  <c r="R846" i="5"/>
  <c r="Q846" i="5"/>
  <c r="P846" i="5"/>
  <c r="O846" i="5"/>
  <c r="N846" i="5"/>
  <c r="M846" i="5"/>
  <c r="L846" i="5"/>
  <c r="E838" i="5"/>
  <c r="I838" i="5" s="1"/>
  <c r="J838" i="5" s="1"/>
  <c r="S838" i="5"/>
  <c r="R838" i="5"/>
  <c r="Q838" i="5"/>
  <c r="P838" i="5"/>
  <c r="O838" i="5"/>
  <c r="N838" i="5"/>
  <c r="M838" i="5"/>
  <c r="L838" i="5"/>
  <c r="E830" i="5"/>
  <c r="I830" i="5" s="1"/>
  <c r="J830" i="5" s="1"/>
  <c r="S830" i="5"/>
  <c r="R830" i="5"/>
  <c r="Q830" i="5"/>
  <c r="P830" i="5"/>
  <c r="O830" i="5"/>
  <c r="N830" i="5"/>
  <c r="M830" i="5"/>
  <c r="L830" i="5"/>
  <c r="E822" i="5"/>
  <c r="I822" i="5" s="1"/>
  <c r="J822" i="5" s="1"/>
  <c r="S822" i="5"/>
  <c r="R822" i="5"/>
  <c r="Q822" i="5"/>
  <c r="P822" i="5"/>
  <c r="O822" i="5"/>
  <c r="N822" i="5"/>
  <c r="M822" i="5"/>
  <c r="L822" i="5"/>
  <c r="E814" i="5"/>
  <c r="I814" i="5" s="1"/>
  <c r="J814" i="5" s="1"/>
  <c r="S814" i="5"/>
  <c r="R814" i="5"/>
  <c r="Q814" i="5"/>
  <c r="P814" i="5"/>
  <c r="O814" i="5"/>
  <c r="N814" i="5"/>
  <c r="M814" i="5"/>
  <c r="L814" i="5"/>
  <c r="E806" i="5"/>
  <c r="I806" i="5" s="1"/>
  <c r="J806" i="5" s="1"/>
  <c r="S806" i="5"/>
  <c r="R806" i="5"/>
  <c r="Q806" i="5"/>
  <c r="P806" i="5"/>
  <c r="O806" i="5"/>
  <c r="N806" i="5"/>
  <c r="M806" i="5"/>
  <c r="L806" i="5"/>
  <c r="E798" i="5"/>
  <c r="I798" i="5" s="1"/>
  <c r="J798" i="5" s="1"/>
  <c r="S798" i="5"/>
  <c r="R798" i="5"/>
  <c r="Q798" i="5"/>
  <c r="P798" i="5"/>
  <c r="O798" i="5"/>
  <c r="N798" i="5"/>
  <c r="M798" i="5"/>
  <c r="L798" i="5"/>
  <c r="E790" i="5"/>
  <c r="I790" i="5" s="1"/>
  <c r="J790" i="5" s="1"/>
  <c r="S790" i="5"/>
  <c r="R790" i="5"/>
  <c r="Q790" i="5"/>
  <c r="P790" i="5"/>
  <c r="O790" i="5"/>
  <c r="N790" i="5"/>
  <c r="M790" i="5"/>
  <c r="L790" i="5"/>
  <c r="E782" i="5"/>
  <c r="I782" i="5" s="1"/>
  <c r="J782" i="5" s="1"/>
  <c r="S782" i="5"/>
  <c r="R782" i="5"/>
  <c r="Q782" i="5"/>
  <c r="P782" i="5"/>
  <c r="O782" i="5"/>
  <c r="N782" i="5"/>
  <c r="M782" i="5"/>
  <c r="L782" i="5"/>
  <c r="E774" i="5"/>
  <c r="I774" i="5" s="1"/>
  <c r="J774" i="5" s="1"/>
  <c r="S774" i="5"/>
  <c r="R774" i="5"/>
  <c r="Q774" i="5"/>
  <c r="P774" i="5"/>
  <c r="O774" i="5"/>
  <c r="N774" i="5"/>
  <c r="M774" i="5"/>
  <c r="L774" i="5"/>
  <c r="E766" i="5"/>
  <c r="I766" i="5" s="1"/>
  <c r="J766" i="5" s="1"/>
  <c r="S766" i="5"/>
  <c r="R766" i="5"/>
  <c r="Q766" i="5"/>
  <c r="P766" i="5"/>
  <c r="O766" i="5"/>
  <c r="N766" i="5"/>
  <c r="M766" i="5"/>
  <c r="L766" i="5"/>
  <c r="E758" i="5"/>
  <c r="I758" i="5" s="1"/>
  <c r="J758" i="5" s="1"/>
  <c r="S758" i="5"/>
  <c r="R758" i="5"/>
  <c r="Q758" i="5"/>
  <c r="P758" i="5"/>
  <c r="O758" i="5"/>
  <c r="N758" i="5"/>
  <c r="M758" i="5"/>
  <c r="L758" i="5"/>
  <c r="E750" i="5"/>
  <c r="I750" i="5" s="1"/>
  <c r="J750" i="5" s="1"/>
  <c r="S750" i="5"/>
  <c r="R750" i="5"/>
  <c r="Q750" i="5"/>
  <c r="P750" i="5"/>
  <c r="O750" i="5"/>
  <c r="N750" i="5"/>
  <c r="M750" i="5"/>
  <c r="L750" i="5"/>
  <c r="E742" i="5"/>
  <c r="I742" i="5" s="1"/>
  <c r="J742" i="5" s="1"/>
  <c r="S742" i="5"/>
  <c r="R742" i="5"/>
  <c r="Q742" i="5"/>
  <c r="P742" i="5"/>
  <c r="O742" i="5"/>
  <c r="N742" i="5"/>
  <c r="M742" i="5"/>
  <c r="L742" i="5"/>
  <c r="E734" i="5"/>
  <c r="I734" i="5" s="1"/>
  <c r="J734" i="5" s="1"/>
  <c r="S734" i="5"/>
  <c r="R734" i="5"/>
  <c r="Q734" i="5"/>
  <c r="P734" i="5"/>
  <c r="O734" i="5"/>
  <c r="N734" i="5"/>
  <c r="M734" i="5"/>
  <c r="L734" i="5"/>
  <c r="E726" i="5"/>
  <c r="I726" i="5" s="1"/>
  <c r="J726" i="5" s="1"/>
  <c r="S726" i="5"/>
  <c r="R726" i="5"/>
  <c r="Q726" i="5"/>
  <c r="P726" i="5"/>
  <c r="O726" i="5"/>
  <c r="N726" i="5"/>
  <c r="M726" i="5"/>
  <c r="L726" i="5"/>
  <c r="E718" i="5"/>
  <c r="I718" i="5" s="1"/>
  <c r="J718" i="5" s="1"/>
  <c r="S718" i="5"/>
  <c r="R718" i="5"/>
  <c r="Q718" i="5"/>
  <c r="P718" i="5"/>
  <c r="O718" i="5"/>
  <c r="N718" i="5"/>
  <c r="M718" i="5"/>
  <c r="L718" i="5"/>
  <c r="E710" i="5"/>
  <c r="I710" i="5" s="1"/>
  <c r="J710" i="5" s="1"/>
  <c r="S710" i="5"/>
  <c r="R710" i="5"/>
  <c r="Q710" i="5"/>
  <c r="P710" i="5"/>
  <c r="O710" i="5"/>
  <c r="N710" i="5"/>
  <c r="M710" i="5"/>
  <c r="L710" i="5"/>
  <c r="E702" i="5"/>
  <c r="I702" i="5" s="1"/>
  <c r="J702" i="5" s="1"/>
  <c r="S702" i="5"/>
  <c r="R702" i="5"/>
  <c r="Q702" i="5"/>
  <c r="P702" i="5"/>
  <c r="O702" i="5"/>
  <c r="N702" i="5"/>
  <c r="M702" i="5"/>
  <c r="L702" i="5"/>
  <c r="E694" i="5"/>
  <c r="I694" i="5" s="1"/>
  <c r="J694" i="5" s="1"/>
  <c r="S694" i="5"/>
  <c r="R694" i="5"/>
  <c r="Q694" i="5"/>
  <c r="P694" i="5"/>
  <c r="O694" i="5"/>
  <c r="N694" i="5"/>
  <c r="M694" i="5"/>
  <c r="L694" i="5"/>
  <c r="E686" i="5"/>
  <c r="I686" i="5" s="1"/>
  <c r="J686" i="5" s="1"/>
  <c r="S686" i="5"/>
  <c r="R686" i="5"/>
  <c r="Q686" i="5"/>
  <c r="P686" i="5"/>
  <c r="O686" i="5"/>
  <c r="N686" i="5"/>
  <c r="M686" i="5"/>
  <c r="L686" i="5"/>
  <c r="E678" i="5"/>
  <c r="I678" i="5" s="1"/>
  <c r="J678" i="5" s="1"/>
  <c r="S678" i="5"/>
  <c r="R678" i="5"/>
  <c r="Q678" i="5"/>
  <c r="P678" i="5"/>
  <c r="O678" i="5"/>
  <c r="N678" i="5"/>
  <c r="M678" i="5"/>
  <c r="L678" i="5"/>
  <c r="E670" i="5"/>
  <c r="I670" i="5" s="1"/>
  <c r="J670" i="5" s="1"/>
  <c r="S670" i="5"/>
  <c r="R670" i="5"/>
  <c r="Q670" i="5"/>
  <c r="P670" i="5"/>
  <c r="O670" i="5"/>
  <c r="N670" i="5"/>
  <c r="M670" i="5"/>
  <c r="L670" i="5"/>
  <c r="E662" i="5"/>
  <c r="I662" i="5" s="1"/>
  <c r="J662" i="5" s="1"/>
  <c r="S662" i="5"/>
  <c r="R662" i="5"/>
  <c r="Q662" i="5"/>
  <c r="P662" i="5"/>
  <c r="O662" i="5"/>
  <c r="N662" i="5"/>
  <c r="M662" i="5"/>
  <c r="L662" i="5"/>
  <c r="E654" i="5"/>
  <c r="I654" i="5" s="1"/>
  <c r="J654" i="5" s="1"/>
  <c r="S654" i="5"/>
  <c r="R654" i="5"/>
  <c r="Q654" i="5"/>
  <c r="P654" i="5"/>
  <c r="O654" i="5"/>
  <c r="N654" i="5"/>
  <c r="M654" i="5"/>
  <c r="L654" i="5"/>
  <c r="E646" i="5"/>
  <c r="I646" i="5" s="1"/>
  <c r="J646" i="5" s="1"/>
  <c r="S646" i="5"/>
  <c r="R646" i="5"/>
  <c r="Q646" i="5"/>
  <c r="P646" i="5"/>
  <c r="O646" i="5"/>
  <c r="N646" i="5"/>
  <c r="M646" i="5"/>
  <c r="L646" i="5"/>
  <c r="E638" i="5"/>
  <c r="I638" i="5" s="1"/>
  <c r="J638" i="5" s="1"/>
  <c r="S638" i="5"/>
  <c r="R638" i="5"/>
  <c r="Q638" i="5"/>
  <c r="P638" i="5"/>
  <c r="O638" i="5"/>
  <c r="N638" i="5"/>
  <c r="M638" i="5"/>
  <c r="L638" i="5"/>
  <c r="E630" i="5"/>
  <c r="I630" i="5" s="1"/>
  <c r="J630" i="5" s="1"/>
  <c r="S630" i="5"/>
  <c r="R630" i="5"/>
  <c r="Q630" i="5"/>
  <c r="P630" i="5"/>
  <c r="O630" i="5"/>
  <c r="N630" i="5"/>
  <c r="M630" i="5"/>
  <c r="L630" i="5"/>
  <c r="E622" i="5"/>
  <c r="I622" i="5" s="1"/>
  <c r="J622" i="5" s="1"/>
  <c r="S622" i="5"/>
  <c r="R622" i="5"/>
  <c r="Q622" i="5"/>
  <c r="P622" i="5"/>
  <c r="O622" i="5"/>
  <c r="N622" i="5"/>
  <c r="M622" i="5"/>
  <c r="L622" i="5"/>
  <c r="E614" i="5"/>
  <c r="I614" i="5" s="1"/>
  <c r="J614" i="5" s="1"/>
  <c r="S614" i="5"/>
  <c r="R614" i="5"/>
  <c r="Q614" i="5"/>
  <c r="P614" i="5"/>
  <c r="O614" i="5"/>
  <c r="N614" i="5"/>
  <c r="M614" i="5"/>
  <c r="L614" i="5"/>
  <c r="E606" i="5"/>
  <c r="I606" i="5" s="1"/>
  <c r="J606" i="5" s="1"/>
  <c r="S606" i="5"/>
  <c r="R606" i="5"/>
  <c r="Q606" i="5"/>
  <c r="P606" i="5"/>
  <c r="O606" i="5"/>
  <c r="N606" i="5"/>
  <c r="M606" i="5"/>
  <c r="L606" i="5"/>
  <c r="E598" i="5"/>
  <c r="I598" i="5" s="1"/>
  <c r="J598" i="5" s="1"/>
  <c r="S598" i="5"/>
  <c r="R598" i="5"/>
  <c r="Q598" i="5"/>
  <c r="P598" i="5"/>
  <c r="O598" i="5"/>
  <c r="N598" i="5"/>
  <c r="M598" i="5"/>
  <c r="L598" i="5"/>
  <c r="E590" i="5"/>
  <c r="I590" i="5" s="1"/>
  <c r="J590" i="5" s="1"/>
  <c r="S590" i="5"/>
  <c r="R590" i="5"/>
  <c r="Q590" i="5"/>
  <c r="P590" i="5"/>
  <c r="O590" i="5"/>
  <c r="N590" i="5"/>
  <c r="M590" i="5"/>
  <c r="L590" i="5"/>
  <c r="E582" i="5"/>
  <c r="I582" i="5" s="1"/>
  <c r="J582" i="5" s="1"/>
  <c r="S582" i="5"/>
  <c r="R582" i="5"/>
  <c r="Q582" i="5"/>
  <c r="P582" i="5"/>
  <c r="O582" i="5"/>
  <c r="N582" i="5"/>
  <c r="M582" i="5"/>
  <c r="L582" i="5"/>
  <c r="E574" i="5"/>
  <c r="I574" i="5" s="1"/>
  <c r="J574" i="5" s="1"/>
  <c r="S574" i="5"/>
  <c r="R574" i="5"/>
  <c r="Q574" i="5"/>
  <c r="P574" i="5"/>
  <c r="O574" i="5"/>
  <c r="N574" i="5"/>
  <c r="M574" i="5"/>
  <c r="L574" i="5"/>
  <c r="E566" i="5"/>
  <c r="I566" i="5" s="1"/>
  <c r="J566" i="5" s="1"/>
  <c r="S566" i="5"/>
  <c r="R566" i="5"/>
  <c r="Q566" i="5"/>
  <c r="P566" i="5"/>
  <c r="O566" i="5"/>
  <c r="N566" i="5"/>
  <c r="M566" i="5"/>
  <c r="L566" i="5"/>
  <c r="E558" i="5"/>
  <c r="I558" i="5" s="1"/>
  <c r="J558" i="5" s="1"/>
  <c r="S558" i="5"/>
  <c r="R558" i="5"/>
  <c r="Q558" i="5"/>
  <c r="P558" i="5"/>
  <c r="O558" i="5"/>
  <c r="N558" i="5"/>
  <c r="M558" i="5"/>
  <c r="L558" i="5"/>
  <c r="E550" i="5"/>
  <c r="I550" i="5" s="1"/>
  <c r="J550" i="5" s="1"/>
  <c r="S550" i="5"/>
  <c r="R550" i="5"/>
  <c r="Q550" i="5"/>
  <c r="P550" i="5"/>
  <c r="O550" i="5"/>
  <c r="N550" i="5"/>
  <c r="M550" i="5"/>
  <c r="L550" i="5"/>
  <c r="E542" i="5"/>
  <c r="I542" i="5" s="1"/>
  <c r="J542" i="5" s="1"/>
  <c r="S542" i="5"/>
  <c r="R542" i="5"/>
  <c r="Q542" i="5"/>
  <c r="P542" i="5"/>
  <c r="O542" i="5"/>
  <c r="N542" i="5"/>
  <c r="M542" i="5"/>
  <c r="L542" i="5"/>
  <c r="E534" i="5"/>
  <c r="I534" i="5" s="1"/>
  <c r="J534" i="5" s="1"/>
  <c r="S534" i="5"/>
  <c r="R534" i="5"/>
  <c r="Q534" i="5"/>
  <c r="P534" i="5"/>
  <c r="O534" i="5"/>
  <c r="N534" i="5"/>
  <c r="M534" i="5"/>
  <c r="L534" i="5"/>
  <c r="E526" i="5"/>
  <c r="I526" i="5" s="1"/>
  <c r="J526" i="5" s="1"/>
  <c r="S526" i="5"/>
  <c r="R526" i="5"/>
  <c r="Q526" i="5"/>
  <c r="P526" i="5"/>
  <c r="O526" i="5"/>
  <c r="N526" i="5"/>
  <c r="M526" i="5"/>
  <c r="L526" i="5"/>
  <c r="E518" i="5"/>
  <c r="I518" i="5" s="1"/>
  <c r="J518" i="5" s="1"/>
  <c r="S518" i="5"/>
  <c r="R518" i="5"/>
  <c r="Q518" i="5"/>
  <c r="P518" i="5"/>
  <c r="O518" i="5"/>
  <c r="N518" i="5"/>
  <c r="M518" i="5"/>
  <c r="L518" i="5"/>
  <c r="E510" i="5"/>
  <c r="I510" i="5" s="1"/>
  <c r="J510" i="5" s="1"/>
  <c r="S510" i="5"/>
  <c r="R510" i="5"/>
  <c r="Q510" i="5"/>
  <c r="P510" i="5"/>
  <c r="O510" i="5"/>
  <c r="N510" i="5"/>
  <c r="M510" i="5"/>
  <c r="L510" i="5"/>
  <c r="E502" i="5"/>
  <c r="I502" i="5" s="1"/>
  <c r="J502" i="5" s="1"/>
  <c r="S502" i="5"/>
  <c r="R502" i="5"/>
  <c r="Q502" i="5"/>
  <c r="P502" i="5"/>
  <c r="O502" i="5"/>
  <c r="N502" i="5"/>
  <c r="M502" i="5"/>
  <c r="L502" i="5"/>
  <c r="E494" i="5"/>
  <c r="I494" i="5" s="1"/>
  <c r="J494" i="5" s="1"/>
  <c r="S494" i="5"/>
  <c r="R494" i="5"/>
  <c r="Q494" i="5"/>
  <c r="P494" i="5"/>
  <c r="O494" i="5"/>
  <c r="N494" i="5"/>
  <c r="M494" i="5"/>
  <c r="L494" i="5"/>
  <c r="E486" i="5"/>
  <c r="I486" i="5" s="1"/>
  <c r="J486" i="5" s="1"/>
  <c r="S486" i="5"/>
  <c r="R486" i="5"/>
  <c r="Q486" i="5"/>
  <c r="P486" i="5"/>
  <c r="O486" i="5"/>
  <c r="N486" i="5"/>
  <c r="M486" i="5"/>
  <c r="L486" i="5"/>
  <c r="E478" i="5"/>
  <c r="I478" i="5" s="1"/>
  <c r="J478" i="5" s="1"/>
  <c r="S478" i="5"/>
  <c r="R478" i="5"/>
  <c r="Q478" i="5"/>
  <c r="P478" i="5"/>
  <c r="O478" i="5"/>
  <c r="N478" i="5"/>
  <c r="M478" i="5"/>
  <c r="L478" i="5"/>
  <c r="E470" i="5"/>
  <c r="I470" i="5" s="1"/>
  <c r="J470" i="5" s="1"/>
  <c r="S470" i="5"/>
  <c r="R470" i="5"/>
  <c r="Q470" i="5"/>
  <c r="P470" i="5"/>
  <c r="O470" i="5"/>
  <c r="N470" i="5"/>
  <c r="M470" i="5"/>
  <c r="L470" i="5"/>
  <c r="E462" i="5"/>
  <c r="I462" i="5" s="1"/>
  <c r="J462" i="5" s="1"/>
  <c r="S462" i="5"/>
  <c r="R462" i="5"/>
  <c r="Q462" i="5"/>
  <c r="P462" i="5"/>
  <c r="O462" i="5"/>
  <c r="N462" i="5"/>
  <c r="M462" i="5"/>
  <c r="L462" i="5"/>
  <c r="E454" i="5"/>
  <c r="I454" i="5" s="1"/>
  <c r="J454" i="5" s="1"/>
  <c r="S454" i="5"/>
  <c r="R454" i="5"/>
  <c r="Q454" i="5"/>
  <c r="P454" i="5"/>
  <c r="O454" i="5"/>
  <c r="N454" i="5"/>
  <c r="M454" i="5"/>
  <c r="L454" i="5"/>
  <c r="E446" i="5"/>
  <c r="I446" i="5" s="1"/>
  <c r="J446" i="5" s="1"/>
  <c r="S446" i="5"/>
  <c r="R446" i="5"/>
  <c r="Q446" i="5"/>
  <c r="P446" i="5"/>
  <c r="O446" i="5"/>
  <c r="N446" i="5"/>
  <c r="M446" i="5"/>
  <c r="L446" i="5"/>
  <c r="E438" i="5"/>
  <c r="I438" i="5" s="1"/>
  <c r="J438" i="5" s="1"/>
  <c r="S438" i="5"/>
  <c r="R438" i="5"/>
  <c r="Q438" i="5"/>
  <c r="P438" i="5"/>
  <c r="O438" i="5"/>
  <c r="N438" i="5"/>
  <c r="M438" i="5"/>
  <c r="L438" i="5"/>
  <c r="E430" i="5"/>
  <c r="I430" i="5" s="1"/>
  <c r="J430" i="5" s="1"/>
  <c r="S430" i="5"/>
  <c r="R430" i="5"/>
  <c r="Q430" i="5"/>
  <c r="P430" i="5"/>
  <c r="O430" i="5"/>
  <c r="N430" i="5"/>
  <c r="M430" i="5"/>
  <c r="L430" i="5"/>
  <c r="E422" i="5"/>
  <c r="I422" i="5" s="1"/>
  <c r="J422" i="5" s="1"/>
  <c r="S422" i="5"/>
  <c r="R422" i="5"/>
  <c r="Q422" i="5"/>
  <c r="P422" i="5"/>
  <c r="O422" i="5"/>
  <c r="N422" i="5"/>
  <c r="M422" i="5"/>
  <c r="L422" i="5"/>
  <c r="E414" i="5"/>
  <c r="I414" i="5" s="1"/>
  <c r="J414" i="5" s="1"/>
  <c r="S414" i="5"/>
  <c r="R414" i="5"/>
  <c r="Q414" i="5"/>
  <c r="P414" i="5"/>
  <c r="O414" i="5"/>
  <c r="N414" i="5"/>
  <c r="M414" i="5"/>
  <c r="L414" i="5"/>
  <c r="E406" i="5"/>
  <c r="I406" i="5" s="1"/>
  <c r="J406" i="5" s="1"/>
  <c r="S406" i="5"/>
  <c r="R406" i="5"/>
  <c r="Q406" i="5"/>
  <c r="P406" i="5"/>
  <c r="O406" i="5"/>
  <c r="N406" i="5"/>
  <c r="M406" i="5"/>
  <c r="K406" i="5"/>
  <c r="L406" i="5"/>
  <c r="E398" i="5"/>
  <c r="I398" i="5" s="1"/>
  <c r="J398" i="5" s="1"/>
  <c r="S398" i="5"/>
  <c r="R398" i="5"/>
  <c r="Q398" i="5"/>
  <c r="P398" i="5"/>
  <c r="O398" i="5"/>
  <c r="N398" i="5"/>
  <c r="M398" i="5"/>
  <c r="K398" i="5"/>
  <c r="L398" i="5"/>
  <c r="E390" i="5"/>
  <c r="I390" i="5" s="1"/>
  <c r="J390" i="5" s="1"/>
  <c r="S390" i="5"/>
  <c r="R390" i="5"/>
  <c r="Q390" i="5"/>
  <c r="P390" i="5"/>
  <c r="O390" i="5"/>
  <c r="N390" i="5"/>
  <c r="M390" i="5"/>
  <c r="K390" i="5"/>
  <c r="L390" i="5"/>
  <c r="E382" i="5"/>
  <c r="I382" i="5" s="1"/>
  <c r="J382" i="5" s="1"/>
  <c r="S382" i="5"/>
  <c r="R382" i="5"/>
  <c r="Q382" i="5"/>
  <c r="P382" i="5"/>
  <c r="O382" i="5"/>
  <c r="N382" i="5"/>
  <c r="M382" i="5"/>
  <c r="K382" i="5"/>
  <c r="L382" i="5"/>
  <c r="E374" i="5"/>
  <c r="I374" i="5" s="1"/>
  <c r="J374" i="5" s="1"/>
  <c r="S374" i="5"/>
  <c r="R374" i="5"/>
  <c r="Q374" i="5"/>
  <c r="P374" i="5"/>
  <c r="O374" i="5"/>
  <c r="N374" i="5"/>
  <c r="M374" i="5"/>
  <c r="K374" i="5"/>
  <c r="L374" i="5"/>
  <c r="E366" i="5"/>
  <c r="I366" i="5" s="1"/>
  <c r="J366" i="5" s="1"/>
  <c r="S366" i="5"/>
  <c r="R366" i="5"/>
  <c r="Q366" i="5"/>
  <c r="P366" i="5"/>
  <c r="O366" i="5"/>
  <c r="N366" i="5"/>
  <c r="M366" i="5"/>
  <c r="K366" i="5"/>
  <c r="L366" i="5"/>
  <c r="E358" i="5"/>
  <c r="I358" i="5" s="1"/>
  <c r="J358" i="5" s="1"/>
  <c r="S358" i="5"/>
  <c r="R358" i="5"/>
  <c r="Q358" i="5"/>
  <c r="P358" i="5"/>
  <c r="O358" i="5"/>
  <c r="N358" i="5"/>
  <c r="M358" i="5"/>
  <c r="K358" i="5"/>
  <c r="L358" i="5"/>
  <c r="E350" i="5"/>
  <c r="I350" i="5" s="1"/>
  <c r="J350" i="5" s="1"/>
  <c r="S350" i="5"/>
  <c r="R350" i="5"/>
  <c r="Q350" i="5"/>
  <c r="P350" i="5"/>
  <c r="O350" i="5"/>
  <c r="N350" i="5"/>
  <c r="M350" i="5"/>
  <c r="K350" i="5"/>
  <c r="L350" i="5"/>
  <c r="E342" i="5"/>
  <c r="I342" i="5" s="1"/>
  <c r="J342" i="5" s="1"/>
  <c r="S342" i="5"/>
  <c r="R342" i="5"/>
  <c r="Q342" i="5"/>
  <c r="P342" i="5"/>
  <c r="O342" i="5"/>
  <c r="N342" i="5"/>
  <c r="M342" i="5"/>
  <c r="K342" i="5"/>
  <c r="L342" i="5"/>
  <c r="E334" i="5"/>
  <c r="I334" i="5" s="1"/>
  <c r="J334" i="5" s="1"/>
  <c r="S334" i="5"/>
  <c r="R334" i="5"/>
  <c r="Q334" i="5"/>
  <c r="P334" i="5"/>
  <c r="O334" i="5"/>
  <c r="N334" i="5"/>
  <c r="M334" i="5"/>
  <c r="K334" i="5"/>
  <c r="L334" i="5"/>
  <c r="E326" i="5"/>
  <c r="I326" i="5" s="1"/>
  <c r="J326" i="5" s="1"/>
  <c r="S326" i="5"/>
  <c r="R326" i="5"/>
  <c r="Q326" i="5"/>
  <c r="P326" i="5"/>
  <c r="O326" i="5"/>
  <c r="N326" i="5"/>
  <c r="M326" i="5"/>
  <c r="K326" i="5"/>
  <c r="L326" i="5"/>
  <c r="E318" i="5"/>
  <c r="I318" i="5" s="1"/>
  <c r="J318" i="5" s="1"/>
  <c r="S318" i="5"/>
  <c r="R318" i="5"/>
  <c r="Q318" i="5"/>
  <c r="P318" i="5"/>
  <c r="O318" i="5"/>
  <c r="N318" i="5"/>
  <c r="M318" i="5"/>
  <c r="K318" i="5"/>
  <c r="L318" i="5"/>
  <c r="E310" i="5"/>
  <c r="I310" i="5" s="1"/>
  <c r="J310" i="5" s="1"/>
  <c r="S310" i="5"/>
  <c r="R310" i="5"/>
  <c r="Q310" i="5"/>
  <c r="P310" i="5"/>
  <c r="O310" i="5"/>
  <c r="N310" i="5"/>
  <c r="M310" i="5"/>
  <c r="K310" i="5"/>
  <c r="L310" i="5"/>
  <c r="E302" i="5"/>
  <c r="I302" i="5" s="1"/>
  <c r="J302" i="5" s="1"/>
  <c r="S302" i="5"/>
  <c r="R302" i="5"/>
  <c r="Q302" i="5"/>
  <c r="P302" i="5"/>
  <c r="O302" i="5"/>
  <c r="N302" i="5"/>
  <c r="M302" i="5"/>
  <c r="K302" i="5"/>
  <c r="L302" i="5"/>
  <c r="E294" i="5"/>
  <c r="I294" i="5" s="1"/>
  <c r="J294" i="5" s="1"/>
  <c r="S294" i="5"/>
  <c r="R294" i="5"/>
  <c r="Q294" i="5"/>
  <c r="P294" i="5"/>
  <c r="O294" i="5"/>
  <c r="N294" i="5"/>
  <c r="M294" i="5"/>
  <c r="K294" i="5"/>
  <c r="L294" i="5"/>
  <c r="E286" i="5"/>
  <c r="I286" i="5" s="1"/>
  <c r="J286" i="5" s="1"/>
  <c r="S286" i="5"/>
  <c r="R286" i="5"/>
  <c r="Q286" i="5"/>
  <c r="P286" i="5"/>
  <c r="O286" i="5"/>
  <c r="N286" i="5"/>
  <c r="M286" i="5"/>
  <c r="K286" i="5"/>
  <c r="L286" i="5"/>
  <c r="E278" i="5"/>
  <c r="I278" i="5" s="1"/>
  <c r="J278" i="5" s="1"/>
  <c r="S278" i="5"/>
  <c r="R278" i="5"/>
  <c r="Q278" i="5"/>
  <c r="P278" i="5"/>
  <c r="O278" i="5"/>
  <c r="N278" i="5"/>
  <c r="M278" i="5"/>
  <c r="K278" i="5"/>
  <c r="L278" i="5"/>
  <c r="E270" i="5"/>
  <c r="I270" i="5" s="1"/>
  <c r="J270" i="5" s="1"/>
  <c r="S270" i="5"/>
  <c r="R270" i="5"/>
  <c r="Q270" i="5"/>
  <c r="P270" i="5"/>
  <c r="O270" i="5"/>
  <c r="N270" i="5"/>
  <c r="M270" i="5"/>
  <c r="K270" i="5"/>
  <c r="L270" i="5"/>
  <c r="E262" i="5"/>
  <c r="I262" i="5" s="1"/>
  <c r="J262" i="5" s="1"/>
  <c r="S262" i="5"/>
  <c r="R262" i="5"/>
  <c r="Q262" i="5"/>
  <c r="P262" i="5"/>
  <c r="O262" i="5"/>
  <c r="N262" i="5"/>
  <c r="M262" i="5"/>
  <c r="K262" i="5"/>
  <c r="L262" i="5"/>
  <c r="E254" i="5"/>
  <c r="I254" i="5" s="1"/>
  <c r="J254" i="5" s="1"/>
  <c r="S254" i="5"/>
  <c r="R254" i="5"/>
  <c r="Q254" i="5"/>
  <c r="P254" i="5"/>
  <c r="O254" i="5"/>
  <c r="N254" i="5"/>
  <c r="M254" i="5"/>
  <c r="K254" i="5"/>
  <c r="L254" i="5"/>
  <c r="E246" i="5"/>
  <c r="I246" i="5" s="1"/>
  <c r="J246" i="5" s="1"/>
  <c r="S246" i="5"/>
  <c r="R246" i="5"/>
  <c r="Q246" i="5"/>
  <c r="P246" i="5"/>
  <c r="O246" i="5"/>
  <c r="N246" i="5"/>
  <c r="M246" i="5"/>
  <c r="K246" i="5"/>
  <c r="L246" i="5"/>
  <c r="E238" i="5"/>
  <c r="I238" i="5" s="1"/>
  <c r="J238" i="5" s="1"/>
  <c r="S238" i="5"/>
  <c r="R238" i="5"/>
  <c r="Q238" i="5"/>
  <c r="P238" i="5"/>
  <c r="O238" i="5"/>
  <c r="N238" i="5"/>
  <c r="M238" i="5"/>
  <c r="K238" i="5"/>
  <c r="L238" i="5"/>
  <c r="E230" i="5"/>
  <c r="I230" i="5" s="1"/>
  <c r="J230" i="5" s="1"/>
  <c r="S230" i="5"/>
  <c r="R230" i="5"/>
  <c r="Q230" i="5"/>
  <c r="P230" i="5"/>
  <c r="O230" i="5"/>
  <c r="N230" i="5"/>
  <c r="M230" i="5"/>
  <c r="K230" i="5"/>
  <c r="L230" i="5"/>
  <c r="E222" i="5"/>
  <c r="I222" i="5" s="1"/>
  <c r="J222" i="5" s="1"/>
  <c r="S222" i="5"/>
  <c r="R222" i="5"/>
  <c r="Q222" i="5"/>
  <c r="P222" i="5"/>
  <c r="O222" i="5"/>
  <c r="N222" i="5"/>
  <c r="M222" i="5"/>
  <c r="K222" i="5"/>
  <c r="L222" i="5"/>
  <c r="E214" i="5"/>
  <c r="I214" i="5" s="1"/>
  <c r="J214" i="5" s="1"/>
  <c r="S214" i="5"/>
  <c r="R214" i="5"/>
  <c r="Q214" i="5"/>
  <c r="P214" i="5"/>
  <c r="O214" i="5"/>
  <c r="N214" i="5"/>
  <c r="M214" i="5"/>
  <c r="K214" i="5"/>
  <c r="L214" i="5"/>
  <c r="E206" i="5"/>
  <c r="I206" i="5" s="1"/>
  <c r="J206" i="5" s="1"/>
  <c r="S206" i="5"/>
  <c r="R206" i="5"/>
  <c r="Q206" i="5"/>
  <c r="P206" i="5"/>
  <c r="O206" i="5"/>
  <c r="N206" i="5"/>
  <c r="M206" i="5"/>
  <c r="K206" i="5"/>
  <c r="L206" i="5"/>
  <c r="E198" i="5"/>
  <c r="I198" i="5" s="1"/>
  <c r="J198" i="5" s="1"/>
  <c r="S198" i="5"/>
  <c r="R198" i="5"/>
  <c r="Q198" i="5"/>
  <c r="P198" i="5"/>
  <c r="O198" i="5"/>
  <c r="N198" i="5"/>
  <c r="M198" i="5"/>
  <c r="K198" i="5"/>
  <c r="L198" i="5"/>
  <c r="E190" i="5"/>
  <c r="I190" i="5" s="1"/>
  <c r="J190" i="5" s="1"/>
  <c r="S190" i="5"/>
  <c r="R190" i="5"/>
  <c r="Q190" i="5"/>
  <c r="P190" i="5"/>
  <c r="O190" i="5"/>
  <c r="N190" i="5"/>
  <c r="M190" i="5"/>
  <c r="K190" i="5"/>
  <c r="L190" i="5"/>
  <c r="E182" i="5"/>
  <c r="I182" i="5" s="1"/>
  <c r="J182" i="5" s="1"/>
  <c r="S182" i="5"/>
  <c r="R182" i="5"/>
  <c r="Q182" i="5"/>
  <c r="P182" i="5"/>
  <c r="O182" i="5"/>
  <c r="N182" i="5"/>
  <c r="M182" i="5"/>
  <c r="K182" i="5"/>
  <c r="L182" i="5"/>
  <c r="E174" i="5"/>
  <c r="I174" i="5" s="1"/>
  <c r="J174" i="5" s="1"/>
  <c r="S174" i="5"/>
  <c r="R174" i="5"/>
  <c r="Q174" i="5"/>
  <c r="P174" i="5"/>
  <c r="O174" i="5"/>
  <c r="N174" i="5"/>
  <c r="M174" i="5"/>
  <c r="K174" i="5"/>
  <c r="L174" i="5"/>
  <c r="E166" i="5"/>
  <c r="I166" i="5" s="1"/>
  <c r="J166" i="5" s="1"/>
  <c r="S166" i="5"/>
  <c r="R166" i="5"/>
  <c r="Q166" i="5"/>
  <c r="P166" i="5"/>
  <c r="O166" i="5"/>
  <c r="N166" i="5"/>
  <c r="M166" i="5"/>
  <c r="K166" i="5"/>
  <c r="L166" i="5"/>
  <c r="E158" i="5"/>
  <c r="I158" i="5" s="1"/>
  <c r="J158" i="5" s="1"/>
  <c r="S158" i="5"/>
  <c r="R158" i="5"/>
  <c r="Q158" i="5"/>
  <c r="P158" i="5"/>
  <c r="O158" i="5"/>
  <c r="N158" i="5"/>
  <c r="M158" i="5"/>
  <c r="K158" i="5"/>
  <c r="L158" i="5"/>
  <c r="E150" i="5"/>
  <c r="I150" i="5" s="1"/>
  <c r="J150" i="5" s="1"/>
  <c r="S150" i="5"/>
  <c r="R150" i="5"/>
  <c r="Q150" i="5"/>
  <c r="P150" i="5"/>
  <c r="O150" i="5"/>
  <c r="N150" i="5"/>
  <c r="M150" i="5"/>
  <c r="K150" i="5"/>
  <c r="L150" i="5"/>
  <c r="E142" i="5"/>
  <c r="I142" i="5" s="1"/>
  <c r="J142" i="5" s="1"/>
  <c r="S142" i="5"/>
  <c r="R142" i="5"/>
  <c r="Q142" i="5"/>
  <c r="P142" i="5"/>
  <c r="O142" i="5"/>
  <c r="N142" i="5"/>
  <c r="M142" i="5"/>
  <c r="K142" i="5"/>
  <c r="L142" i="5"/>
  <c r="E134" i="5"/>
  <c r="I134" i="5" s="1"/>
  <c r="J134" i="5" s="1"/>
  <c r="S134" i="5"/>
  <c r="R134" i="5"/>
  <c r="Q134" i="5"/>
  <c r="P134" i="5"/>
  <c r="O134" i="5"/>
  <c r="N134" i="5"/>
  <c r="M134" i="5"/>
  <c r="K134" i="5"/>
  <c r="L134" i="5"/>
  <c r="E126" i="5"/>
  <c r="I126" i="5" s="1"/>
  <c r="J126" i="5" s="1"/>
  <c r="S126" i="5"/>
  <c r="R126" i="5"/>
  <c r="Q126" i="5"/>
  <c r="P126" i="5"/>
  <c r="O126" i="5"/>
  <c r="N126" i="5"/>
  <c r="M126" i="5"/>
  <c r="K126" i="5"/>
  <c r="L126" i="5"/>
  <c r="E118" i="5"/>
  <c r="I118" i="5" s="1"/>
  <c r="J118" i="5" s="1"/>
  <c r="S118" i="5"/>
  <c r="R118" i="5"/>
  <c r="Q118" i="5"/>
  <c r="P118" i="5"/>
  <c r="O118" i="5"/>
  <c r="N118" i="5"/>
  <c r="M118" i="5"/>
  <c r="K118" i="5"/>
  <c r="L118" i="5"/>
  <c r="E110" i="5"/>
  <c r="I110" i="5" s="1"/>
  <c r="J110" i="5" s="1"/>
  <c r="S110" i="5"/>
  <c r="R110" i="5"/>
  <c r="Q110" i="5"/>
  <c r="P110" i="5"/>
  <c r="O110" i="5"/>
  <c r="N110" i="5"/>
  <c r="M110" i="5"/>
  <c r="K110" i="5"/>
  <c r="L110" i="5"/>
  <c r="E102" i="5"/>
  <c r="I102" i="5" s="1"/>
  <c r="J102" i="5" s="1"/>
  <c r="S102" i="5"/>
  <c r="R102" i="5"/>
  <c r="Q102" i="5"/>
  <c r="P102" i="5"/>
  <c r="O102" i="5"/>
  <c r="N102" i="5"/>
  <c r="M102" i="5"/>
  <c r="K102" i="5"/>
  <c r="L102" i="5"/>
  <c r="E94" i="5"/>
  <c r="I94" i="5" s="1"/>
  <c r="J94" i="5" s="1"/>
  <c r="S94" i="5"/>
  <c r="R94" i="5"/>
  <c r="Q94" i="5"/>
  <c r="P94" i="5"/>
  <c r="O94" i="5"/>
  <c r="N94" i="5"/>
  <c r="M94" i="5"/>
  <c r="K94" i="5"/>
  <c r="L94" i="5"/>
  <c r="E86" i="5"/>
  <c r="I86" i="5" s="1"/>
  <c r="J86" i="5" s="1"/>
  <c r="S86" i="5"/>
  <c r="R86" i="5"/>
  <c r="Q86" i="5"/>
  <c r="P86" i="5"/>
  <c r="O86" i="5"/>
  <c r="N86" i="5"/>
  <c r="M86" i="5"/>
  <c r="K86" i="5"/>
  <c r="L86" i="5"/>
  <c r="E78" i="5"/>
  <c r="I78" i="5" s="1"/>
  <c r="J78" i="5" s="1"/>
  <c r="S78" i="5"/>
  <c r="R78" i="5"/>
  <c r="Q78" i="5"/>
  <c r="P78" i="5"/>
  <c r="O78" i="5"/>
  <c r="N78" i="5"/>
  <c r="M78" i="5"/>
  <c r="K78" i="5"/>
  <c r="L78" i="5"/>
  <c r="E70" i="5"/>
  <c r="I70" i="5" s="1"/>
  <c r="J70" i="5" s="1"/>
  <c r="S70" i="5"/>
  <c r="R70" i="5"/>
  <c r="Q70" i="5"/>
  <c r="P70" i="5"/>
  <c r="O70" i="5"/>
  <c r="N70" i="5"/>
  <c r="M70" i="5"/>
  <c r="K70" i="5"/>
  <c r="L70" i="5"/>
  <c r="E62" i="5"/>
  <c r="I62" i="5" s="1"/>
  <c r="J62" i="5" s="1"/>
  <c r="S62" i="5"/>
  <c r="R62" i="5"/>
  <c r="Q62" i="5"/>
  <c r="P62" i="5"/>
  <c r="O62" i="5"/>
  <c r="N62" i="5"/>
  <c r="M62" i="5"/>
  <c r="K62" i="5"/>
  <c r="L62" i="5"/>
  <c r="E54" i="5"/>
  <c r="I54" i="5" s="1"/>
  <c r="J54" i="5" s="1"/>
  <c r="S54" i="5"/>
  <c r="R54" i="5"/>
  <c r="Q54" i="5"/>
  <c r="P54" i="5"/>
  <c r="O54" i="5"/>
  <c r="N54" i="5"/>
  <c r="M54" i="5"/>
  <c r="K54" i="5"/>
  <c r="L54" i="5"/>
  <c r="E46" i="5"/>
  <c r="I46" i="5" s="1"/>
  <c r="J46" i="5" s="1"/>
  <c r="S46" i="5"/>
  <c r="R46" i="5"/>
  <c r="Q46" i="5"/>
  <c r="P46" i="5"/>
  <c r="O46" i="5"/>
  <c r="N46" i="5"/>
  <c r="M46" i="5"/>
  <c r="L46" i="5"/>
  <c r="K46" i="5"/>
  <c r="E38" i="5"/>
  <c r="I38" i="5" s="1"/>
  <c r="J38" i="5" s="1"/>
  <c r="S38" i="5"/>
  <c r="R38" i="5"/>
  <c r="Q38" i="5"/>
  <c r="P38" i="5"/>
  <c r="O38" i="5"/>
  <c r="N38" i="5"/>
  <c r="M38" i="5"/>
  <c r="L38" i="5"/>
  <c r="K38" i="5"/>
  <c r="E30" i="5"/>
  <c r="I30" i="5" s="1"/>
  <c r="J30" i="5" s="1"/>
  <c r="S30" i="5"/>
  <c r="R30" i="5"/>
  <c r="Q30" i="5"/>
  <c r="P30" i="5"/>
  <c r="O30" i="5"/>
  <c r="N30" i="5"/>
  <c r="M30" i="5"/>
  <c r="L30" i="5"/>
  <c r="K30" i="5"/>
  <c r="E22" i="5"/>
  <c r="I22" i="5" s="1"/>
  <c r="J22" i="5" s="1"/>
  <c r="S22" i="5"/>
  <c r="R22" i="5"/>
  <c r="Q22" i="5"/>
  <c r="P22" i="5"/>
  <c r="O22" i="5"/>
  <c r="N22" i="5"/>
  <c r="M22" i="5"/>
  <c r="L22" i="5"/>
  <c r="K22" i="5"/>
  <c r="E14" i="5"/>
  <c r="I14" i="5" s="1"/>
  <c r="J14" i="5" s="1"/>
  <c r="S14" i="5"/>
  <c r="R14" i="5"/>
  <c r="Q14" i="5"/>
  <c r="P14" i="5"/>
  <c r="O14" i="5"/>
  <c r="N14" i="5"/>
  <c r="M14" i="5"/>
  <c r="L14" i="5"/>
  <c r="K14" i="5"/>
  <c r="K1002" i="5"/>
  <c r="K994" i="5"/>
  <c r="K986" i="5"/>
  <c r="K978" i="5"/>
  <c r="K970" i="5"/>
  <c r="K962" i="5"/>
  <c r="K954" i="5"/>
  <c r="K946" i="5"/>
  <c r="K938" i="5"/>
  <c r="K930" i="5"/>
  <c r="K922" i="5"/>
  <c r="K914" i="5"/>
  <c r="K906" i="5"/>
  <c r="K898" i="5"/>
  <c r="K890" i="5"/>
  <c r="K882" i="5"/>
  <c r="K874" i="5"/>
  <c r="K866" i="5"/>
  <c r="K858" i="5"/>
  <c r="K850" i="5"/>
  <c r="K842" i="5"/>
  <c r="K834" i="5"/>
  <c r="K826" i="5"/>
  <c r="K818" i="5"/>
  <c r="K810" i="5"/>
  <c r="K802" i="5"/>
  <c r="K794" i="5"/>
  <c r="K786" i="5"/>
  <c r="K778" i="5"/>
  <c r="K770" i="5"/>
  <c r="K762" i="5"/>
  <c r="K754" i="5"/>
  <c r="K746" i="5"/>
  <c r="K738" i="5"/>
  <c r="K730" i="5"/>
  <c r="K722" i="5"/>
  <c r="K714" i="5"/>
  <c r="K706" i="5"/>
  <c r="K698" i="5"/>
  <c r="K690" i="5"/>
  <c r="K682" i="5"/>
  <c r="K674" i="5"/>
  <c r="K666" i="5"/>
  <c r="K658" i="5"/>
  <c r="K650" i="5"/>
  <c r="K642" i="5"/>
  <c r="K634" i="5"/>
  <c r="K626" i="5"/>
  <c r="K618" i="5"/>
  <c r="K610" i="5"/>
  <c r="K602" i="5"/>
  <c r="K594" i="5"/>
  <c r="K586" i="5"/>
  <c r="K578" i="5"/>
  <c r="K570" i="5"/>
  <c r="K562" i="5"/>
  <c r="K554" i="5"/>
  <c r="K546" i="5"/>
  <c r="K538" i="5"/>
  <c r="K530" i="5"/>
  <c r="K522" i="5"/>
  <c r="K514" i="5"/>
  <c r="K506" i="5"/>
  <c r="K498" i="5"/>
  <c r="K490" i="5"/>
  <c r="K482" i="5"/>
  <c r="K474" i="5"/>
  <c r="K466" i="5"/>
  <c r="K458" i="5"/>
  <c r="K450" i="5"/>
  <c r="K442" i="5"/>
  <c r="K434" i="5"/>
  <c r="K426" i="5"/>
  <c r="K418" i="5"/>
  <c r="K410" i="5"/>
  <c r="E949" i="5"/>
  <c r="I949" i="5" s="1"/>
  <c r="J949" i="5" s="1"/>
  <c r="S949" i="5"/>
  <c r="R949" i="5"/>
  <c r="Q949" i="5"/>
  <c r="P949" i="5"/>
  <c r="O949" i="5"/>
  <c r="N949" i="5"/>
  <c r="M949" i="5"/>
  <c r="L949" i="5"/>
  <c r="E885" i="5"/>
  <c r="I885" i="5" s="1"/>
  <c r="J885" i="5" s="1"/>
  <c r="S885" i="5"/>
  <c r="R885" i="5"/>
  <c r="Q885" i="5"/>
  <c r="P885" i="5"/>
  <c r="O885" i="5"/>
  <c r="N885" i="5"/>
  <c r="M885" i="5"/>
  <c r="L885" i="5"/>
  <c r="E845" i="5"/>
  <c r="I845" i="5" s="1"/>
  <c r="J845" i="5" s="1"/>
  <c r="S845" i="5"/>
  <c r="R845" i="5"/>
  <c r="Q845" i="5"/>
  <c r="P845" i="5"/>
  <c r="O845" i="5"/>
  <c r="N845" i="5"/>
  <c r="M845" i="5"/>
  <c r="L845" i="5"/>
  <c r="E797" i="5"/>
  <c r="I797" i="5" s="1"/>
  <c r="J797" i="5" s="1"/>
  <c r="S797" i="5"/>
  <c r="R797" i="5"/>
  <c r="Q797" i="5"/>
  <c r="P797" i="5"/>
  <c r="O797" i="5"/>
  <c r="N797" i="5"/>
  <c r="M797" i="5"/>
  <c r="L797" i="5"/>
  <c r="E765" i="5"/>
  <c r="I765" i="5" s="1"/>
  <c r="J765" i="5" s="1"/>
  <c r="S765" i="5"/>
  <c r="R765" i="5"/>
  <c r="Q765" i="5"/>
  <c r="P765" i="5"/>
  <c r="O765" i="5"/>
  <c r="N765" i="5"/>
  <c r="M765" i="5"/>
  <c r="L765" i="5"/>
  <c r="E733" i="5"/>
  <c r="I733" i="5" s="1"/>
  <c r="J733" i="5" s="1"/>
  <c r="S733" i="5"/>
  <c r="R733" i="5"/>
  <c r="Q733" i="5"/>
  <c r="P733" i="5"/>
  <c r="O733" i="5"/>
  <c r="N733" i="5"/>
  <c r="M733" i="5"/>
  <c r="L733" i="5"/>
  <c r="E677" i="5"/>
  <c r="I677" i="5" s="1"/>
  <c r="J677" i="5" s="1"/>
  <c r="S677" i="5"/>
  <c r="R677" i="5"/>
  <c r="Q677" i="5"/>
  <c r="P677" i="5"/>
  <c r="N677" i="5"/>
  <c r="O677" i="5"/>
  <c r="M677" i="5"/>
  <c r="L677" i="5"/>
  <c r="E621" i="5"/>
  <c r="I621" i="5" s="1"/>
  <c r="J621" i="5" s="1"/>
  <c r="S621" i="5"/>
  <c r="R621" i="5"/>
  <c r="Q621" i="5"/>
  <c r="P621" i="5"/>
  <c r="N621" i="5"/>
  <c r="O621" i="5"/>
  <c r="M621" i="5"/>
  <c r="L621" i="5"/>
  <c r="E565" i="5"/>
  <c r="I565" i="5" s="1"/>
  <c r="J565" i="5" s="1"/>
  <c r="S565" i="5"/>
  <c r="R565" i="5"/>
  <c r="Q565" i="5"/>
  <c r="P565" i="5"/>
  <c r="N565" i="5"/>
  <c r="O565" i="5"/>
  <c r="M565" i="5"/>
  <c r="L565" i="5"/>
  <c r="E517" i="5"/>
  <c r="I517" i="5" s="1"/>
  <c r="J517" i="5" s="1"/>
  <c r="S517" i="5"/>
  <c r="R517" i="5"/>
  <c r="Q517" i="5"/>
  <c r="P517" i="5"/>
  <c r="N517" i="5"/>
  <c r="O517" i="5"/>
  <c r="M517" i="5"/>
  <c r="L517" i="5"/>
  <c r="E493" i="5"/>
  <c r="I493" i="5" s="1"/>
  <c r="J493" i="5" s="1"/>
  <c r="S493" i="5"/>
  <c r="R493" i="5"/>
  <c r="Q493" i="5"/>
  <c r="P493" i="5"/>
  <c r="N493" i="5"/>
  <c r="O493" i="5"/>
  <c r="M493" i="5"/>
  <c r="L493" i="5"/>
  <c r="E437" i="5"/>
  <c r="I437" i="5" s="1"/>
  <c r="J437" i="5" s="1"/>
  <c r="S437" i="5"/>
  <c r="R437" i="5"/>
  <c r="Q437" i="5"/>
  <c r="P437" i="5"/>
  <c r="N437" i="5"/>
  <c r="O437" i="5"/>
  <c r="M437" i="5"/>
  <c r="L437" i="5"/>
  <c r="E405" i="5"/>
  <c r="I405" i="5" s="1"/>
  <c r="J405" i="5" s="1"/>
  <c r="S405" i="5"/>
  <c r="R405" i="5"/>
  <c r="Q405" i="5"/>
  <c r="P405" i="5"/>
  <c r="N405" i="5"/>
  <c r="O405" i="5"/>
  <c r="M405" i="5"/>
  <c r="L405" i="5"/>
  <c r="K405" i="5"/>
  <c r="E349" i="5"/>
  <c r="I349" i="5" s="1"/>
  <c r="J349" i="5" s="1"/>
  <c r="S349" i="5"/>
  <c r="R349" i="5"/>
  <c r="Q349" i="5"/>
  <c r="P349" i="5"/>
  <c r="N349" i="5"/>
  <c r="O349" i="5"/>
  <c r="M349" i="5"/>
  <c r="L349" i="5"/>
  <c r="K349" i="5"/>
  <c r="E269" i="5"/>
  <c r="I269" i="5" s="1"/>
  <c r="J269" i="5" s="1"/>
  <c r="S269" i="5"/>
  <c r="R269" i="5"/>
  <c r="Q269" i="5"/>
  <c r="P269" i="5"/>
  <c r="O269" i="5"/>
  <c r="N269" i="5"/>
  <c r="M269" i="5"/>
  <c r="L269" i="5"/>
  <c r="K269" i="5"/>
  <c r="E197" i="5"/>
  <c r="I197" i="5" s="1"/>
  <c r="J197" i="5" s="1"/>
  <c r="S197" i="5"/>
  <c r="R197" i="5"/>
  <c r="Q197" i="5"/>
  <c r="P197" i="5"/>
  <c r="O197" i="5"/>
  <c r="N197" i="5"/>
  <c r="M197" i="5"/>
  <c r="K197" i="5"/>
  <c r="L197" i="5"/>
  <c r="E141" i="5"/>
  <c r="I141" i="5" s="1"/>
  <c r="J141" i="5" s="1"/>
  <c r="S141" i="5"/>
  <c r="R141" i="5"/>
  <c r="Q141" i="5"/>
  <c r="P141" i="5"/>
  <c r="O141" i="5"/>
  <c r="N141" i="5"/>
  <c r="M141" i="5"/>
  <c r="K141" i="5"/>
  <c r="L141" i="5"/>
  <c r="E61" i="5"/>
  <c r="I61" i="5" s="1"/>
  <c r="J61" i="5" s="1"/>
  <c r="S61" i="5"/>
  <c r="R61" i="5"/>
  <c r="Q61" i="5"/>
  <c r="P61" i="5"/>
  <c r="O61" i="5"/>
  <c r="N61" i="5"/>
  <c r="M61" i="5"/>
  <c r="K61" i="5"/>
  <c r="L61" i="5"/>
  <c r="E1004" i="5"/>
  <c r="I1004" i="5" s="1"/>
  <c r="J1004" i="5" s="1"/>
  <c r="S1004" i="5"/>
  <c r="R1004" i="5"/>
  <c r="Q1004" i="5"/>
  <c r="P1004" i="5"/>
  <c r="O1004" i="5"/>
  <c r="N1004" i="5"/>
  <c r="M1004" i="5"/>
  <c r="L1004" i="5"/>
  <c r="E996" i="5"/>
  <c r="I996" i="5" s="1"/>
  <c r="J996" i="5" s="1"/>
  <c r="S996" i="5"/>
  <c r="R996" i="5"/>
  <c r="Q996" i="5"/>
  <c r="P996" i="5"/>
  <c r="O996" i="5"/>
  <c r="N996" i="5"/>
  <c r="M996" i="5"/>
  <c r="L996" i="5"/>
  <c r="E988" i="5"/>
  <c r="I988" i="5" s="1"/>
  <c r="J988" i="5" s="1"/>
  <c r="S988" i="5"/>
  <c r="R988" i="5"/>
  <c r="Q988" i="5"/>
  <c r="P988" i="5"/>
  <c r="O988" i="5"/>
  <c r="N988" i="5"/>
  <c r="M988" i="5"/>
  <c r="L988" i="5"/>
  <c r="E980" i="5"/>
  <c r="I980" i="5" s="1"/>
  <c r="J980" i="5" s="1"/>
  <c r="S980" i="5"/>
  <c r="R980" i="5"/>
  <c r="Q980" i="5"/>
  <c r="P980" i="5"/>
  <c r="O980" i="5"/>
  <c r="N980" i="5"/>
  <c r="M980" i="5"/>
  <c r="L980" i="5"/>
  <c r="E972" i="5"/>
  <c r="I972" i="5" s="1"/>
  <c r="J972" i="5" s="1"/>
  <c r="S972" i="5"/>
  <c r="R972" i="5"/>
  <c r="Q972" i="5"/>
  <c r="P972" i="5"/>
  <c r="O972" i="5"/>
  <c r="N972" i="5"/>
  <c r="M972" i="5"/>
  <c r="L972" i="5"/>
  <c r="E964" i="5"/>
  <c r="I964" i="5" s="1"/>
  <c r="J964" i="5" s="1"/>
  <c r="S964" i="5"/>
  <c r="R964" i="5"/>
  <c r="Q964" i="5"/>
  <c r="P964" i="5"/>
  <c r="O964" i="5"/>
  <c r="N964" i="5"/>
  <c r="M964" i="5"/>
  <c r="L964" i="5"/>
  <c r="E956" i="5"/>
  <c r="I956" i="5" s="1"/>
  <c r="J956" i="5" s="1"/>
  <c r="S956" i="5"/>
  <c r="R956" i="5"/>
  <c r="Q956" i="5"/>
  <c r="P956" i="5"/>
  <c r="O956" i="5"/>
  <c r="N956" i="5"/>
  <c r="M956" i="5"/>
  <c r="L956" i="5"/>
  <c r="E948" i="5"/>
  <c r="I948" i="5" s="1"/>
  <c r="J948" i="5" s="1"/>
  <c r="S948" i="5"/>
  <c r="R948" i="5"/>
  <c r="Q948" i="5"/>
  <c r="P948" i="5"/>
  <c r="O948" i="5"/>
  <c r="N948" i="5"/>
  <c r="M948" i="5"/>
  <c r="L948" i="5"/>
  <c r="E940" i="5"/>
  <c r="I940" i="5" s="1"/>
  <c r="J940" i="5" s="1"/>
  <c r="S940" i="5"/>
  <c r="R940" i="5"/>
  <c r="Q940" i="5"/>
  <c r="P940" i="5"/>
  <c r="O940" i="5"/>
  <c r="N940" i="5"/>
  <c r="M940" i="5"/>
  <c r="L940" i="5"/>
  <c r="E932" i="5"/>
  <c r="I932" i="5" s="1"/>
  <c r="J932" i="5" s="1"/>
  <c r="S932" i="5"/>
  <c r="R932" i="5"/>
  <c r="Q932" i="5"/>
  <c r="P932" i="5"/>
  <c r="O932" i="5"/>
  <c r="N932" i="5"/>
  <c r="M932" i="5"/>
  <c r="L932" i="5"/>
  <c r="E924" i="5"/>
  <c r="I924" i="5" s="1"/>
  <c r="J924" i="5" s="1"/>
  <c r="S924" i="5"/>
  <c r="R924" i="5"/>
  <c r="Q924" i="5"/>
  <c r="P924" i="5"/>
  <c r="O924" i="5"/>
  <c r="N924" i="5"/>
  <c r="M924" i="5"/>
  <c r="L924" i="5"/>
  <c r="E916" i="5"/>
  <c r="I916" i="5" s="1"/>
  <c r="J916" i="5" s="1"/>
  <c r="S916" i="5"/>
  <c r="R916" i="5"/>
  <c r="Q916" i="5"/>
  <c r="P916" i="5"/>
  <c r="O916" i="5"/>
  <c r="N916" i="5"/>
  <c r="M916" i="5"/>
  <c r="L916" i="5"/>
  <c r="E908" i="5"/>
  <c r="I908" i="5" s="1"/>
  <c r="J908" i="5" s="1"/>
  <c r="S908" i="5"/>
  <c r="R908" i="5"/>
  <c r="Q908" i="5"/>
  <c r="P908" i="5"/>
  <c r="O908" i="5"/>
  <c r="N908" i="5"/>
  <c r="M908" i="5"/>
  <c r="L908" i="5"/>
  <c r="E900" i="5"/>
  <c r="I900" i="5" s="1"/>
  <c r="J900" i="5" s="1"/>
  <c r="S900" i="5"/>
  <c r="R900" i="5"/>
  <c r="Q900" i="5"/>
  <c r="P900" i="5"/>
  <c r="O900" i="5"/>
  <c r="N900" i="5"/>
  <c r="M900" i="5"/>
  <c r="L900" i="5"/>
  <c r="E892" i="5"/>
  <c r="I892" i="5" s="1"/>
  <c r="J892" i="5" s="1"/>
  <c r="S892" i="5"/>
  <c r="R892" i="5"/>
  <c r="Q892" i="5"/>
  <c r="P892" i="5"/>
  <c r="O892" i="5"/>
  <c r="N892" i="5"/>
  <c r="M892" i="5"/>
  <c r="L892" i="5"/>
  <c r="E884" i="5"/>
  <c r="I884" i="5" s="1"/>
  <c r="J884" i="5" s="1"/>
  <c r="S884" i="5"/>
  <c r="R884" i="5"/>
  <c r="Q884" i="5"/>
  <c r="P884" i="5"/>
  <c r="O884" i="5"/>
  <c r="N884" i="5"/>
  <c r="M884" i="5"/>
  <c r="L884" i="5"/>
  <c r="E876" i="5"/>
  <c r="I876" i="5" s="1"/>
  <c r="J876" i="5" s="1"/>
  <c r="S876" i="5"/>
  <c r="R876" i="5"/>
  <c r="Q876" i="5"/>
  <c r="P876" i="5"/>
  <c r="O876" i="5"/>
  <c r="N876" i="5"/>
  <c r="M876" i="5"/>
  <c r="L876" i="5"/>
  <c r="E868" i="5"/>
  <c r="I868" i="5" s="1"/>
  <c r="J868" i="5" s="1"/>
  <c r="S868" i="5"/>
  <c r="R868" i="5"/>
  <c r="Q868" i="5"/>
  <c r="P868" i="5"/>
  <c r="O868" i="5"/>
  <c r="N868" i="5"/>
  <c r="M868" i="5"/>
  <c r="L868" i="5"/>
  <c r="E860" i="5"/>
  <c r="I860" i="5" s="1"/>
  <c r="J860" i="5" s="1"/>
  <c r="S860" i="5"/>
  <c r="R860" i="5"/>
  <c r="Q860" i="5"/>
  <c r="P860" i="5"/>
  <c r="O860" i="5"/>
  <c r="N860" i="5"/>
  <c r="M860" i="5"/>
  <c r="L860" i="5"/>
  <c r="E852" i="5"/>
  <c r="I852" i="5" s="1"/>
  <c r="J852" i="5" s="1"/>
  <c r="S852" i="5"/>
  <c r="R852" i="5"/>
  <c r="Q852" i="5"/>
  <c r="P852" i="5"/>
  <c r="O852" i="5"/>
  <c r="N852" i="5"/>
  <c r="M852" i="5"/>
  <c r="L852" i="5"/>
  <c r="E844" i="5"/>
  <c r="I844" i="5" s="1"/>
  <c r="J844" i="5" s="1"/>
  <c r="S844" i="5"/>
  <c r="R844" i="5"/>
  <c r="Q844" i="5"/>
  <c r="P844" i="5"/>
  <c r="O844" i="5"/>
  <c r="N844" i="5"/>
  <c r="M844" i="5"/>
  <c r="L844" i="5"/>
  <c r="E836" i="5"/>
  <c r="I836" i="5" s="1"/>
  <c r="J836" i="5" s="1"/>
  <c r="S836" i="5"/>
  <c r="R836" i="5"/>
  <c r="Q836" i="5"/>
  <c r="P836" i="5"/>
  <c r="O836" i="5"/>
  <c r="N836" i="5"/>
  <c r="M836" i="5"/>
  <c r="L836" i="5"/>
  <c r="E828" i="5"/>
  <c r="I828" i="5" s="1"/>
  <c r="J828" i="5" s="1"/>
  <c r="S828" i="5"/>
  <c r="R828" i="5"/>
  <c r="Q828" i="5"/>
  <c r="P828" i="5"/>
  <c r="O828" i="5"/>
  <c r="N828" i="5"/>
  <c r="M828" i="5"/>
  <c r="L828" i="5"/>
  <c r="E820" i="5"/>
  <c r="I820" i="5" s="1"/>
  <c r="J820" i="5" s="1"/>
  <c r="S820" i="5"/>
  <c r="R820" i="5"/>
  <c r="Q820" i="5"/>
  <c r="P820" i="5"/>
  <c r="O820" i="5"/>
  <c r="N820" i="5"/>
  <c r="M820" i="5"/>
  <c r="L820" i="5"/>
  <c r="E812" i="5"/>
  <c r="I812" i="5" s="1"/>
  <c r="J812" i="5" s="1"/>
  <c r="S812" i="5"/>
  <c r="R812" i="5"/>
  <c r="Q812" i="5"/>
  <c r="P812" i="5"/>
  <c r="O812" i="5"/>
  <c r="N812" i="5"/>
  <c r="M812" i="5"/>
  <c r="L812" i="5"/>
  <c r="E804" i="5"/>
  <c r="I804" i="5" s="1"/>
  <c r="J804" i="5" s="1"/>
  <c r="S804" i="5"/>
  <c r="R804" i="5"/>
  <c r="Q804" i="5"/>
  <c r="P804" i="5"/>
  <c r="O804" i="5"/>
  <c r="N804" i="5"/>
  <c r="M804" i="5"/>
  <c r="L804" i="5"/>
  <c r="E796" i="5"/>
  <c r="I796" i="5" s="1"/>
  <c r="J796" i="5" s="1"/>
  <c r="S796" i="5"/>
  <c r="R796" i="5"/>
  <c r="Q796" i="5"/>
  <c r="P796" i="5"/>
  <c r="O796" i="5"/>
  <c r="N796" i="5"/>
  <c r="M796" i="5"/>
  <c r="L796" i="5"/>
  <c r="E788" i="5"/>
  <c r="I788" i="5" s="1"/>
  <c r="J788" i="5" s="1"/>
  <c r="S788" i="5"/>
  <c r="R788" i="5"/>
  <c r="Q788" i="5"/>
  <c r="P788" i="5"/>
  <c r="O788" i="5"/>
  <c r="N788" i="5"/>
  <c r="M788" i="5"/>
  <c r="L788" i="5"/>
  <c r="E780" i="5"/>
  <c r="I780" i="5" s="1"/>
  <c r="J780" i="5" s="1"/>
  <c r="S780" i="5"/>
  <c r="R780" i="5"/>
  <c r="Q780" i="5"/>
  <c r="P780" i="5"/>
  <c r="O780" i="5"/>
  <c r="N780" i="5"/>
  <c r="M780" i="5"/>
  <c r="L780" i="5"/>
  <c r="E772" i="5"/>
  <c r="I772" i="5" s="1"/>
  <c r="J772" i="5" s="1"/>
  <c r="S772" i="5"/>
  <c r="R772" i="5"/>
  <c r="Q772" i="5"/>
  <c r="P772" i="5"/>
  <c r="O772" i="5"/>
  <c r="N772" i="5"/>
  <c r="M772" i="5"/>
  <c r="L772" i="5"/>
  <c r="E764" i="5"/>
  <c r="I764" i="5" s="1"/>
  <c r="J764" i="5" s="1"/>
  <c r="S764" i="5"/>
  <c r="R764" i="5"/>
  <c r="Q764" i="5"/>
  <c r="P764" i="5"/>
  <c r="O764" i="5"/>
  <c r="N764" i="5"/>
  <c r="M764" i="5"/>
  <c r="L764" i="5"/>
  <c r="E756" i="5"/>
  <c r="I756" i="5" s="1"/>
  <c r="J756" i="5" s="1"/>
  <c r="S756" i="5"/>
  <c r="R756" i="5"/>
  <c r="Q756" i="5"/>
  <c r="P756" i="5"/>
  <c r="O756" i="5"/>
  <c r="N756" i="5"/>
  <c r="M756" i="5"/>
  <c r="L756" i="5"/>
  <c r="E748" i="5"/>
  <c r="I748" i="5" s="1"/>
  <c r="J748" i="5" s="1"/>
  <c r="S748" i="5"/>
  <c r="R748" i="5"/>
  <c r="Q748" i="5"/>
  <c r="P748" i="5"/>
  <c r="O748" i="5"/>
  <c r="N748" i="5"/>
  <c r="M748" i="5"/>
  <c r="L748" i="5"/>
  <c r="E740" i="5"/>
  <c r="I740" i="5" s="1"/>
  <c r="J740" i="5" s="1"/>
  <c r="S740" i="5"/>
  <c r="R740" i="5"/>
  <c r="Q740" i="5"/>
  <c r="P740" i="5"/>
  <c r="O740" i="5"/>
  <c r="N740" i="5"/>
  <c r="M740" i="5"/>
  <c r="L740" i="5"/>
  <c r="E732" i="5"/>
  <c r="I732" i="5" s="1"/>
  <c r="J732" i="5" s="1"/>
  <c r="S732" i="5"/>
  <c r="R732" i="5"/>
  <c r="Q732" i="5"/>
  <c r="P732" i="5"/>
  <c r="O732" i="5"/>
  <c r="N732" i="5"/>
  <c r="M732" i="5"/>
  <c r="L732" i="5"/>
  <c r="E724" i="5"/>
  <c r="I724" i="5" s="1"/>
  <c r="J724" i="5" s="1"/>
  <c r="S724" i="5"/>
  <c r="R724" i="5"/>
  <c r="Q724" i="5"/>
  <c r="P724" i="5"/>
  <c r="O724" i="5"/>
  <c r="N724" i="5"/>
  <c r="M724" i="5"/>
  <c r="L724" i="5"/>
  <c r="E716" i="5"/>
  <c r="I716" i="5" s="1"/>
  <c r="J716" i="5" s="1"/>
  <c r="S716" i="5"/>
  <c r="R716" i="5"/>
  <c r="Q716" i="5"/>
  <c r="P716" i="5"/>
  <c r="O716" i="5"/>
  <c r="N716" i="5"/>
  <c r="M716" i="5"/>
  <c r="L716" i="5"/>
  <c r="E708" i="5"/>
  <c r="I708" i="5" s="1"/>
  <c r="J708" i="5" s="1"/>
  <c r="S708" i="5"/>
  <c r="R708" i="5"/>
  <c r="Q708" i="5"/>
  <c r="P708" i="5"/>
  <c r="O708" i="5"/>
  <c r="N708" i="5"/>
  <c r="M708" i="5"/>
  <c r="L708" i="5"/>
  <c r="E700" i="5"/>
  <c r="I700" i="5" s="1"/>
  <c r="J700" i="5" s="1"/>
  <c r="S700" i="5"/>
  <c r="R700" i="5"/>
  <c r="Q700" i="5"/>
  <c r="P700" i="5"/>
  <c r="O700" i="5"/>
  <c r="N700" i="5"/>
  <c r="M700" i="5"/>
  <c r="L700" i="5"/>
  <c r="E692" i="5"/>
  <c r="I692" i="5" s="1"/>
  <c r="J692" i="5" s="1"/>
  <c r="S692" i="5"/>
  <c r="R692" i="5"/>
  <c r="Q692" i="5"/>
  <c r="P692" i="5"/>
  <c r="O692" i="5"/>
  <c r="N692" i="5"/>
  <c r="M692" i="5"/>
  <c r="L692" i="5"/>
  <c r="E684" i="5"/>
  <c r="I684" i="5" s="1"/>
  <c r="J684" i="5" s="1"/>
  <c r="S684" i="5"/>
  <c r="R684" i="5"/>
  <c r="Q684" i="5"/>
  <c r="P684" i="5"/>
  <c r="N684" i="5"/>
  <c r="O684" i="5"/>
  <c r="M684" i="5"/>
  <c r="L684" i="5"/>
  <c r="E676" i="5"/>
  <c r="I676" i="5" s="1"/>
  <c r="J676" i="5" s="1"/>
  <c r="S676" i="5"/>
  <c r="R676" i="5"/>
  <c r="Q676" i="5"/>
  <c r="P676" i="5"/>
  <c r="N676" i="5"/>
  <c r="O676" i="5"/>
  <c r="M676" i="5"/>
  <c r="L676" i="5"/>
  <c r="E668" i="5"/>
  <c r="I668" i="5" s="1"/>
  <c r="J668" i="5" s="1"/>
  <c r="S668" i="5"/>
  <c r="R668" i="5"/>
  <c r="Q668" i="5"/>
  <c r="P668" i="5"/>
  <c r="N668" i="5"/>
  <c r="O668" i="5"/>
  <c r="M668" i="5"/>
  <c r="L668" i="5"/>
  <c r="E660" i="5"/>
  <c r="I660" i="5" s="1"/>
  <c r="J660" i="5" s="1"/>
  <c r="S660" i="5"/>
  <c r="R660" i="5"/>
  <c r="Q660" i="5"/>
  <c r="P660" i="5"/>
  <c r="N660" i="5"/>
  <c r="O660" i="5"/>
  <c r="M660" i="5"/>
  <c r="L660" i="5"/>
  <c r="E652" i="5"/>
  <c r="I652" i="5" s="1"/>
  <c r="J652" i="5" s="1"/>
  <c r="S652" i="5"/>
  <c r="R652" i="5"/>
  <c r="Q652" i="5"/>
  <c r="P652" i="5"/>
  <c r="N652" i="5"/>
  <c r="O652" i="5"/>
  <c r="M652" i="5"/>
  <c r="L652" i="5"/>
  <c r="E644" i="5"/>
  <c r="I644" i="5" s="1"/>
  <c r="J644" i="5" s="1"/>
  <c r="S644" i="5"/>
  <c r="R644" i="5"/>
  <c r="Q644" i="5"/>
  <c r="P644" i="5"/>
  <c r="N644" i="5"/>
  <c r="O644" i="5"/>
  <c r="M644" i="5"/>
  <c r="L644" i="5"/>
  <c r="E636" i="5"/>
  <c r="I636" i="5" s="1"/>
  <c r="J636" i="5" s="1"/>
  <c r="S636" i="5"/>
  <c r="R636" i="5"/>
  <c r="Q636" i="5"/>
  <c r="P636" i="5"/>
  <c r="N636" i="5"/>
  <c r="O636" i="5"/>
  <c r="M636" i="5"/>
  <c r="L636" i="5"/>
  <c r="E628" i="5"/>
  <c r="I628" i="5" s="1"/>
  <c r="J628" i="5" s="1"/>
  <c r="S628" i="5"/>
  <c r="R628" i="5"/>
  <c r="Q628" i="5"/>
  <c r="P628" i="5"/>
  <c r="N628" i="5"/>
  <c r="O628" i="5"/>
  <c r="M628" i="5"/>
  <c r="L628" i="5"/>
  <c r="E620" i="5"/>
  <c r="I620" i="5" s="1"/>
  <c r="J620" i="5" s="1"/>
  <c r="S620" i="5"/>
  <c r="R620" i="5"/>
  <c r="Q620" i="5"/>
  <c r="P620" i="5"/>
  <c r="N620" i="5"/>
  <c r="O620" i="5"/>
  <c r="M620" i="5"/>
  <c r="L620" i="5"/>
  <c r="E612" i="5"/>
  <c r="I612" i="5" s="1"/>
  <c r="J612" i="5" s="1"/>
  <c r="S612" i="5"/>
  <c r="R612" i="5"/>
  <c r="Q612" i="5"/>
  <c r="P612" i="5"/>
  <c r="N612" i="5"/>
  <c r="O612" i="5"/>
  <c r="M612" i="5"/>
  <c r="L612" i="5"/>
  <c r="E604" i="5"/>
  <c r="I604" i="5" s="1"/>
  <c r="J604" i="5" s="1"/>
  <c r="S604" i="5"/>
  <c r="R604" i="5"/>
  <c r="Q604" i="5"/>
  <c r="P604" i="5"/>
  <c r="N604" i="5"/>
  <c r="O604" i="5"/>
  <c r="M604" i="5"/>
  <c r="L604" i="5"/>
  <c r="E596" i="5"/>
  <c r="I596" i="5" s="1"/>
  <c r="J596" i="5" s="1"/>
  <c r="S596" i="5"/>
  <c r="R596" i="5"/>
  <c r="Q596" i="5"/>
  <c r="P596" i="5"/>
  <c r="N596" i="5"/>
  <c r="O596" i="5"/>
  <c r="M596" i="5"/>
  <c r="L596" i="5"/>
  <c r="E588" i="5"/>
  <c r="I588" i="5" s="1"/>
  <c r="J588" i="5" s="1"/>
  <c r="S588" i="5"/>
  <c r="R588" i="5"/>
  <c r="Q588" i="5"/>
  <c r="P588" i="5"/>
  <c r="N588" i="5"/>
  <c r="O588" i="5"/>
  <c r="M588" i="5"/>
  <c r="L588" i="5"/>
  <c r="E580" i="5"/>
  <c r="I580" i="5" s="1"/>
  <c r="J580" i="5" s="1"/>
  <c r="S580" i="5"/>
  <c r="R580" i="5"/>
  <c r="Q580" i="5"/>
  <c r="P580" i="5"/>
  <c r="N580" i="5"/>
  <c r="O580" i="5"/>
  <c r="M580" i="5"/>
  <c r="L580" i="5"/>
  <c r="E572" i="5"/>
  <c r="I572" i="5" s="1"/>
  <c r="J572" i="5" s="1"/>
  <c r="S572" i="5"/>
  <c r="R572" i="5"/>
  <c r="Q572" i="5"/>
  <c r="P572" i="5"/>
  <c r="N572" i="5"/>
  <c r="O572" i="5"/>
  <c r="M572" i="5"/>
  <c r="L572" i="5"/>
  <c r="E564" i="5"/>
  <c r="I564" i="5" s="1"/>
  <c r="J564" i="5" s="1"/>
  <c r="S564" i="5"/>
  <c r="R564" i="5"/>
  <c r="Q564" i="5"/>
  <c r="P564" i="5"/>
  <c r="N564" i="5"/>
  <c r="O564" i="5"/>
  <c r="M564" i="5"/>
  <c r="L564" i="5"/>
  <c r="E556" i="5"/>
  <c r="I556" i="5" s="1"/>
  <c r="J556" i="5" s="1"/>
  <c r="S556" i="5"/>
  <c r="R556" i="5"/>
  <c r="Q556" i="5"/>
  <c r="P556" i="5"/>
  <c r="N556" i="5"/>
  <c r="O556" i="5"/>
  <c r="M556" i="5"/>
  <c r="L556" i="5"/>
  <c r="E548" i="5"/>
  <c r="I548" i="5" s="1"/>
  <c r="J548" i="5" s="1"/>
  <c r="S548" i="5"/>
  <c r="R548" i="5"/>
  <c r="Q548" i="5"/>
  <c r="P548" i="5"/>
  <c r="N548" i="5"/>
  <c r="O548" i="5"/>
  <c r="M548" i="5"/>
  <c r="L548" i="5"/>
  <c r="E540" i="5"/>
  <c r="I540" i="5" s="1"/>
  <c r="J540" i="5" s="1"/>
  <c r="S540" i="5"/>
  <c r="R540" i="5"/>
  <c r="Q540" i="5"/>
  <c r="P540" i="5"/>
  <c r="N540" i="5"/>
  <c r="O540" i="5"/>
  <c r="M540" i="5"/>
  <c r="L540" i="5"/>
  <c r="E532" i="5"/>
  <c r="I532" i="5" s="1"/>
  <c r="J532" i="5" s="1"/>
  <c r="S532" i="5"/>
  <c r="R532" i="5"/>
  <c r="Q532" i="5"/>
  <c r="P532" i="5"/>
  <c r="N532" i="5"/>
  <c r="O532" i="5"/>
  <c r="M532" i="5"/>
  <c r="L532" i="5"/>
  <c r="E524" i="5"/>
  <c r="I524" i="5" s="1"/>
  <c r="J524" i="5" s="1"/>
  <c r="S524" i="5"/>
  <c r="R524" i="5"/>
  <c r="Q524" i="5"/>
  <c r="P524" i="5"/>
  <c r="N524" i="5"/>
  <c r="O524" i="5"/>
  <c r="M524" i="5"/>
  <c r="L524" i="5"/>
  <c r="E516" i="5"/>
  <c r="I516" i="5" s="1"/>
  <c r="J516" i="5" s="1"/>
  <c r="S516" i="5"/>
  <c r="R516" i="5"/>
  <c r="Q516" i="5"/>
  <c r="P516" i="5"/>
  <c r="N516" i="5"/>
  <c r="O516" i="5"/>
  <c r="M516" i="5"/>
  <c r="L516" i="5"/>
  <c r="E508" i="5"/>
  <c r="I508" i="5" s="1"/>
  <c r="J508" i="5" s="1"/>
  <c r="S508" i="5"/>
  <c r="R508" i="5"/>
  <c r="Q508" i="5"/>
  <c r="P508" i="5"/>
  <c r="N508" i="5"/>
  <c r="O508" i="5"/>
  <c r="M508" i="5"/>
  <c r="L508" i="5"/>
  <c r="E500" i="5"/>
  <c r="I500" i="5" s="1"/>
  <c r="J500" i="5" s="1"/>
  <c r="S500" i="5"/>
  <c r="R500" i="5"/>
  <c r="Q500" i="5"/>
  <c r="P500" i="5"/>
  <c r="N500" i="5"/>
  <c r="O500" i="5"/>
  <c r="M500" i="5"/>
  <c r="L500" i="5"/>
  <c r="E492" i="5"/>
  <c r="I492" i="5" s="1"/>
  <c r="J492" i="5" s="1"/>
  <c r="S492" i="5"/>
  <c r="R492" i="5"/>
  <c r="Q492" i="5"/>
  <c r="P492" i="5"/>
  <c r="N492" i="5"/>
  <c r="O492" i="5"/>
  <c r="M492" i="5"/>
  <c r="L492" i="5"/>
  <c r="E484" i="5"/>
  <c r="I484" i="5" s="1"/>
  <c r="J484" i="5" s="1"/>
  <c r="S484" i="5"/>
  <c r="R484" i="5"/>
  <c r="Q484" i="5"/>
  <c r="P484" i="5"/>
  <c r="N484" i="5"/>
  <c r="O484" i="5"/>
  <c r="M484" i="5"/>
  <c r="L484" i="5"/>
  <c r="E476" i="5"/>
  <c r="I476" i="5" s="1"/>
  <c r="J476" i="5" s="1"/>
  <c r="S476" i="5"/>
  <c r="R476" i="5"/>
  <c r="Q476" i="5"/>
  <c r="P476" i="5"/>
  <c r="N476" i="5"/>
  <c r="O476" i="5"/>
  <c r="M476" i="5"/>
  <c r="L476" i="5"/>
  <c r="E468" i="5"/>
  <c r="I468" i="5" s="1"/>
  <c r="J468" i="5" s="1"/>
  <c r="S468" i="5"/>
  <c r="R468" i="5"/>
  <c r="Q468" i="5"/>
  <c r="P468" i="5"/>
  <c r="N468" i="5"/>
  <c r="O468" i="5"/>
  <c r="M468" i="5"/>
  <c r="L468" i="5"/>
  <c r="E460" i="5"/>
  <c r="I460" i="5" s="1"/>
  <c r="J460" i="5" s="1"/>
  <c r="S460" i="5"/>
  <c r="R460" i="5"/>
  <c r="Q460" i="5"/>
  <c r="P460" i="5"/>
  <c r="N460" i="5"/>
  <c r="O460" i="5"/>
  <c r="M460" i="5"/>
  <c r="L460" i="5"/>
  <c r="E452" i="5"/>
  <c r="I452" i="5" s="1"/>
  <c r="J452" i="5" s="1"/>
  <c r="S452" i="5"/>
  <c r="R452" i="5"/>
  <c r="Q452" i="5"/>
  <c r="P452" i="5"/>
  <c r="N452" i="5"/>
  <c r="O452" i="5"/>
  <c r="M452" i="5"/>
  <c r="L452" i="5"/>
  <c r="E444" i="5"/>
  <c r="I444" i="5" s="1"/>
  <c r="J444" i="5" s="1"/>
  <c r="S444" i="5"/>
  <c r="R444" i="5"/>
  <c r="Q444" i="5"/>
  <c r="P444" i="5"/>
  <c r="N444" i="5"/>
  <c r="O444" i="5"/>
  <c r="M444" i="5"/>
  <c r="L444" i="5"/>
  <c r="E436" i="5"/>
  <c r="I436" i="5" s="1"/>
  <c r="J436" i="5" s="1"/>
  <c r="S436" i="5"/>
  <c r="R436" i="5"/>
  <c r="Q436" i="5"/>
  <c r="P436" i="5"/>
  <c r="N436" i="5"/>
  <c r="O436" i="5"/>
  <c r="M436" i="5"/>
  <c r="L436" i="5"/>
  <c r="E428" i="5"/>
  <c r="I428" i="5" s="1"/>
  <c r="J428" i="5" s="1"/>
  <c r="S428" i="5"/>
  <c r="R428" i="5"/>
  <c r="Q428" i="5"/>
  <c r="P428" i="5"/>
  <c r="N428" i="5"/>
  <c r="O428" i="5"/>
  <c r="M428" i="5"/>
  <c r="L428" i="5"/>
  <c r="E420" i="5"/>
  <c r="I420" i="5" s="1"/>
  <c r="J420" i="5" s="1"/>
  <c r="S420" i="5"/>
  <c r="R420" i="5"/>
  <c r="Q420" i="5"/>
  <c r="P420" i="5"/>
  <c r="N420" i="5"/>
  <c r="O420" i="5"/>
  <c r="M420" i="5"/>
  <c r="L420" i="5"/>
  <c r="E412" i="5"/>
  <c r="I412" i="5" s="1"/>
  <c r="J412" i="5" s="1"/>
  <c r="S412" i="5"/>
  <c r="R412" i="5"/>
  <c r="Q412" i="5"/>
  <c r="P412" i="5"/>
  <c r="N412" i="5"/>
  <c r="O412" i="5"/>
  <c r="M412" i="5"/>
  <c r="L412" i="5"/>
  <c r="E404" i="5"/>
  <c r="I404" i="5" s="1"/>
  <c r="J404" i="5" s="1"/>
  <c r="S404" i="5"/>
  <c r="R404" i="5"/>
  <c r="Q404" i="5"/>
  <c r="P404" i="5"/>
  <c r="N404" i="5"/>
  <c r="O404" i="5"/>
  <c r="M404" i="5"/>
  <c r="L404" i="5"/>
  <c r="K404" i="5"/>
  <c r="E396" i="5"/>
  <c r="I396" i="5" s="1"/>
  <c r="J396" i="5" s="1"/>
  <c r="S396" i="5"/>
  <c r="R396" i="5"/>
  <c r="Q396" i="5"/>
  <c r="P396" i="5"/>
  <c r="N396" i="5"/>
  <c r="O396" i="5"/>
  <c r="M396" i="5"/>
  <c r="L396" i="5"/>
  <c r="K396" i="5"/>
  <c r="E388" i="5"/>
  <c r="I388" i="5" s="1"/>
  <c r="J388" i="5" s="1"/>
  <c r="S388" i="5"/>
  <c r="R388" i="5"/>
  <c r="Q388" i="5"/>
  <c r="P388" i="5"/>
  <c r="N388" i="5"/>
  <c r="O388" i="5"/>
  <c r="M388" i="5"/>
  <c r="L388" i="5"/>
  <c r="K388" i="5"/>
  <c r="E380" i="5"/>
  <c r="I380" i="5" s="1"/>
  <c r="J380" i="5" s="1"/>
  <c r="S380" i="5"/>
  <c r="R380" i="5"/>
  <c r="Q380" i="5"/>
  <c r="P380" i="5"/>
  <c r="N380" i="5"/>
  <c r="O380" i="5"/>
  <c r="M380" i="5"/>
  <c r="L380" i="5"/>
  <c r="K380" i="5"/>
  <c r="E372" i="5"/>
  <c r="I372" i="5" s="1"/>
  <c r="J372" i="5" s="1"/>
  <c r="S372" i="5"/>
  <c r="R372" i="5"/>
  <c r="Q372" i="5"/>
  <c r="P372" i="5"/>
  <c r="N372" i="5"/>
  <c r="O372" i="5"/>
  <c r="M372" i="5"/>
  <c r="L372" i="5"/>
  <c r="K372" i="5"/>
  <c r="E364" i="5"/>
  <c r="I364" i="5" s="1"/>
  <c r="J364" i="5" s="1"/>
  <c r="S364" i="5"/>
  <c r="R364" i="5"/>
  <c r="Q364" i="5"/>
  <c r="P364" i="5"/>
  <c r="N364" i="5"/>
  <c r="O364" i="5"/>
  <c r="M364" i="5"/>
  <c r="L364" i="5"/>
  <c r="K364" i="5"/>
  <c r="E356" i="5"/>
  <c r="I356" i="5" s="1"/>
  <c r="J356" i="5" s="1"/>
  <c r="S356" i="5"/>
  <c r="R356" i="5"/>
  <c r="Q356" i="5"/>
  <c r="P356" i="5"/>
  <c r="N356" i="5"/>
  <c r="O356" i="5"/>
  <c r="M356" i="5"/>
  <c r="L356" i="5"/>
  <c r="K356" i="5"/>
  <c r="E348" i="5"/>
  <c r="I348" i="5" s="1"/>
  <c r="J348" i="5" s="1"/>
  <c r="S348" i="5"/>
  <c r="R348" i="5"/>
  <c r="Q348" i="5"/>
  <c r="P348" i="5"/>
  <c r="N348" i="5"/>
  <c r="O348" i="5"/>
  <c r="M348" i="5"/>
  <c r="L348" i="5"/>
  <c r="K348" i="5"/>
  <c r="E340" i="5"/>
  <c r="I340" i="5" s="1"/>
  <c r="J340" i="5" s="1"/>
  <c r="S340" i="5"/>
  <c r="R340" i="5"/>
  <c r="Q340" i="5"/>
  <c r="P340" i="5"/>
  <c r="N340" i="5"/>
  <c r="O340" i="5"/>
  <c r="M340" i="5"/>
  <c r="L340" i="5"/>
  <c r="K340" i="5"/>
  <c r="E332" i="5"/>
  <c r="I332" i="5" s="1"/>
  <c r="J332" i="5" s="1"/>
  <c r="S332" i="5"/>
  <c r="R332" i="5"/>
  <c r="Q332" i="5"/>
  <c r="P332" i="5"/>
  <c r="O332" i="5"/>
  <c r="N332" i="5"/>
  <c r="M332" i="5"/>
  <c r="L332" i="5"/>
  <c r="K332" i="5"/>
  <c r="E324" i="5"/>
  <c r="I324" i="5" s="1"/>
  <c r="J324" i="5" s="1"/>
  <c r="S324" i="5"/>
  <c r="R324" i="5"/>
  <c r="Q324" i="5"/>
  <c r="P324" i="5"/>
  <c r="O324" i="5"/>
  <c r="N324" i="5"/>
  <c r="M324" i="5"/>
  <c r="L324" i="5"/>
  <c r="K324" i="5"/>
  <c r="E316" i="5"/>
  <c r="I316" i="5" s="1"/>
  <c r="J316" i="5" s="1"/>
  <c r="S316" i="5"/>
  <c r="R316" i="5"/>
  <c r="Q316" i="5"/>
  <c r="P316" i="5"/>
  <c r="O316" i="5"/>
  <c r="N316" i="5"/>
  <c r="M316" i="5"/>
  <c r="L316" i="5"/>
  <c r="K316" i="5"/>
  <c r="E308" i="5"/>
  <c r="I308" i="5" s="1"/>
  <c r="J308" i="5" s="1"/>
  <c r="S308" i="5"/>
  <c r="R308" i="5"/>
  <c r="Q308" i="5"/>
  <c r="P308" i="5"/>
  <c r="O308" i="5"/>
  <c r="N308" i="5"/>
  <c r="M308" i="5"/>
  <c r="L308" i="5"/>
  <c r="K308" i="5"/>
  <c r="E300" i="5"/>
  <c r="I300" i="5" s="1"/>
  <c r="J300" i="5" s="1"/>
  <c r="S300" i="5"/>
  <c r="R300" i="5"/>
  <c r="Q300" i="5"/>
  <c r="P300" i="5"/>
  <c r="O300" i="5"/>
  <c r="N300" i="5"/>
  <c r="M300" i="5"/>
  <c r="L300" i="5"/>
  <c r="K300" i="5"/>
  <c r="E292" i="5"/>
  <c r="I292" i="5" s="1"/>
  <c r="J292" i="5" s="1"/>
  <c r="S292" i="5"/>
  <c r="R292" i="5"/>
  <c r="Q292" i="5"/>
  <c r="P292" i="5"/>
  <c r="O292" i="5"/>
  <c r="N292" i="5"/>
  <c r="M292" i="5"/>
  <c r="L292" i="5"/>
  <c r="K292" i="5"/>
  <c r="E284" i="5"/>
  <c r="I284" i="5" s="1"/>
  <c r="J284" i="5" s="1"/>
  <c r="S284" i="5"/>
  <c r="R284" i="5"/>
  <c r="Q284" i="5"/>
  <c r="P284" i="5"/>
  <c r="O284" i="5"/>
  <c r="N284" i="5"/>
  <c r="M284" i="5"/>
  <c r="L284" i="5"/>
  <c r="K284" i="5"/>
  <c r="E276" i="5"/>
  <c r="I276" i="5" s="1"/>
  <c r="J276" i="5" s="1"/>
  <c r="S276" i="5"/>
  <c r="R276" i="5"/>
  <c r="Q276" i="5"/>
  <c r="P276" i="5"/>
  <c r="O276" i="5"/>
  <c r="N276" i="5"/>
  <c r="M276" i="5"/>
  <c r="L276" i="5"/>
  <c r="K276" i="5"/>
  <c r="E268" i="5"/>
  <c r="I268" i="5" s="1"/>
  <c r="J268" i="5" s="1"/>
  <c r="S268" i="5"/>
  <c r="R268" i="5"/>
  <c r="Q268" i="5"/>
  <c r="P268" i="5"/>
  <c r="O268" i="5"/>
  <c r="N268" i="5"/>
  <c r="M268" i="5"/>
  <c r="L268" i="5"/>
  <c r="K268" i="5"/>
  <c r="E260" i="5"/>
  <c r="I260" i="5" s="1"/>
  <c r="J260" i="5" s="1"/>
  <c r="S260" i="5"/>
  <c r="R260" i="5"/>
  <c r="Q260" i="5"/>
  <c r="P260" i="5"/>
  <c r="O260" i="5"/>
  <c r="N260" i="5"/>
  <c r="M260" i="5"/>
  <c r="L260" i="5"/>
  <c r="K260" i="5"/>
  <c r="E252" i="5"/>
  <c r="I252" i="5" s="1"/>
  <c r="J252" i="5" s="1"/>
  <c r="S252" i="5"/>
  <c r="R252" i="5"/>
  <c r="Q252" i="5"/>
  <c r="P252" i="5"/>
  <c r="O252" i="5"/>
  <c r="N252" i="5"/>
  <c r="M252" i="5"/>
  <c r="L252" i="5"/>
  <c r="K252" i="5"/>
  <c r="E244" i="5"/>
  <c r="I244" i="5" s="1"/>
  <c r="J244" i="5" s="1"/>
  <c r="S244" i="5"/>
  <c r="R244" i="5"/>
  <c r="Q244" i="5"/>
  <c r="P244" i="5"/>
  <c r="O244" i="5"/>
  <c r="N244" i="5"/>
  <c r="M244" i="5"/>
  <c r="L244" i="5"/>
  <c r="K244" i="5"/>
  <c r="E236" i="5"/>
  <c r="I236" i="5" s="1"/>
  <c r="J236" i="5" s="1"/>
  <c r="S236" i="5"/>
  <c r="R236" i="5"/>
  <c r="Q236" i="5"/>
  <c r="P236" i="5"/>
  <c r="O236" i="5"/>
  <c r="N236" i="5"/>
  <c r="M236" i="5"/>
  <c r="L236" i="5"/>
  <c r="K236" i="5"/>
  <c r="E228" i="5"/>
  <c r="I228" i="5" s="1"/>
  <c r="J228" i="5" s="1"/>
  <c r="S228" i="5"/>
  <c r="R228" i="5"/>
  <c r="Q228" i="5"/>
  <c r="P228" i="5"/>
  <c r="O228" i="5"/>
  <c r="N228" i="5"/>
  <c r="M228" i="5"/>
  <c r="L228" i="5"/>
  <c r="K228" i="5"/>
  <c r="E220" i="5"/>
  <c r="I220" i="5" s="1"/>
  <c r="J220" i="5" s="1"/>
  <c r="S220" i="5"/>
  <c r="R220" i="5"/>
  <c r="Q220" i="5"/>
  <c r="P220" i="5"/>
  <c r="O220" i="5"/>
  <c r="N220" i="5"/>
  <c r="M220" i="5"/>
  <c r="L220" i="5"/>
  <c r="K220" i="5"/>
  <c r="E212" i="5"/>
  <c r="I212" i="5" s="1"/>
  <c r="J212" i="5" s="1"/>
  <c r="S212" i="5"/>
  <c r="R212" i="5"/>
  <c r="Q212" i="5"/>
  <c r="P212" i="5"/>
  <c r="O212" i="5"/>
  <c r="N212" i="5"/>
  <c r="M212" i="5"/>
  <c r="L212" i="5"/>
  <c r="K212" i="5"/>
  <c r="E204" i="5"/>
  <c r="I204" i="5" s="1"/>
  <c r="J204" i="5" s="1"/>
  <c r="S204" i="5"/>
  <c r="R204" i="5"/>
  <c r="Q204" i="5"/>
  <c r="P204" i="5"/>
  <c r="O204" i="5"/>
  <c r="N204" i="5"/>
  <c r="M204" i="5"/>
  <c r="L204" i="5"/>
  <c r="K204" i="5"/>
  <c r="E196" i="5"/>
  <c r="I196" i="5" s="1"/>
  <c r="J196" i="5" s="1"/>
  <c r="S196" i="5"/>
  <c r="R196" i="5"/>
  <c r="Q196" i="5"/>
  <c r="P196" i="5"/>
  <c r="O196" i="5"/>
  <c r="N196" i="5"/>
  <c r="M196" i="5"/>
  <c r="L196" i="5"/>
  <c r="K196" i="5"/>
  <c r="E188" i="5"/>
  <c r="I188" i="5" s="1"/>
  <c r="J188" i="5" s="1"/>
  <c r="S188" i="5"/>
  <c r="R188" i="5"/>
  <c r="Q188" i="5"/>
  <c r="P188" i="5"/>
  <c r="O188" i="5"/>
  <c r="N188" i="5"/>
  <c r="M188" i="5"/>
  <c r="L188" i="5"/>
  <c r="K188" i="5"/>
  <c r="E180" i="5"/>
  <c r="I180" i="5" s="1"/>
  <c r="J180" i="5" s="1"/>
  <c r="S180" i="5"/>
  <c r="R180" i="5"/>
  <c r="Q180" i="5"/>
  <c r="P180" i="5"/>
  <c r="O180" i="5"/>
  <c r="N180" i="5"/>
  <c r="M180" i="5"/>
  <c r="L180" i="5"/>
  <c r="K180" i="5"/>
  <c r="E172" i="5"/>
  <c r="I172" i="5" s="1"/>
  <c r="J172" i="5" s="1"/>
  <c r="S172" i="5"/>
  <c r="R172" i="5"/>
  <c r="Q172" i="5"/>
  <c r="P172" i="5"/>
  <c r="O172" i="5"/>
  <c r="N172" i="5"/>
  <c r="M172" i="5"/>
  <c r="L172" i="5"/>
  <c r="K172" i="5"/>
  <c r="E164" i="5"/>
  <c r="I164" i="5" s="1"/>
  <c r="J164" i="5" s="1"/>
  <c r="S164" i="5"/>
  <c r="R164" i="5"/>
  <c r="Q164" i="5"/>
  <c r="P164" i="5"/>
  <c r="O164" i="5"/>
  <c r="N164" i="5"/>
  <c r="M164" i="5"/>
  <c r="L164" i="5"/>
  <c r="K164" i="5"/>
  <c r="E156" i="5"/>
  <c r="I156" i="5" s="1"/>
  <c r="J156" i="5" s="1"/>
  <c r="S156" i="5"/>
  <c r="R156" i="5"/>
  <c r="Q156" i="5"/>
  <c r="P156" i="5"/>
  <c r="O156" i="5"/>
  <c r="N156" i="5"/>
  <c r="M156" i="5"/>
  <c r="L156" i="5"/>
  <c r="K156" i="5"/>
  <c r="E148" i="5"/>
  <c r="I148" i="5" s="1"/>
  <c r="J148" i="5" s="1"/>
  <c r="S148" i="5"/>
  <c r="R148" i="5"/>
  <c r="Q148" i="5"/>
  <c r="P148" i="5"/>
  <c r="O148" i="5"/>
  <c r="N148" i="5"/>
  <c r="M148" i="5"/>
  <c r="L148" i="5"/>
  <c r="K148" i="5"/>
  <c r="E140" i="5"/>
  <c r="I140" i="5" s="1"/>
  <c r="J140" i="5" s="1"/>
  <c r="S140" i="5"/>
  <c r="R140" i="5"/>
  <c r="Q140" i="5"/>
  <c r="P140" i="5"/>
  <c r="O140" i="5"/>
  <c r="N140" i="5"/>
  <c r="M140" i="5"/>
  <c r="L140" i="5"/>
  <c r="K140" i="5"/>
  <c r="E132" i="5"/>
  <c r="I132" i="5" s="1"/>
  <c r="J132" i="5" s="1"/>
  <c r="S132" i="5"/>
  <c r="R132" i="5"/>
  <c r="Q132" i="5"/>
  <c r="P132" i="5"/>
  <c r="O132" i="5"/>
  <c r="N132" i="5"/>
  <c r="M132" i="5"/>
  <c r="L132" i="5"/>
  <c r="K132" i="5"/>
  <c r="E124" i="5"/>
  <c r="I124" i="5" s="1"/>
  <c r="J124" i="5" s="1"/>
  <c r="S124" i="5"/>
  <c r="R124" i="5"/>
  <c r="Q124" i="5"/>
  <c r="P124" i="5"/>
  <c r="O124" i="5"/>
  <c r="N124" i="5"/>
  <c r="M124" i="5"/>
  <c r="L124" i="5"/>
  <c r="K124" i="5"/>
  <c r="E116" i="5"/>
  <c r="I116" i="5" s="1"/>
  <c r="J116" i="5" s="1"/>
  <c r="S116" i="5"/>
  <c r="R116" i="5"/>
  <c r="Q116" i="5"/>
  <c r="P116" i="5"/>
  <c r="O116" i="5"/>
  <c r="N116" i="5"/>
  <c r="M116" i="5"/>
  <c r="L116" i="5"/>
  <c r="K116" i="5"/>
  <c r="E108" i="5"/>
  <c r="I108" i="5" s="1"/>
  <c r="J108" i="5" s="1"/>
  <c r="S108" i="5"/>
  <c r="R108" i="5"/>
  <c r="Q108" i="5"/>
  <c r="P108" i="5"/>
  <c r="O108" i="5"/>
  <c r="N108" i="5"/>
  <c r="M108" i="5"/>
  <c r="L108" i="5"/>
  <c r="K108" i="5"/>
  <c r="E100" i="5"/>
  <c r="I100" i="5" s="1"/>
  <c r="J100" i="5" s="1"/>
  <c r="S100" i="5"/>
  <c r="R100" i="5"/>
  <c r="Q100" i="5"/>
  <c r="P100" i="5"/>
  <c r="O100" i="5"/>
  <c r="N100" i="5"/>
  <c r="M100" i="5"/>
  <c r="L100" i="5"/>
  <c r="K100" i="5"/>
  <c r="E92" i="5"/>
  <c r="I92" i="5" s="1"/>
  <c r="J92" i="5" s="1"/>
  <c r="S92" i="5"/>
  <c r="R92" i="5"/>
  <c r="Q92" i="5"/>
  <c r="P92" i="5"/>
  <c r="O92" i="5"/>
  <c r="N92" i="5"/>
  <c r="M92" i="5"/>
  <c r="L92" i="5"/>
  <c r="K92" i="5"/>
  <c r="E84" i="5"/>
  <c r="I84" i="5" s="1"/>
  <c r="J84" i="5" s="1"/>
  <c r="S84" i="5"/>
  <c r="R84" i="5"/>
  <c r="Q84" i="5"/>
  <c r="P84" i="5"/>
  <c r="O84" i="5"/>
  <c r="N84" i="5"/>
  <c r="M84" i="5"/>
  <c r="L84" i="5"/>
  <c r="K84" i="5"/>
  <c r="E76" i="5"/>
  <c r="I76" i="5" s="1"/>
  <c r="J76" i="5" s="1"/>
  <c r="S76" i="5"/>
  <c r="R76" i="5"/>
  <c r="Q76" i="5"/>
  <c r="P76" i="5"/>
  <c r="O76" i="5"/>
  <c r="N76" i="5"/>
  <c r="M76" i="5"/>
  <c r="L76" i="5"/>
  <c r="K76" i="5"/>
  <c r="E68" i="5"/>
  <c r="I68" i="5" s="1"/>
  <c r="J68" i="5" s="1"/>
  <c r="S68" i="5"/>
  <c r="R68" i="5"/>
  <c r="Q68" i="5"/>
  <c r="P68" i="5"/>
  <c r="O68" i="5"/>
  <c r="N68" i="5"/>
  <c r="M68" i="5"/>
  <c r="L68" i="5"/>
  <c r="K68" i="5"/>
  <c r="E60" i="5"/>
  <c r="I60" i="5" s="1"/>
  <c r="J60" i="5" s="1"/>
  <c r="S60" i="5"/>
  <c r="R60" i="5"/>
  <c r="Q60" i="5"/>
  <c r="P60" i="5"/>
  <c r="O60" i="5"/>
  <c r="N60" i="5"/>
  <c r="M60" i="5"/>
  <c r="L60" i="5"/>
  <c r="K60" i="5"/>
  <c r="E52" i="5"/>
  <c r="I52" i="5" s="1"/>
  <c r="J52" i="5" s="1"/>
  <c r="S52" i="5"/>
  <c r="R52" i="5"/>
  <c r="Q52" i="5"/>
  <c r="P52" i="5"/>
  <c r="O52" i="5"/>
  <c r="N52" i="5"/>
  <c r="M52" i="5"/>
  <c r="L52" i="5"/>
  <c r="K52" i="5"/>
  <c r="E44" i="5"/>
  <c r="I44" i="5" s="1"/>
  <c r="J44" i="5" s="1"/>
  <c r="S44" i="5"/>
  <c r="R44" i="5"/>
  <c r="Q44" i="5"/>
  <c r="P44" i="5"/>
  <c r="O44" i="5"/>
  <c r="N44" i="5"/>
  <c r="M44" i="5"/>
  <c r="L44" i="5"/>
  <c r="K44" i="5"/>
  <c r="E36" i="5"/>
  <c r="I36" i="5" s="1"/>
  <c r="J36" i="5" s="1"/>
  <c r="S36" i="5"/>
  <c r="R36" i="5"/>
  <c r="Q36" i="5"/>
  <c r="P36" i="5"/>
  <c r="O36" i="5"/>
  <c r="N36" i="5"/>
  <c r="M36" i="5"/>
  <c r="L36" i="5"/>
  <c r="K36" i="5"/>
  <c r="E28" i="5"/>
  <c r="I28" i="5" s="1"/>
  <c r="J28" i="5" s="1"/>
  <c r="S28" i="5"/>
  <c r="R28" i="5"/>
  <c r="Q28" i="5"/>
  <c r="P28" i="5"/>
  <c r="O28" i="5"/>
  <c r="N28" i="5"/>
  <c r="M28" i="5"/>
  <c r="L28" i="5"/>
  <c r="K28" i="5"/>
  <c r="E20" i="5"/>
  <c r="I20" i="5" s="1"/>
  <c r="J20" i="5" s="1"/>
  <c r="S20" i="5"/>
  <c r="R20" i="5"/>
  <c r="Q20" i="5"/>
  <c r="P20" i="5"/>
  <c r="O20" i="5"/>
  <c r="N20" i="5"/>
  <c r="M20" i="5"/>
  <c r="L20" i="5"/>
  <c r="K20" i="5"/>
  <c r="S12" i="5"/>
  <c r="R12" i="5"/>
  <c r="Q12" i="5"/>
  <c r="P12" i="5"/>
  <c r="O12" i="5"/>
  <c r="N12" i="5"/>
  <c r="M12" i="5"/>
  <c r="L12" i="5"/>
  <c r="K12" i="5"/>
  <c r="K1001" i="5"/>
  <c r="K993" i="5"/>
  <c r="K985" i="5"/>
  <c r="K977" i="5"/>
  <c r="K969" i="5"/>
  <c r="K961" i="5"/>
  <c r="K953" i="5"/>
  <c r="K945" i="5"/>
  <c r="K937" i="5"/>
  <c r="K929" i="5"/>
  <c r="K921" i="5"/>
  <c r="K913" i="5"/>
  <c r="K905" i="5"/>
  <c r="K897" i="5"/>
  <c r="K889" i="5"/>
  <c r="K881" i="5"/>
  <c r="K873" i="5"/>
  <c r="K865" i="5"/>
  <c r="K857" i="5"/>
  <c r="K849" i="5"/>
  <c r="K841" i="5"/>
  <c r="K833" i="5"/>
  <c r="K825" i="5"/>
  <c r="K817" i="5"/>
  <c r="K809" i="5"/>
  <c r="K801" i="5"/>
  <c r="K793" i="5"/>
  <c r="K785" i="5"/>
  <c r="K777" i="5"/>
  <c r="K769" i="5"/>
  <c r="K761" i="5"/>
  <c r="K753" i="5"/>
  <c r="K745" i="5"/>
  <c r="K737" i="5"/>
  <c r="K729" i="5"/>
  <c r="K721" i="5"/>
  <c r="K713" i="5"/>
  <c r="K705" i="5"/>
  <c r="K697" i="5"/>
  <c r="K689" i="5"/>
  <c r="K681" i="5"/>
  <c r="K673" i="5"/>
  <c r="K665" i="5"/>
  <c r="K657" i="5"/>
  <c r="K649" i="5"/>
  <c r="K641" i="5"/>
  <c r="K633" i="5"/>
  <c r="K625" i="5"/>
  <c r="K617" i="5"/>
  <c r="K609" i="5"/>
  <c r="K601" i="5"/>
  <c r="K593" i="5"/>
  <c r="K585" i="5"/>
  <c r="K577" i="5"/>
  <c r="K569" i="5"/>
  <c r="K561" i="5"/>
  <c r="K553" i="5"/>
  <c r="K545" i="5"/>
  <c r="K537" i="5"/>
  <c r="K529" i="5"/>
  <c r="K521" i="5"/>
  <c r="K513" i="5"/>
  <c r="K505" i="5"/>
  <c r="K497" i="5"/>
  <c r="K489" i="5"/>
  <c r="K481" i="5"/>
  <c r="K473" i="5"/>
  <c r="K465" i="5"/>
  <c r="K457" i="5"/>
  <c r="K449" i="5"/>
  <c r="K441" i="5"/>
  <c r="K433" i="5"/>
  <c r="K425" i="5"/>
  <c r="K417" i="5"/>
  <c r="K409" i="5"/>
  <c r="E4" i="5"/>
  <c r="I4" i="5" s="1"/>
  <c r="J4" i="5" s="1"/>
  <c r="S4" i="5"/>
  <c r="R4" i="5"/>
  <c r="Q4" i="5"/>
  <c r="P4" i="5"/>
  <c r="O4" i="5"/>
  <c r="N4" i="5"/>
  <c r="M4" i="5"/>
  <c r="L4" i="5"/>
  <c r="K4" i="5"/>
  <c r="E957" i="5"/>
  <c r="I957" i="5" s="1"/>
  <c r="J957" i="5" s="1"/>
  <c r="S957" i="5"/>
  <c r="R957" i="5"/>
  <c r="Q957" i="5"/>
  <c r="P957" i="5"/>
  <c r="O957" i="5"/>
  <c r="N957" i="5"/>
  <c r="M957" i="5"/>
  <c r="L957" i="5"/>
  <c r="E901" i="5"/>
  <c r="I901" i="5" s="1"/>
  <c r="J901" i="5" s="1"/>
  <c r="S901" i="5"/>
  <c r="R901" i="5"/>
  <c r="Q901" i="5"/>
  <c r="P901" i="5"/>
  <c r="O901" i="5"/>
  <c r="N901" i="5"/>
  <c r="M901" i="5"/>
  <c r="L901" i="5"/>
  <c r="E853" i="5"/>
  <c r="I853" i="5" s="1"/>
  <c r="J853" i="5" s="1"/>
  <c r="S853" i="5"/>
  <c r="R853" i="5"/>
  <c r="Q853" i="5"/>
  <c r="P853" i="5"/>
  <c r="O853" i="5"/>
  <c r="N853" i="5"/>
  <c r="M853" i="5"/>
  <c r="L853" i="5"/>
  <c r="E773" i="5"/>
  <c r="I773" i="5" s="1"/>
  <c r="J773" i="5" s="1"/>
  <c r="S773" i="5"/>
  <c r="R773" i="5"/>
  <c r="Q773" i="5"/>
  <c r="P773" i="5"/>
  <c r="O773" i="5"/>
  <c r="N773" i="5"/>
  <c r="M773" i="5"/>
  <c r="L773" i="5"/>
  <c r="E693" i="5"/>
  <c r="I693" i="5" s="1"/>
  <c r="J693" i="5" s="1"/>
  <c r="S693" i="5"/>
  <c r="R693" i="5"/>
  <c r="Q693" i="5"/>
  <c r="P693" i="5"/>
  <c r="O693" i="5"/>
  <c r="N693" i="5"/>
  <c r="M693" i="5"/>
  <c r="L693" i="5"/>
  <c r="E605" i="5"/>
  <c r="I605" i="5" s="1"/>
  <c r="J605" i="5" s="1"/>
  <c r="S605" i="5"/>
  <c r="R605" i="5"/>
  <c r="Q605" i="5"/>
  <c r="P605" i="5"/>
  <c r="N605" i="5"/>
  <c r="O605" i="5"/>
  <c r="M605" i="5"/>
  <c r="L605" i="5"/>
  <c r="E557" i="5"/>
  <c r="I557" i="5" s="1"/>
  <c r="J557" i="5" s="1"/>
  <c r="S557" i="5"/>
  <c r="R557" i="5"/>
  <c r="Q557" i="5"/>
  <c r="P557" i="5"/>
  <c r="N557" i="5"/>
  <c r="O557" i="5"/>
  <c r="M557" i="5"/>
  <c r="L557" i="5"/>
  <c r="E469" i="5"/>
  <c r="I469" i="5" s="1"/>
  <c r="J469" i="5" s="1"/>
  <c r="S469" i="5"/>
  <c r="R469" i="5"/>
  <c r="Q469" i="5"/>
  <c r="P469" i="5"/>
  <c r="N469" i="5"/>
  <c r="O469" i="5"/>
  <c r="M469" i="5"/>
  <c r="L469" i="5"/>
  <c r="E413" i="5"/>
  <c r="I413" i="5" s="1"/>
  <c r="J413" i="5" s="1"/>
  <c r="S413" i="5"/>
  <c r="R413" i="5"/>
  <c r="Q413" i="5"/>
  <c r="P413" i="5"/>
  <c r="N413" i="5"/>
  <c r="O413" i="5"/>
  <c r="M413" i="5"/>
  <c r="L413" i="5"/>
  <c r="E381" i="5"/>
  <c r="I381" i="5" s="1"/>
  <c r="J381" i="5" s="1"/>
  <c r="S381" i="5"/>
  <c r="R381" i="5"/>
  <c r="Q381" i="5"/>
  <c r="P381" i="5"/>
  <c r="N381" i="5"/>
  <c r="O381" i="5"/>
  <c r="M381" i="5"/>
  <c r="L381" i="5"/>
  <c r="K381" i="5"/>
  <c r="E293" i="5"/>
  <c r="I293" i="5" s="1"/>
  <c r="J293" i="5" s="1"/>
  <c r="S293" i="5"/>
  <c r="R293" i="5"/>
  <c r="Q293" i="5"/>
  <c r="P293" i="5"/>
  <c r="O293" i="5"/>
  <c r="N293" i="5"/>
  <c r="M293" i="5"/>
  <c r="L293" i="5"/>
  <c r="K293" i="5"/>
  <c r="E237" i="5"/>
  <c r="I237" i="5" s="1"/>
  <c r="J237" i="5" s="1"/>
  <c r="S237" i="5"/>
  <c r="R237" i="5"/>
  <c r="Q237" i="5"/>
  <c r="P237" i="5"/>
  <c r="O237" i="5"/>
  <c r="N237" i="5"/>
  <c r="M237" i="5"/>
  <c r="L237" i="5"/>
  <c r="K237" i="5"/>
  <c r="E205" i="5"/>
  <c r="I205" i="5" s="1"/>
  <c r="J205" i="5" s="1"/>
  <c r="S205" i="5"/>
  <c r="R205" i="5"/>
  <c r="Q205" i="5"/>
  <c r="P205" i="5"/>
  <c r="O205" i="5"/>
  <c r="N205" i="5"/>
  <c r="M205" i="5"/>
  <c r="K205" i="5"/>
  <c r="L205" i="5"/>
  <c r="E157" i="5"/>
  <c r="I157" i="5" s="1"/>
  <c r="J157" i="5" s="1"/>
  <c r="S157" i="5"/>
  <c r="R157" i="5"/>
  <c r="Q157" i="5"/>
  <c r="P157" i="5"/>
  <c r="O157" i="5"/>
  <c r="N157" i="5"/>
  <c r="M157" i="5"/>
  <c r="K157" i="5"/>
  <c r="L157" i="5"/>
  <c r="E69" i="5"/>
  <c r="I69" i="5" s="1"/>
  <c r="J69" i="5" s="1"/>
  <c r="S69" i="5"/>
  <c r="R69" i="5"/>
  <c r="Q69" i="5"/>
  <c r="P69" i="5"/>
  <c r="O69" i="5"/>
  <c r="N69" i="5"/>
  <c r="M69" i="5"/>
  <c r="K69" i="5"/>
  <c r="L69" i="5"/>
  <c r="E21" i="5"/>
  <c r="I21" i="5" s="1"/>
  <c r="J21" i="5" s="1"/>
  <c r="S21" i="5"/>
  <c r="R21" i="5"/>
  <c r="Q21" i="5"/>
  <c r="P21" i="5"/>
  <c r="O21" i="5"/>
  <c r="N21" i="5"/>
  <c r="M21" i="5"/>
  <c r="L21" i="5"/>
  <c r="K21" i="5"/>
  <c r="E10" i="5"/>
  <c r="I10" i="5" s="1"/>
  <c r="J10" i="5" s="1"/>
  <c r="S10" i="5"/>
  <c r="R10" i="5"/>
  <c r="Q10" i="5"/>
  <c r="P10" i="5"/>
  <c r="O10" i="5"/>
  <c r="N10" i="5"/>
  <c r="M10" i="5"/>
  <c r="L10" i="5"/>
  <c r="K10" i="5"/>
  <c r="E1003" i="5"/>
  <c r="I1003" i="5" s="1"/>
  <c r="J1003" i="5" s="1"/>
  <c r="S1003" i="5"/>
  <c r="R1003" i="5"/>
  <c r="Q1003" i="5"/>
  <c r="P1003" i="5"/>
  <c r="O1003" i="5"/>
  <c r="N1003" i="5"/>
  <c r="M1003" i="5"/>
  <c r="L1003" i="5"/>
  <c r="E995" i="5"/>
  <c r="I995" i="5" s="1"/>
  <c r="J995" i="5" s="1"/>
  <c r="S995" i="5"/>
  <c r="R995" i="5"/>
  <c r="Q995" i="5"/>
  <c r="P995" i="5"/>
  <c r="O995" i="5"/>
  <c r="N995" i="5"/>
  <c r="M995" i="5"/>
  <c r="L995" i="5"/>
  <c r="E987" i="5"/>
  <c r="I987" i="5" s="1"/>
  <c r="J987" i="5" s="1"/>
  <c r="S987" i="5"/>
  <c r="R987" i="5"/>
  <c r="Q987" i="5"/>
  <c r="P987" i="5"/>
  <c r="O987" i="5"/>
  <c r="N987" i="5"/>
  <c r="M987" i="5"/>
  <c r="L987" i="5"/>
  <c r="E979" i="5"/>
  <c r="I979" i="5" s="1"/>
  <c r="J979" i="5" s="1"/>
  <c r="S979" i="5"/>
  <c r="R979" i="5"/>
  <c r="Q979" i="5"/>
  <c r="P979" i="5"/>
  <c r="O979" i="5"/>
  <c r="N979" i="5"/>
  <c r="M979" i="5"/>
  <c r="L979" i="5"/>
  <c r="E971" i="5"/>
  <c r="I971" i="5" s="1"/>
  <c r="J971" i="5" s="1"/>
  <c r="S971" i="5"/>
  <c r="R971" i="5"/>
  <c r="Q971" i="5"/>
  <c r="P971" i="5"/>
  <c r="O971" i="5"/>
  <c r="N971" i="5"/>
  <c r="M971" i="5"/>
  <c r="L971" i="5"/>
  <c r="E963" i="5"/>
  <c r="I963" i="5" s="1"/>
  <c r="J963" i="5" s="1"/>
  <c r="S963" i="5"/>
  <c r="R963" i="5"/>
  <c r="Q963" i="5"/>
  <c r="P963" i="5"/>
  <c r="O963" i="5"/>
  <c r="N963" i="5"/>
  <c r="M963" i="5"/>
  <c r="L963" i="5"/>
  <c r="E955" i="5"/>
  <c r="I955" i="5" s="1"/>
  <c r="J955" i="5" s="1"/>
  <c r="S955" i="5"/>
  <c r="R955" i="5"/>
  <c r="Q955" i="5"/>
  <c r="P955" i="5"/>
  <c r="O955" i="5"/>
  <c r="N955" i="5"/>
  <c r="M955" i="5"/>
  <c r="L955" i="5"/>
  <c r="E947" i="5"/>
  <c r="I947" i="5" s="1"/>
  <c r="J947" i="5" s="1"/>
  <c r="S947" i="5"/>
  <c r="R947" i="5"/>
  <c r="Q947" i="5"/>
  <c r="P947" i="5"/>
  <c r="O947" i="5"/>
  <c r="N947" i="5"/>
  <c r="M947" i="5"/>
  <c r="L947" i="5"/>
  <c r="E939" i="5"/>
  <c r="I939" i="5" s="1"/>
  <c r="J939" i="5" s="1"/>
  <c r="S939" i="5"/>
  <c r="R939" i="5"/>
  <c r="Q939" i="5"/>
  <c r="P939" i="5"/>
  <c r="O939" i="5"/>
  <c r="N939" i="5"/>
  <c r="M939" i="5"/>
  <c r="L939" i="5"/>
  <c r="E931" i="5"/>
  <c r="I931" i="5" s="1"/>
  <c r="J931" i="5" s="1"/>
  <c r="S931" i="5"/>
  <c r="R931" i="5"/>
  <c r="Q931" i="5"/>
  <c r="P931" i="5"/>
  <c r="O931" i="5"/>
  <c r="N931" i="5"/>
  <c r="M931" i="5"/>
  <c r="L931" i="5"/>
  <c r="E923" i="5"/>
  <c r="I923" i="5" s="1"/>
  <c r="J923" i="5" s="1"/>
  <c r="S923" i="5"/>
  <c r="R923" i="5"/>
  <c r="Q923" i="5"/>
  <c r="P923" i="5"/>
  <c r="O923" i="5"/>
  <c r="N923" i="5"/>
  <c r="M923" i="5"/>
  <c r="L923" i="5"/>
  <c r="E915" i="5"/>
  <c r="I915" i="5" s="1"/>
  <c r="J915" i="5" s="1"/>
  <c r="S915" i="5"/>
  <c r="R915" i="5"/>
  <c r="Q915" i="5"/>
  <c r="P915" i="5"/>
  <c r="O915" i="5"/>
  <c r="N915" i="5"/>
  <c r="M915" i="5"/>
  <c r="L915" i="5"/>
  <c r="E907" i="5"/>
  <c r="I907" i="5" s="1"/>
  <c r="J907" i="5" s="1"/>
  <c r="S907" i="5"/>
  <c r="R907" i="5"/>
  <c r="Q907" i="5"/>
  <c r="P907" i="5"/>
  <c r="O907" i="5"/>
  <c r="N907" i="5"/>
  <c r="M907" i="5"/>
  <c r="L907" i="5"/>
  <c r="E899" i="5"/>
  <c r="I899" i="5" s="1"/>
  <c r="J899" i="5" s="1"/>
  <c r="S899" i="5"/>
  <c r="R899" i="5"/>
  <c r="Q899" i="5"/>
  <c r="P899" i="5"/>
  <c r="O899" i="5"/>
  <c r="N899" i="5"/>
  <c r="M899" i="5"/>
  <c r="L899" i="5"/>
  <c r="E891" i="5"/>
  <c r="I891" i="5" s="1"/>
  <c r="J891" i="5" s="1"/>
  <c r="S891" i="5"/>
  <c r="R891" i="5"/>
  <c r="Q891" i="5"/>
  <c r="P891" i="5"/>
  <c r="O891" i="5"/>
  <c r="N891" i="5"/>
  <c r="M891" i="5"/>
  <c r="L891" i="5"/>
  <c r="E883" i="5"/>
  <c r="I883" i="5" s="1"/>
  <c r="J883" i="5" s="1"/>
  <c r="S883" i="5"/>
  <c r="R883" i="5"/>
  <c r="Q883" i="5"/>
  <c r="P883" i="5"/>
  <c r="O883" i="5"/>
  <c r="N883" i="5"/>
  <c r="M883" i="5"/>
  <c r="L883" i="5"/>
  <c r="E875" i="5"/>
  <c r="I875" i="5" s="1"/>
  <c r="J875" i="5" s="1"/>
  <c r="S875" i="5"/>
  <c r="R875" i="5"/>
  <c r="Q875" i="5"/>
  <c r="P875" i="5"/>
  <c r="O875" i="5"/>
  <c r="N875" i="5"/>
  <c r="M875" i="5"/>
  <c r="L875" i="5"/>
  <c r="E867" i="5"/>
  <c r="I867" i="5" s="1"/>
  <c r="J867" i="5" s="1"/>
  <c r="S867" i="5"/>
  <c r="R867" i="5"/>
  <c r="Q867" i="5"/>
  <c r="P867" i="5"/>
  <c r="O867" i="5"/>
  <c r="N867" i="5"/>
  <c r="M867" i="5"/>
  <c r="L867" i="5"/>
  <c r="E859" i="5"/>
  <c r="I859" i="5" s="1"/>
  <c r="J859" i="5" s="1"/>
  <c r="S859" i="5"/>
  <c r="R859" i="5"/>
  <c r="Q859" i="5"/>
  <c r="P859" i="5"/>
  <c r="O859" i="5"/>
  <c r="N859" i="5"/>
  <c r="M859" i="5"/>
  <c r="L859" i="5"/>
  <c r="E851" i="5"/>
  <c r="I851" i="5" s="1"/>
  <c r="J851" i="5" s="1"/>
  <c r="S851" i="5"/>
  <c r="R851" i="5"/>
  <c r="Q851" i="5"/>
  <c r="P851" i="5"/>
  <c r="O851" i="5"/>
  <c r="N851" i="5"/>
  <c r="M851" i="5"/>
  <c r="L851" i="5"/>
  <c r="E843" i="5"/>
  <c r="I843" i="5" s="1"/>
  <c r="J843" i="5" s="1"/>
  <c r="S843" i="5"/>
  <c r="R843" i="5"/>
  <c r="Q843" i="5"/>
  <c r="P843" i="5"/>
  <c r="O843" i="5"/>
  <c r="N843" i="5"/>
  <c r="M843" i="5"/>
  <c r="L843" i="5"/>
  <c r="E835" i="5"/>
  <c r="I835" i="5" s="1"/>
  <c r="J835" i="5" s="1"/>
  <c r="S835" i="5"/>
  <c r="R835" i="5"/>
  <c r="Q835" i="5"/>
  <c r="P835" i="5"/>
  <c r="O835" i="5"/>
  <c r="N835" i="5"/>
  <c r="M835" i="5"/>
  <c r="L835" i="5"/>
  <c r="E827" i="5"/>
  <c r="I827" i="5" s="1"/>
  <c r="J827" i="5" s="1"/>
  <c r="S827" i="5"/>
  <c r="R827" i="5"/>
  <c r="Q827" i="5"/>
  <c r="P827" i="5"/>
  <c r="O827" i="5"/>
  <c r="N827" i="5"/>
  <c r="M827" i="5"/>
  <c r="L827" i="5"/>
  <c r="E819" i="5"/>
  <c r="I819" i="5" s="1"/>
  <c r="J819" i="5" s="1"/>
  <c r="S819" i="5"/>
  <c r="R819" i="5"/>
  <c r="Q819" i="5"/>
  <c r="P819" i="5"/>
  <c r="O819" i="5"/>
  <c r="N819" i="5"/>
  <c r="M819" i="5"/>
  <c r="L819" i="5"/>
  <c r="E811" i="5"/>
  <c r="I811" i="5" s="1"/>
  <c r="J811" i="5" s="1"/>
  <c r="S811" i="5"/>
  <c r="R811" i="5"/>
  <c r="Q811" i="5"/>
  <c r="P811" i="5"/>
  <c r="O811" i="5"/>
  <c r="N811" i="5"/>
  <c r="M811" i="5"/>
  <c r="L811" i="5"/>
  <c r="E803" i="5"/>
  <c r="I803" i="5" s="1"/>
  <c r="J803" i="5" s="1"/>
  <c r="S803" i="5"/>
  <c r="R803" i="5"/>
  <c r="Q803" i="5"/>
  <c r="P803" i="5"/>
  <c r="O803" i="5"/>
  <c r="N803" i="5"/>
  <c r="M803" i="5"/>
  <c r="L803" i="5"/>
  <c r="E795" i="5"/>
  <c r="I795" i="5" s="1"/>
  <c r="J795" i="5" s="1"/>
  <c r="S795" i="5"/>
  <c r="R795" i="5"/>
  <c r="Q795" i="5"/>
  <c r="P795" i="5"/>
  <c r="O795" i="5"/>
  <c r="N795" i="5"/>
  <c r="M795" i="5"/>
  <c r="L795" i="5"/>
  <c r="E787" i="5"/>
  <c r="I787" i="5" s="1"/>
  <c r="J787" i="5" s="1"/>
  <c r="S787" i="5"/>
  <c r="R787" i="5"/>
  <c r="Q787" i="5"/>
  <c r="P787" i="5"/>
  <c r="O787" i="5"/>
  <c r="N787" i="5"/>
  <c r="M787" i="5"/>
  <c r="L787" i="5"/>
  <c r="E779" i="5"/>
  <c r="I779" i="5" s="1"/>
  <c r="J779" i="5" s="1"/>
  <c r="S779" i="5"/>
  <c r="R779" i="5"/>
  <c r="Q779" i="5"/>
  <c r="P779" i="5"/>
  <c r="O779" i="5"/>
  <c r="N779" i="5"/>
  <c r="M779" i="5"/>
  <c r="L779" i="5"/>
  <c r="E771" i="5"/>
  <c r="I771" i="5" s="1"/>
  <c r="J771" i="5" s="1"/>
  <c r="S771" i="5"/>
  <c r="R771" i="5"/>
  <c r="Q771" i="5"/>
  <c r="P771" i="5"/>
  <c r="O771" i="5"/>
  <c r="N771" i="5"/>
  <c r="M771" i="5"/>
  <c r="L771" i="5"/>
  <c r="E763" i="5"/>
  <c r="I763" i="5" s="1"/>
  <c r="J763" i="5" s="1"/>
  <c r="S763" i="5"/>
  <c r="R763" i="5"/>
  <c r="Q763" i="5"/>
  <c r="P763" i="5"/>
  <c r="O763" i="5"/>
  <c r="N763" i="5"/>
  <c r="M763" i="5"/>
  <c r="L763" i="5"/>
  <c r="E755" i="5"/>
  <c r="I755" i="5" s="1"/>
  <c r="J755" i="5" s="1"/>
  <c r="S755" i="5"/>
  <c r="R755" i="5"/>
  <c r="Q755" i="5"/>
  <c r="P755" i="5"/>
  <c r="O755" i="5"/>
  <c r="N755" i="5"/>
  <c r="M755" i="5"/>
  <c r="L755" i="5"/>
  <c r="E747" i="5"/>
  <c r="I747" i="5" s="1"/>
  <c r="J747" i="5" s="1"/>
  <c r="S747" i="5"/>
  <c r="R747" i="5"/>
  <c r="Q747" i="5"/>
  <c r="P747" i="5"/>
  <c r="O747" i="5"/>
  <c r="N747" i="5"/>
  <c r="M747" i="5"/>
  <c r="L747" i="5"/>
  <c r="E739" i="5"/>
  <c r="I739" i="5" s="1"/>
  <c r="J739" i="5" s="1"/>
  <c r="S739" i="5"/>
  <c r="R739" i="5"/>
  <c r="Q739" i="5"/>
  <c r="P739" i="5"/>
  <c r="O739" i="5"/>
  <c r="N739" i="5"/>
  <c r="M739" i="5"/>
  <c r="L739" i="5"/>
  <c r="E731" i="5"/>
  <c r="I731" i="5" s="1"/>
  <c r="J731" i="5" s="1"/>
  <c r="S731" i="5"/>
  <c r="R731" i="5"/>
  <c r="Q731" i="5"/>
  <c r="P731" i="5"/>
  <c r="O731" i="5"/>
  <c r="N731" i="5"/>
  <c r="M731" i="5"/>
  <c r="L731" i="5"/>
  <c r="E723" i="5"/>
  <c r="I723" i="5" s="1"/>
  <c r="J723" i="5" s="1"/>
  <c r="S723" i="5"/>
  <c r="R723" i="5"/>
  <c r="Q723" i="5"/>
  <c r="P723" i="5"/>
  <c r="O723" i="5"/>
  <c r="N723" i="5"/>
  <c r="M723" i="5"/>
  <c r="L723" i="5"/>
  <c r="E715" i="5"/>
  <c r="I715" i="5" s="1"/>
  <c r="J715" i="5" s="1"/>
  <c r="S715" i="5"/>
  <c r="R715" i="5"/>
  <c r="Q715" i="5"/>
  <c r="P715" i="5"/>
  <c r="O715" i="5"/>
  <c r="N715" i="5"/>
  <c r="M715" i="5"/>
  <c r="L715" i="5"/>
  <c r="E707" i="5"/>
  <c r="I707" i="5" s="1"/>
  <c r="J707" i="5" s="1"/>
  <c r="S707" i="5"/>
  <c r="R707" i="5"/>
  <c r="Q707" i="5"/>
  <c r="P707" i="5"/>
  <c r="O707" i="5"/>
  <c r="N707" i="5"/>
  <c r="M707" i="5"/>
  <c r="L707" i="5"/>
  <c r="E699" i="5"/>
  <c r="I699" i="5" s="1"/>
  <c r="J699" i="5" s="1"/>
  <c r="S699" i="5"/>
  <c r="R699" i="5"/>
  <c r="Q699" i="5"/>
  <c r="P699" i="5"/>
  <c r="O699" i="5"/>
  <c r="N699" i="5"/>
  <c r="M699" i="5"/>
  <c r="L699" i="5"/>
  <c r="E691" i="5"/>
  <c r="I691" i="5" s="1"/>
  <c r="J691" i="5" s="1"/>
  <c r="S691" i="5"/>
  <c r="R691" i="5"/>
  <c r="Q691" i="5"/>
  <c r="P691" i="5"/>
  <c r="O691" i="5"/>
  <c r="N691" i="5"/>
  <c r="M691" i="5"/>
  <c r="L691" i="5"/>
  <c r="E683" i="5"/>
  <c r="I683" i="5" s="1"/>
  <c r="J683" i="5" s="1"/>
  <c r="S683" i="5"/>
  <c r="R683" i="5"/>
  <c r="Q683" i="5"/>
  <c r="P683" i="5"/>
  <c r="N683" i="5"/>
  <c r="O683" i="5"/>
  <c r="M683" i="5"/>
  <c r="L683" i="5"/>
  <c r="E675" i="5"/>
  <c r="I675" i="5" s="1"/>
  <c r="J675" i="5" s="1"/>
  <c r="S675" i="5"/>
  <c r="R675" i="5"/>
  <c r="Q675" i="5"/>
  <c r="P675" i="5"/>
  <c r="N675" i="5"/>
  <c r="O675" i="5"/>
  <c r="M675" i="5"/>
  <c r="L675" i="5"/>
  <c r="E667" i="5"/>
  <c r="I667" i="5" s="1"/>
  <c r="J667" i="5" s="1"/>
  <c r="S667" i="5"/>
  <c r="R667" i="5"/>
  <c r="Q667" i="5"/>
  <c r="P667" i="5"/>
  <c r="N667" i="5"/>
  <c r="O667" i="5"/>
  <c r="M667" i="5"/>
  <c r="L667" i="5"/>
  <c r="E659" i="5"/>
  <c r="I659" i="5" s="1"/>
  <c r="J659" i="5" s="1"/>
  <c r="S659" i="5"/>
  <c r="R659" i="5"/>
  <c r="Q659" i="5"/>
  <c r="P659" i="5"/>
  <c r="N659" i="5"/>
  <c r="O659" i="5"/>
  <c r="M659" i="5"/>
  <c r="L659" i="5"/>
  <c r="E651" i="5"/>
  <c r="I651" i="5" s="1"/>
  <c r="J651" i="5" s="1"/>
  <c r="S651" i="5"/>
  <c r="R651" i="5"/>
  <c r="Q651" i="5"/>
  <c r="P651" i="5"/>
  <c r="N651" i="5"/>
  <c r="O651" i="5"/>
  <c r="M651" i="5"/>
  <c r="L651" i="5"/>
  <c r="E643" i="5"/>
  <c r="I643" i="5" s="1"/>
  <c r="J643" i="5" s="1"/>
  <c r="S643" i="5"/>
  <c r="R643" i="5"/>
  <c r="Q643" i="5"/>
  <c r="P643" i="5"/>
  <c r="N643" i="5"/>
  <c r="O643" i="5"/>
  <c r="M643" i="5"/>
  <c r="L643" i="5"/>
  <c r="E635" i="5"/>
  <c r="I635" i="5" s="1"/>
  <c r="J635" i="5" s="1"/>
  <c r="S635" i="5"/>
  <c r="R635" i="5"/>
  <c r="Q635" i="5"/>
  <c r="P635" i="5"/>
  <c r="N635" i="5"/>
  <c r="O635" i="5"/>
  <c r="M635" i="5"/>
  <c r="L635" i="5"/>
  <c r="E627" i="5"/>
  <c r="I627" i="5" s="1"/>
  <c r="J627" i="5" s="1"/>
  <c r="S627" i="5"/>
  <c r="R627" i="5"/>
  <c r="Q627" i="5"/>
  <c r="P627" i="5"/>
  <c r="N627" i="5"/>
  <c r="O627" i="5"/>
  <c r="M627" i="5"/>
  <c r="L627" i="5"/>
  <c r="E619" i="5"/>
  <c r="I619" i="5" s="1"/>
  <c r="J619" i="5" s="1"/>
  <c r="S619" i="5"/>
  <c r="R619" i="5"/>
  <c r="Q619" i="5"/>
  <c r="P619" i="5"/>
  <c r="N619" i="5"/>
  <c r="O619" i="5"/>
  <c r="M619" i="5"/>
  <c r="L619" i="5"/>
  <c r="E611" i="5"/>
  <c r="I611" i="5" s="1"/>
  <c r="J611" i="5" s="1"/>
  <c r="S611" i="5"/>
  <c r="R611" i="5"/>
  <c r="Q611" i="5"/>
  <c r="P611" i="5"/>
  <c r="N611" i="5"/>
  <c r="O611" i="5"/>
  <c r="M611" i="5"/>
  <c r="L611" i="5"/>
  <c r="E603" i="5"/>
  <c r="I603" i="5" s="1"/>
  <c r="J603" i="5" s="1"/>
  <c r="S603" i="5"/>
  <c r="R603" i="5"/>
  <c r="Q603" i="5"/>
  <c r="P603" i="5"/>
  <c r="N603" i="5"/>
  <c r="O603" i="5"/>
  <c r="M603" i="5"/>
  <c r="L603" i="5"/>
  <c r="E595" i="5"/>
  <c r="I595" i="5" s="1"/>
  <c r="J595" i="5" s="1"/>
  <c r="S595" i="5"/>
  <c r="R595" i="5"/>
  <c r="Q595" i="5"/>
  <c r="P595" i="5"/>
  <c r="N595" i="5"/>
  <c r="O595" i="5"/>
  <c r="M595" i="5"/>
  <c r="L595" i="5"/>
  <c r="E587" i="5"/>
  <c r="I587" i="5" s="1"/>
  <c r="J587" i="5" s="1"/>
  <c r="S587" i="5"/>
  <c r="R587" i="5"/>
  <c r="Q587" i="5"/>
  <c r="P587" i="5"/>
  <c r="N587" i="5"/>
  <c r="O587" i="5"/>
  <c r="M587" i="5"/>
  <c r="L587" i="5"/>
  <c r="E579" i="5"/>
  <c r="I579" i="5" s="1"/>
  <c r="J579" i="5" s="1"/>
  <c r="S579" i="5"/>
  <c r="R579" i="5"/>
  <c r="Q579" i="5"/>
  <c r="P579" i="5"/>
  <c r="N579" i="5"/>
  <c r="O579" i="5"/>
  <c r="M579" i="5"/>
  <c r="L579" i="5"/>
  <c r="E571" i="5"/>
  <c r="I571" i="5" s="1"/>
  <c r="J571" i="5" s="1"/>
  <c r="S571" i="5"/>
  <c r="R571" i="5"/>
  <c r="Q571" i="5"/>
  <c r="P571" i="5"/>
  <c r="N571" i="5"/>
  <c r="O571" i="5"/>
  <c r="M571" i="5"/>
  <c r="L571" i="5"/>
  <c r="E563" i="5"/>
  <c r="I563" i="5" s="1"/>
  <c r="J563" i="5" s="1"/>
  <c r="S563" i="5"/>
  <c r="R563" i="5"/>
  <c r="Q563" i="5"/>
  <c r="P563" i="5"/>
  <c r="N563" i="5"/>
  <c r="O563" i="5"/>
  <c r="M563" i="5"/>
  <c r="L563" i="5"/>
  <c r="E555" i="5"/>
  <c r="I555" i="5" s="1"/>
  <c r="J555" i="5" s="1"/>
  <c r="S555" i="5"/>
  <c r="R555" i="5"/>
  <c r="Q555" i="5"/>
  <c r="P555" i="5"/>
  <c r="N555" i="5"/>
  <c r="O555" i="5"/>
  <c r="M555" i="5"/>
  <c r="L555" i="5"/>
  <c r="E547" i="5"/>
  <c r="I547" i="5" s="1"/>
  <c r="J547" i="5" s="1"/>
  <c r="S547" i="5"/>
  <c r="R547" i="5"/>
  <c r="Q547" i="5"/>
  <c r="P547" i="5"/>
  <c r="N547" i="5"/>
  <c r="O547" i="5"/>
  <c r="M547" i="5"/>
  <c r="L547" i="5"/>
  <c r="E539" i="5"/>
  <c r="I539" i="5" s="1"/>
  <c r="J539" i="5" s="1"/>
  <c r="S539" i="5"/>
  <c r="R539" i="5"/>
  <c r="Q539" i="5"/>
  <c r="P539" i="5"/>
  <c r="N539" i="5"/>
  <c r="O539" i="5"/>
  <c r="M539" i="5"/>
  <c r="L539" i="5"/>
  <c r="E531" i="5"/>
  <c r="I531" i="5" s="1"/>
  <c r="J531" i="5" s="1"/>
  <c r="S531" i="5"/>
  <c r="R531" i="5"/>
  <c r="Q531" i="5"/>
  <c r="P531" i="5"/>
  <c r="N531" i="5"/>
  <c r="O531" i="5"/>
  <c r="M531" i="5"/>
  <c r="L531" i="5"/>
  <c r="E523" i="5"/>
  <c r="I523" i="5" s="1"/>
  <c r="J523" i="5" s="1"/>
  <c r="S523" i="5"/>
  <c r="R523" i="5"/>
  <c r="Q523" i="5"/>
  <c r="P523" i="5"/>
  <c r="N523" i="5"/>
  <c r="O523" i="5"/>
  <c r="M523" i="5"/>
  <c r="L523" i="5"/>
  <c r="E515" i="5"/>
  <c r="I515" i="5" s="1"/>
  <c r="J515" i="5" s="1"/>
  <c r="S515" i="5"/>
  <c r="R515" i="5"/>
  <c r="Q515" i="5"/>
  <c r="P515" i="5"/>
  <c r="N515" i="5"/>
  <c r="O515" i="5"/>
  <c r="M515" i="5"/>
  <c r="L515" i="5"/>
  <c r="E507" i="5"/>
  <c r="I507" i="5" s="1"/>
  <c r="J507" i="5" s="1"/>
  <c r="S507" i="5"/>
  <c r="R507" i="5"/>
  <c r="Q507" i="5"/>
  <c r="P507" i="5"/>
  <c r="N507" i="5"/>
  <c r="O507" i="5"/>
  <c r="M507" i="5"/>
  <c r="L507" i="5"/>
  <c r="E499" i="5"/>
  <c r="I499" i="5" s="1"/>
  <c r="J499" i="5" s="1"/>
  <c r="S499" i="5"/>
  <c r="R499" i="5"/>
  <c r="Q499" i="5"/>
  <c r="P499" i="5"/>
  <c r="N499" i="5"/>
  <c r="O499" i="5"/>
  <c r="M499" i="5"/>
  <c r="L499" i="5"/>
  <c r="E491" i="5"/>
  <c r="I491" i="5" s="1"/>
  <c r="J491" i="5" s="1"/>
  <c r="S491" i="5"/>
  <c r="R491" i="5"/>
  <c r="Q491" i="5"/>
  <c r="P491" i="5"/>
  <c r="N491" i="5"/>
  <c r="O491" i="5"/>
  <c r="M491" i="5"/>
  <c r="L491" i="5"/>
  <c r="E483" i="5"/>
  <c r="I483" i="5" s="1"/>
  <c r="J483" i="5" s="1"/>
  <c r="S483" i="5"/>
  <c r="R483" i="5"/>
  <c r="Q483" i="5"/>
  <c r="P483" i="5"/>
  <c r="N483" i="5"/>
  <c r="O483" i="5"/>
  <c r="M483" i="5"/>
  <c r="L483" i="5"/>
  <c r="E475" i="5"/>
  <c r="I475" i="5" s="1"/>
  <c r="J475" i="5" s="1"/>
  <c r="S475" i="5"/>
  <c r="R475" i="5"/>
  <c r="Q475" i="5"/>
  <c r="P475" i="5"/>
  <c r="N475" i="5"/>
  <c r="O475" i="5"/>
  <c r="M475" i="5"/>
  <c r="L475" i="5"/>
  <c r="E467" i="5"/>
  <c r="I467" i="5" s="1"/>
  <c r="J467" i="5" s="1"/>
  <c r="S467" i="5"/>
  <c r="R467" i="5"/>
  <c r="Q467" i="5"/>
  <c r="P467" i="5"/>
  <c r="N467" i="5"/>
  <c r="O467" i="5"/>
  <c r="M467" i="5"/>
  <c r="L467" i="5"/>
  <c r="E459" i="5"/>
  <c r="I459" i="5" s="1"/>
  <c r="J459" i="5" s="1"/>
  <c r="S459" i="5"/>
  <c r="R459" i="5"/>
  <c r="Q459" i="5"/>
  <c r="P459" i="5"/>
  <c r="N459" i="5"/>
  <c r="O459" i="5"/>
  <c r="M459" i="5"/>
  <c r="L459" i="5"/>
  <c r="E451" i="5"/>
  <c r="I451" i="5" s="1"/>
  <c r="J451" i="5" s="1"/>
  <c r="S451" i="5"/>
  <c r="R451" i="5"/>
  <c r="Q451" i="5"/>
  <c r="P451" i="5"/>
  <c r="N451" i="5"/>
  <c r="O451" i="5"/>
  <c r="M451" i="5"/>
  <c r="L451" i="5"/>
  <c r="E443" i="5"/>
  <c r="I443" i="5" s="1"/>
  <c r="J443" i="5" s="1"/>
  <c r="S443" i="5"/>
  <c r="R443" i="5"/>
  <c r="Q443" i="5"/>
  <c r="P443" i="5"/>
  <c r="N443" i="5"/>
  <c r="O443" i="5"/>
  <c r="M443" i="5"/>
  <c r="L443" i="5"/>
  <c r="E435" i="5"/>
  <c r="I435" i="5" s="1"/>
  <c r="J435" i="5" s="1"/>
  <c r="S435" i="5"/>
  <c r="R435" i="5"/>
  <c r="Q435" i="5"/>
  <c r="P435" i="5"/>
  <c r="N435" i="5"/>
  <c r="O435" i="5"/>
  <c r="M435" i="5"/>
  <c r="L435" i="5"/>
  <c r="E427" i="5"/>
  <c r="I427" i="5" s="1"/>
  <c r="J427" i="5" s="1"/>
  <c r="S427" i="5"/>
  <c r="R427" i="5"/>
  <c r="Q427" i="5"/>
  <c r="P427" i="5"/>
  <c r="N427" i="5"/>
  <c r="O427" i="5"/>
  <c r="M427" i="5"/>
  <c r="L427" i="5"/>
  <c r="E419" i="5"/>
  <c r="I419" i="5" s="1"/>
  <c r="J419" i="5" s="1"/>
  <c r="S419" i="5"/>
  <c r="R419" i="5"/>
  <c r="Q419" i="5"/>
  <c r="P419" i="5"/>
  <c r="N419" i="5"/>
  <c r="O419" i="5"/>
  <c r="M419" i="5"/>
  <c r="L419" i="5"/>
  <c r="E411" i="5"/>
  <c r="I411" i="5" s="1"/>
  <c r="J411" i="5" s="1"/>
  <c r="S411" i="5"/>
  <c r="R411" i="5"/>
  <c r="Q411" i="5"/>
  <c r="P411" i="5"/>
  <c r="N411" i="5"/>
  <c r="O411" i="5"/>
  <c r="M411" i="5"/>
  <c r="L411" i="5"/>
  <c r="E403" i="5"/>
  <c r="I403" i="5" s="1"/>
  <c r="J403" i="5" s="1"/>
  <c r="S403" i="5"/>
  <c r="R403" i="5"/>
  <c r="Q403" i="5"/>
  <c r="P403" i="5"/>
  <c r="N403" i="5"/>
  <c r="O403" i="5"/>
  <c r="M403" i="5"/>
  <c r="L403" i="5"/>
  <c r="K403" i="5"/>
  <c r="E395" i="5"/>
  <c r="I395" i="5" s="1"/>
  <c r="J395" i="5" s="1"/>
  <c r="S395" i="5"/>
  <c r="R395" i="5"/>
  <c r="Q395" i="5"/>
  <c r="P395" i="5"/>
  <c r="N395" i="5"/>
  <c r="O395" i="5"/>
  <c r="M395" i="5"/>
  <c r="L395" i="5"/>
  <c r="K395" i="5"/>
  <c r="E387" i="5"/>
  <c r="I387" i="5" s="1"/>
  <c r="J387" i="5" s="1"/>
  <c r="S387" i="5"/>
  <c r="R387" i="5"/>
  <c r="Q387" i="5"/>
  <c r="P387" i="5"/>
  <c r="N387" i="5"/>
  <c r="O387" i="5"/>
  <c r="M387" i="5"/>
  <c r="L387" i="5"/>
  <c r="K387" i="5"/>
  <c r="E379" i="5"/>
  <c r="I379" i="5" s="1"/>
  <c r="J379" i="5" s="1"/>
  <c r="S379" i="5"/>
  <c r="R379" i="5"/>
  <c r="Q379" i="5"/>
  <c r="P379" i="5"/>
  <c r="N379" i="5"/>
  <c r="O379" i="5"/>
  <c r="M379" i="5"/>
  <c r="L379" i="5"/>
  <c r="K379" i="5"/>
  <c r="E371" i="5"/>
  <c r="I371" i="5" s="1"/>
  <c r="J371" i="5" s="1"/>
  <c r="S371" i="5"/>
  <c r="R371" i="5"/>
  <c r="Q371" i="5"/>
  <c r="P371" i="5"/>
  <c r="N371" i="5"/>
  <c r="O371" i="5"/>
  <c r="M371" i="5"/>
  <c r="L371" i="5"/>
  <c r="K371" i="5"/>
  <c r="E363" i="5"/>
  <c r="I363" i="5" s="1"/>
  <c r="J363" i="5" s="1"/>
  <c r="S363" i="5"/>
  <c r="R363" i="5"/>
  <c r="Q363" i="5"/>
  <c r="P363" i="5"/>
  <c r="N363" i="5"/>
  <c r="O363" i="5"/>
  <c r="M363" i="5"/>
  <c r="L363" i="5"/>
  <c r="K363" i="5"/>
  <c r="E355" i="5"/>
  <c r="I355" i="5" s="1"/>
  <c r="J355" i="5" s="1"/>
  <c r="S355" i="5"/>
  <c r="R355" i="5"/>
  <c r="Q355" i="5"/>
  <c r="P355" i="5"/>
  <c r="N355" i="5"/>
  <c r="O355" i="5"/>
  <c r="M355" i="5"/>
  <c r="L355" i="5"/>
  <c r="K355" i="5"/>
  <c r="E347" i="5"/>
  <c r="I347" i="5" s="1"/>
  <c r="J347" i="5" s="1"/>
  <c r="S347" i="5"/>
  <c r="R347" i="5"/>
  <c r="Q347" i="5"/>
  <c r="P347" i="5"/>
  <c r="N347" i="5"/>
  <c r="O347" i="5"/>
  <c r="M347" i="5"/>
  <c r="L347" i="5"/>
  <c r="K347" i="5"/>
  <c r="E339" i="5"/>
  <c r="I339" i="5" s="1"/>
  <c r="J339" i="5" s="1"/>
  <c r="S339" i="5"/>
  <c r="R339" i="5"/>
  <c r="Q339" i="5"/>
  <c r="P339" i="5"/>
  <c r="N339" i="5"/>
  <c r="O339" i="5"/>
  <c r="M339" i="5"/>
  <c r="L339" i="5"/>
  <c r="K339" i="5"/>
  <c r="E331" i="5"/>
  <c r="I331" i="5" s="1"/>
  <c r="J331" i="5" s="1"/>
  <c r="S331" i="5"/>
  <c r="R331" i="5"/>
  <c r="Q331" i="5"/>
  <c r="P331" i="5"/>
  <c r="O331" i="5"/>
  <c r="N331" i="5"/>
  <c r="M331" i="5"/>
  <c r="L331" i="5"/>
  <c r="K331" i="5"/>
  <c r="E323" i="5"/>
  <c r="I323" i="5" s="1"/>
  <c r="J323" i="5" s="1"/>
  <c r="S323" i="5"/>
  <c r="R323" i="5"/>
  <c r="Q323" i="5"/>
  <c r="P323" i="5"/>
  <c r="O323" i="5"/>
  <c r="N323" i="5"/>
  <c r="M323" i="5"/>
  <c r="L323" i="5"/>
  <c r="K323" i="5"/>
  <c r="E315" i="5"/>
  <c r="I315" i="5" s="1"/>
  <c r="J315" i="5" s="1"/>
  <c r="S315" i="5"/>
  <c r="R315" i="5"/>
  <c r="Q315" i="5"/>
  <c r="P315" i="5"/>
  <c r="O315" i="5"/>
  <c r="N315" i="5"/>
  <c r="M315" i="5"/>
  <c r="L315" i="5"/>
  <c r="K315" i="5"/>
  <c r="E307" i="5"/>
  <c r="I307" i="5" s="1"/>
  <c r="J307" i="5" s="1"/>
  <c r="S307" i="5"/>
  <c r="R307" i="5"/>
  <c r="Q307" i="5"/>
  <c r="P307" i="5"/>
  <c r="O307" i="5"/>
  <c r="N307" i="5"/>
  <c r="M307" i="5"/>
  <c r="L307" i="5"/>
  <c r="K307" i="5"/>
  <c r="E299" i="5"/>
  <c r="I299" i="5" s="1"/>
  <c r="J299" i="5" s="1"/>
  <c r="S299" i="5"/>
  <c r="R299" i="5"/>
  <c r="Q299" i="5"/>
  <c r="P299" i="5"/>
  <c r="O299" i="5"/>
  <c r="N299" i="5"/>
  <c r="M299" i="5"/>
  <c r="L299" i="5"/>
  <c r="K299" i="5"/>
  <c r="E291" i="5"/>
  <c r="I291" i="5" s="1"/>
  <c r="J291" i="5" s="1"/>
  <c r="S291" i="5"/>
  <c r="R291" i="5"/>
  <c r="Q291" i="5"/>
  <c r="P291" i="5"/>
  <c r="O291" i="5"/>
  <c r="N291" i="5"/>
  <c r="M291" i="5"/>
  <c r="L291" i="5"/>
  <c r="K291" i="5"/>
  <c r="E283" i="5"/>
  <c r="I283" i="5" s="1"/>
  <c r="J283" i="5" s="1"/>
  <c r="S283" i="5"/>
  <c r="R283" i="5"/>
  <c r="Q283" i="5"/>
  <c r="P283" i="5"/>
  <c r="O283" i="5"/>
  <c r="N283" i="5"/>
  <c r="M283" i="5"/>
  <c r="L283" i="5"/>
  <c r="K283" i="5"/>
  <c r="E275" i="5"/>
  <c r="I275" i="5" s="1"/>
  <c r="J275" i="5" s="1"/>
  <c r="S275" i="5"/>
  <c r="R275" i="5"/>
  <c r="Q275" i="5"/>
  <c r="P275" i="5"/>
  <c r="O275" i="5"/>
  <c r="N275" i="5"/>
  <c r="M275" i="5"/>
  <c r="L275" i="5"/>
  <c r="K275" i="5"/>
  <c r="E267" i="5"/>
  <c r="I267" i="5" s="1"/>
  <c r="J267" i="5" s="1"/>
  <c r="S267" i="5"/>
  <c r="R267" i="5"/>
  <c r="Q267" i="5"/>
  <c r="P267" i="5"/>
  <c r="O267" i="5"/>
  <c r="N267" i="5"/>
  <c r="M267" i="5"/>
  <c r="L267" i="5"/>
  <c r="K267" i="5"/>
  <c r="E259" i="5"/>
  <c r="I259" i="5" s="1"/>
  <c r="J259" i="5" s="1"/>
  <c r="S259" i="5"/>
  <c r="R259" i="5"/>
  <c r="Q259" i="5"/>
  <c r="P259" i="5"/>
  <c r="O259" i="5"/>
  <c r="N259" i="5"/>
  <c r="M259" i="5"/>
  <c r="L259" i="5"/>
  <c r="K259" i="5"/>
  <c r="E251" i="5"/>
  <c r="I251" i="5" s="1"/>
  <c r="J251" i="5" s="1"/>
  <c r="S251" i="5"/>
  <c r="R251" i="5"/>
  <c r="Q251" i="5"/>
  <c r="P251" i="5"/>
  <c r="O251" i="5"/>
  <c r="N251" i="5"/>
  <c r="M251" i="5"/>
  <c r="L251" i="5"/>
  <c r="K251" i="5"/>
  <c r="E243" i="5"/>
  <c r="I243" i="5" s="1"/>
  <c r="J243" i="5" s="1"/>
  <c r="S243" i="5"/>
  <c r="R243" i="5"/>
  <c r="Q243" i="5"/>
  <c r="P243" i="5"/>
  <c r="O243" i="5"/>
  <c r="N243" i="5"/>
  <c r="M243" i="5"/>
  <c r="L243" i="5"/>
  <c r="K243" i="5"/>
  <c r="E235" i="5"/>
  <c r="I235" i="5" s="1"/>
  <c r="J235" i="5" s="1"/>
  <c r="S235" i="5"/>
  <c r="R235" i="5"/>
  <c r="Q235" i="5"/>
  <c r="P235" i="5"/>
  <c r="O235" i="5"/>
  <c r="N235" i="5"/>
  <c r="M235" i="5"/>
  <c r="L235" i="5"/>
  <c r="K235" i="5"/>
  <c r="E227" i="5"/>
  <c r="I227" i="5" s="1"/>
  <c r="J227" i="5" s="1"/>
  <c r="S227" i="5"/>
  <c r="R227" i="5"/>
  <c r="Q227" i="5"/>
  <c r="P227" i="5"/>
  <c r="O227" i="5"/>
  <c r="N227" i="5"/>
  <c r="M227" i="5"/>
  <c r="L227" i="5"/>
  <c r="K227" i="5"/>
  <c r="E219" i="5"/>
  <c r="I219" i="5" s="1"/>
  <c r="J219" i="5" s="1"/>
  <c r="S219" i="5"/>
  <c r="R219" i="5"/>
  <c r="Q219" i="5"/>
  <c r="P219" i="5"/>
  <c r="O219" i="5"/>
  <c r="N219" i="5"/>
  <c r="M219" i="5"/>
  <c r="L219" i="5"/>
  <c r="K219" i="5"/>
  <c r="E211" i="5"/>
  <c r="I211" i="5" s="1"/>
  <c r="J211" i="5" s="1"/>
  <c r="S211" i="5"/>
  <c r="R211" i="5"/>
  <c r="Q211" i="5"/>
  <c r="P211" i="5"/>
  <c r="O211" i="5"/>
  <c r="N211" i="5"/>
  <c r="M211" i="5"/>
  <c r="L211" i="5"/>
  <c r="K211" i="5"/>
  <c r="E203" i="5"/>
  <c r="I203" i="5" s="1"/>
  <c r="J203" i="5" s="1"/>
  <c r="S203" i="5"/>
  <c r="R203" i="5"/>
  <c r="Q203" i="5"/>
  <c r="P203" i="5"/>
  <c r="O203" i="5"/>
  <c r="N203" i="5"/>
  <c r="M203" i="5"/>
  <c r="L203" i="5"/>
  <c r="K203" i="5"/>
  <c r="E195" i="5"/>
  <c r="I195" i="5" s="1"/>
  <c r="J195" i="5" s="1"/>
  <c r="S195" i="5"/>
  <c r="R195" i="5"/>
  <c r="Q195" i="5"/>
  <c r="P195" i="5"/>
  <c r="O195" i="5"/>
  <c r="N195" i="5"/>
  <c r="M195" i="5"/>
  <c r="L195" i="5"/>
  <c r="K195" i="5"/>
  <c r="E187" i="5"/>
  <c r="I187" i="5" s="1"/>
  <c r="J187" i="5" s="1"/>
  <c r="S187" i="5"/>
  <c r="R187" i="5"/>
  <c r="Q187" i="5"/>
  <c r="P187" i="5"/>
  <c r="O187" i="5"/>
  <c r="N187" i="5"/>
  <c r="M187" i="5"/>
  <c r="L187" i="5"/>
  <c r="K187" i="5"/>
  <c r="E179" i="5"/>
  <c r="I179" i="5" s="1"/>
  <c r="J179" i="5" s="1"/>
  <c r="S179" i="5"/>
  <c r="R179" i="5"/>
  <c r="Q179" i="5"/>
  <c r="P179" i="5"/>
  <c r="O179" i="5"/>
  <c r="N179" i="5"/>
  <c r="M179" i="5"/>
  <c r="L179" i="5"/>
  <c r="K179" i="5"/>
  <c r="E171" i="5"/>
  <c r="I171" i="5" s="1"/>
  <c r="J171" i="5" s="1"/>
  <c r="S171" i="5"/>
  <c r="R171" i="5"/>
  <c r="Q171" i="5"/>
  <c r="P171" i="5"/>
  <c r="O171" i="5"/>
  <c r="N171" i="5"/>
  <c r="M171" i="5"/>
  <c r="L171" i="5"/>
  <c r="K171" i="5"/>
  <c r="E163" i="5"/>
  <c r="I163" i="5" s="1"/>
  <c r="J163" i="5" s="1"/>
  <c r="S163" i="5"/>
  <c r="R163" i="5"/>
  <c r="Q163" i="5"/>
  <c r="P163" i="5"/>
  <c r="O163" i="5"/>
  <c r="N163" i="5"/>
  <c r="M163" i="5"/>
  <c r="L163" i="5"/>
  <c r="K163" i="5"/>
  <c r="E155" i="5"/>
  <c r="I155" i="5" s="1"/>
  <c r="J155" i="5" s="1"/>
  <c r="S155" i="5"/>
  <c r="R155" i="5"/>
  <c r="Q155" i="5"/>
  <c r="P155" i="5"/>
  <c r="O155" i="5"/>
  <c r="N155" i="5"/>
  <c r="M155" i="5"/>
  <c r="L155" i="5"/>
  <c r="K155" i="5"/>
  <c r="E147" i="5"/>
  <c r="I147" i="5" s="1"/>
  <c r="J147" i="5" s="1"/>
  <c r="S147" i="5"/>
  <c r="R147" i="5"/>
  <c r="Q147" i="5"/>
  <c r="P147" i="5"/>
  <c r="O147" i="5"/>
  <c r="N147" i="5"/>
  <c r="M147" i="5"/>
  <c r="L147" i="5"/>
  <c r="K147" i="5"/>
  <c r="E139" i="5"/>
  <c r="I139" i="5" s="1"/>
  <c r="J139" i="5" s="1"/>
  <c r="S139" i="5"/>
  <c r="R139" i="5"/>
  <c r="Q139" i="5"/>
  <c r="P139" i="5"/>
  <c r="O139" i="5"/>
  <c r="N139" i="5"/>
  <c r="M139" i="5"/>
  <c r="L139" i="5"/>
  <c r="K139" i="5"/>
  <c r="E131" i="5"/>
  <c r="I131" i="5" s="1"/>
  <c r="J131" i="5" s="1"/>
  <c r="S131" i="5"/>
  <c r="R131" i="5"/>
  <c r="Q131" i="5"/>
  <c r="P131" i="5"/>
  <c r="O131" i="5"/>
  <c r="N131" i="5"/>
  <c r="M131" i="5"/>
  <c r="L131" i="5"/>
  <c r="K131" i="5"/>
  <c r="E123" i="5"/>
  <c r="I123" i="5" s="1"/>
  <c r="J123" i="5" s="1"/>
  <c r="S123" i="5"/>
  <c r="R123" i="5"/>
  <c r="Q123" i="5"/>
  <c r="P123" i="5"/>
  <c r="O123" i="5"/>
  <c r="N123" i="5"/>
  <c r="M123" i="5"/>
  <c r="L123" i="5"/>
  <c r="K123" i="5"/>
  <c r="E115" i="5"/>
  <c r="I115" i="5" s="1"/>
  <c r="J115" i="5" s="1"/>
  <c r="S115" i="5"/>
  <c r="R115" i="5"/>
  <c r="Q115" i="5"/>
  <c r="P115" i="5"/>
  <c r="O115" i="5"/>
  <c r="N115" i="5"/>
  <c r="M115" i="5"/>
  <c r="L115" i="5"/>
  <c r="K115" i="5"/>
  <c r="E107" i="5"/>
  <c r="I107" i="5" s="1"/>
  <c r="J107" i="5" s="1"/>
  <c r="S107" i="5"/>
  <c r="R107" i="5"/>
  <c r="Q107" i="5"/>
  <c r="P107" i="5"/>
  <c r="O107" i="5"/>
  <c r="N107" i="5"/>
  <c r="M107" i="5"/>
  <c r="L107" i="5"/>
  <c r="K107" i="5"/>
  <c r="E99" i="5"/>
  <c r="I99" i="5" s="1"/>
  <c r="J99" i="5" s="1"/>
  <c r="S99" i="5"/>
  <c r="R99" i="5"/>
  <c r="Q99" i="5"/>
  <c r="P99" i="5"/>
  <c r="O99" i="5"/>
  <c r="N99" i="5"/>
  <c r="M99" i="5"/>
  <c r="L99" i="5"/>
  <c r="K99" i="5"/>
  <c r="E91" i="5"/>
  <c r="I91" i="5" s="1"/>
  <c r="J91" i="5" s="1"/>
  <c r="S91" i="5"/>
  <c r="R91" i="5"/>
  <c r="Q91" i="5"/>
  <c r="P91" i="5"/>
  <c r="O91" i="5"/>
  <c r="N91" i="5"/>
  <c r="M91" i="5"/>
  <c r="L91" i="5"/>
  <c r="K91" i="5"/>
  <c r="E83" i="5"/>
  <c r="I83" i="5" s="1"/>
  <c r="J83" i="5" s="1"/>
  <c r="S83" i="5"/>
  <c r="R83" i="5"/>
  <c r="Q83" i="5"/>
  <c r="P83" i="5"/>
  <c r="O83" i="5"/>
  <c r="N83" i="5"/>
  <c r="M83" i="5"/>
  <c r="L83" i="5"/>
  <c r="K83" i="5"/>
  <c r="E75" i="5"/>
  <c r="I75" i="5" s="1"/>
  <c r="J75" i="5" s="1"/>
  <c r="S75" i="5"/>
  <c r="R75" i="5"/>
  <c r="Q75" i="5"/>
  <c r="P75" i="5"/>
  <c r="O75" i="5"/>
  <c r="N75" i="5"/>
  <c r="M75" i="5"/>
  <c r="L75" i="5"/>
  <c r="K75" i="5"/>
  <c r="E67" i="5"/>
  <c r="I67" i="5" s="1"/>
  <c r="J67" i="5" s="1"/>
  <c r="S67" i="5"/>
  <c r="R67" i="5"/>
  <c r="Q67" i="5"/>
  <c r="P67" i="5"/>
  <c r="O67" i="5"/>
  <c r="N67" i="5"/>
  <c r="M67" i="5"/>
  <c r="L67" i="5"/>
  <c r="K67" i="5"/>
  <c r="E59" i="5"/>
  <c r="I59" i="5" s="1"/>
  <c r="J59" i="5" s="1"/>
  <c r="S59" i="5"/>
  <c r="R59" i="5"/>
  <c r="Q59" i="5"/>
  <c r="P59" i="5"/>
  <c r="O59" i="5"/>
  <c r="N59" i="5"/>
  <c r="M59" i="5"/>
  <c r="L59" i="5"/>
  <c r="K59" i="5"/>
  <c r="E51" i="5"/>
  <c r="I51" i="5" s="1"/>
  <c r="J51" i="5" s="1"/>
  <c r="S51" i="5"/>
  <c r="R51" i="5"/>
  <c r="Q51" i="5"/>
  <c r="P51" i="5"/>
  <c r="O51" i="5"/>
  <c r="N51" i="5"/>
  <c r="M51" i="5"/>
  <c r="L51" i="5"/>
  <c r="K51" i="5"/>
  <c r="E43" i="5"/>
  <c r="I43" i="5" s="1"/>
  <c r="J43" i="5" s="1"/>
  <c r="S43" i="5"/>
  <c r="R43" i="5"/>
  <c r="Q43" i="5"/>
  <c r="P43" i="5"/>
  <c r="O43" i="5"/>
  <c r="N43" i="5"/>
  <c r="M43" i="5"/>
  <c r="L43" i="5"/>
  <c r="K43" i="5"/>
  <c r="E35" i="5"/>
  <c r="I35" i="5" s="1"/>
  <c r="J35" i="5" s="1"/>
  <c r="S35" i="5"/>
  <c r="R35" i="5"/>
  <c r="Q35" i="5"/>
  <c r="P35" i="5"/>
  <c r="O35" i="5"/>
  <c r="N35" i="5"/>
  <c r="M35" i="5"/>
  <c r="L35" i="5"/>
  <c r="K35" i="5"/>
  <c r="E27" i="5"/>
  <c r="I27" i="5" s="1"/>
  <c r="J27" i="5" s="1"/>
  <c r="S27" i="5"/>
  <c r="R27" i="5"/>
  <c r="Q27" i="5"/>
  <c r="P27" i="5"/>
  <c r="O27" i="5"/>
  <c r="N27" i="5"/>
  <c r="M27" i="5"/>
  <c r="L27" i="5"/>
  <c r="K27" i="5"/>
  <c r="E19" i="5"/>
  <c r="I19" i="5" s="1"/>
  <c r="J19" i="5" s="1"/>
  <c r="S19" i="5"/>
  <c r="R19" i="5"/>
  <c r="Q19" i="5"/>
  <c r="P19" i="5"/>
  <c r="O19" i="5"/>
  <c r="N19" i="5"/>
  <c r="M19" i="5"/>
  <c r="L19" i="5"/>
  <c r="K19" i="5"/>
  <c r="E11" i="5"/>
  <c r="I11" i="5" s="1"/>
  <c r="J11" i="5" s="1"/>
  <c r="S11" i="5"/>
  <c r="R11" i="5"/>
  <c r="Q11" i="5"/>
  <c r="P11" i="5"/>
  <c r="O11" i="5"/>
  <c r="N11" i="5"/>
  <c r="M11" i="5"/>
  <c r="L11" i="5"/>
  <c r="K11" i="5"/>
  <c r="K1000" i="5"/>
  <c r="K992" i="5"/>
  <c r="K984" i="5"/>
  <c r="K976" i="5"/>
  <c r="K968" i="5"/>
  <c r="K960" i="5"/>
  <c r="K952" i="5"/>
  <c r="K944" i="5"/>
  <c r="K936" i="5"/>
  <c r="K928" i="5"/>
  <c r="K920" i="5"/>
  <c r="K912" i="5"/>
  <c r="K904" i="5"/>
  <c r="K896" i="5"/>
  <c r="K888" i="5"/>
  <c r="K880" i="5"/>
  <c r="K872" i="5"/>
  <c r="K864" i="5"/>
  <c r="K856" i="5"/>
  <c r="K848" i="5"/>
  <c r="K840" i="5"/>
  <c r="K832" i="5"/>
  <c r="K824" i="5"/>
  <c r="K816" i="5"/>
  <c r="K808" i="5"/>
  <c r="K800" i="5"/>
  <c r="K792" i="5"/>
  <c r="K784" i="5"/>
  <c r="K776" i="5"/>
  <c r="K768" i="5"/>
  <c r="K760" i="5"/>
  <c r="K752" i="5"/>
  <c r="K744" i="5"/>
  <c r="K736" i="5"/>
  <c r="K728" i="5"/>
  <c r="K720" i="5"/>
  <c r="K712" i="5"/>
  <c r="K704" i="5"/>
  <c r="K696" i="5"/>
  <c r="K688" i="5"/>
  <c r="K680" i="5"/>
  <c r="K672" i="5"/>
  <c r="K664" i="5"/>
  <c r="K656" i="5"/>
  <c r="K648" i="5"/>
  <c r="K640" i="5"/>
  <c r="K632" i="5"/>
  <c r="K624" i="5"/>
  <c r="K616" i="5"/>
  <c r="K608" i="5"/>
  <c r="K600" i="5"/>
  <c r="K592" i="5"/>
  <c r="K584" i="5"/>
  <c r="K576" i="5"/>
  <c r="K568" i="5"/>
  <c r="K560" i="5"/>
  <c r="K552" i="5"/>
  <c r="K544" i="5"/>
  <c r="K536" i="5"/>
  <c r="K528" i="5"/>
  <c r="K520" i="5"/>
  <c r="K512" i="5"/>
  <c r="K504" i="5"/>
  <c r="K496" i="5"/>
  <c r="K488" i="5"/>
  <c r="K480" i="5"/>
  <c r="K472" i="5"/>
  <c r="K464" i="5"/>
  <c r="K456" i="5"/>
  <c r="K448" i="5"/>
  <c r="K440" i="5"/>
  <c r="K432" i="5"/>
  <c r="K424" i="5"/>
  <c r="K416" i="5"/>
  <c r="K408" i="5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F172" i="4" s="1"/>
  <c r="E173" i="4"/>
  <c r="F173" i="4" s="1"/>
  <c r="E174" i="4"/>
  <c r="F174" i="4" s="1"/>
  <c r="E175" i="4"/>
  <c r="F175" i="4" s="1"/>
  <c r="E176" i="4"/>
  <c r="F176" i="4" s="1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F219" i="4" s="1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F228" i="4" s="1"/>
  <c r="E229" i="4"/>
  <c r="F229" i="4" s="1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6" i="4"/>
  <c r="F246" i="4" s="1"/>
  <c r="E247" i="4"/>
  <c r="F247" i="4" s="1"/>
  <c r="E248" i="4"/>
  <c r="F248" i="4" s="1"/>
  <c r="E249" i="4"/>
  <c r="F249" i="4" s="1"/>
  <c r="E250" i="4"/>
  <c r="F250" i="4" s="1"/>
  <c r="E251" i="4"/>
  <c r="F251" i="4" s="1"/>
  <c r="E252" i="4"/>
  <c r="F252" i="4" s="1"/>
  <c r="E253" i="4"/>
  <c r="F253" i="4" s="1"/>
  <c r="E254" i="4"/>
  <c r="F254" i="4" s="1"/>
  <c r="E255" i="4"/>
  <c r="F255" i="4" s="1"/>
  <c r="E256" i="4"/>
  <c r="F256" i="4" s="1"/>
  <c r="E257" i="4"/>
  <c r="F257" i="4" s="1"/>
  <c r="E258" i="4"/>
  <c r="F258" i="4" s="1"/>
  <c r="E259" i="4"/>
  <c r="F259" i="4" s="1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F273" i="4" s="1"/>
  <c r="E274" i="4"/>
  <c r="F274" i="4" s="1"/>
  <c r="E275" i="4"/>
  <c r="F275" i="4" s="1"/>
  <c r="E276" i="4"/>
  <c r="F276" i="4" s="1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E291" i="4"/>
  <c r="F291" i="4" s="1"/>
  <c r="E292" i="4"/>
  <c r="F292" i="4" s="1"/>
  <c r="E293" i="4"/>
  <c r="F293" i="4" s="1"/>
  <c r="E294" i="4"/>
  <c r="F294" i="4" s="1"/>
  <c r="E295" i="4"/>
  <c r="F295" i="4" s="1"/>
  <c r="E296" i="4"/>
  <c r="F296" i="4" s="1"/>
  <c r="E297" i="4"/>
  <c r="F297" i="4" s="1"/>
  <c r="E298" i="4"/>
  <c r="F298" i="4" s="1"/>
  <c r="E299" i="4"/>
  <c r="F299" i="4" s="1"/>
  <c r="E300" i="4"/>
  <c r="F300" i="4" s="1"/>
  <c r="E301" i="4"/>
  <c r="F301" i="4" s="1"/>
  <c r="E302" i="4"/>
  <c r="F302" i="4" s="1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F308" i="4" s="1"/>
  <c r="E309" i="4"/>
  <c r="F309" i="4" s="1"/>
  <c r="E310" i="4"/>
  <c r="F310" i="4" s="1"/>
  <c r="E311" i="4"/>
  <c r="F311" i="4" s="1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E331" i="4"/>
  <c r="F331" i="4" s="1"/>
  <c r="E332" i="4"/>
  <c r="F332" i="4" s="1"/>
  <c r="E333" i="4"/>
  <c r="F333" i="4" s="1"/>
  <c r="E334" i="4"/>
  <c r="F334" i="4" s="1"/>
  <c r="E335" i="4"/>
  <c r="F335" i="4" s="1"/>
  <c r="E336" i="4"/>
  <c r="F336" i="4" s="1"/>
  <c r="E337" i="4"/>
  <c r="F337" i="4" s="1"/>
  <c r="E338" i="4"/>
  <c r="F338" i="4" s="1"/>
  <c r="E339" i="4"/>
  <c r="F339" i="4" s="1"/>
  <c r="E340" i="4"/>
  <c r="F340" i="4" s="1"/>
  <c r="E341" i="4"/>
  <c r="F341" i="4" s="1"/>
  <c r="E342" i="4"/>
  <c r="F342" i="4" s="1"/>
  <c r="E343" i="4"/>
  <c r="F343" i="4" s="1"/>
  <c r="E344" i="4"/>
  <c r="F344" i="4" s="1"/>
  <c r="E345" i="4"/>
  <c r="F345" i="4" s="1"/>
  <c r="E346" i="4"/>
  <c r="F346" i="4" s="1"/>
  <c r="E347" i="4"/>
  <c r="F347" i="4" s="1"/>
  <c r="E348" i="4"/>
  <c r="F348" i="4" s="1"/>
  <c r="E349" i="4"/>
  <c r="F349" i="4" s="1"/>
  <c r="E350" i="4"/>
  <c r="F350" i="4" s="1"/>
  <c r="E351" i="4"/>
  <c r="F351" i="4" s="1"/>
  <c r="E352" i="4"/>
  <c r="F352" i="4" s="1"/>
  <c r="E353" i="4"/>
  <c r="F353" i="4" s="1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F377" i="4" s="1"/>
  <c r="E378" i="4"/>
  <c r="F378" i="4" s="1"/>
  <c r="E379" i="4"/>
  <c r="F379" i="4" s="1"/>
  <c r="E380" i="4"/>
  <c r="F380" i="4" s="1"/>
  <c r="E381" i="4"/>
  <c r="F381" i="4" s="1"/>
  <c r="E382" i="4"/>
  <c r="F382" i="4" s="1"/>
  <c r="E383" i="4"/>
  <c r="F383" i="4" s="1"/>
  <c r="E384" i="4"/>
  <c r="F384" i="4" s="1"/>
  <c r="E385" i="4"/>
  <c r="F385" i="4" s="1"/>
  <c r="E386" i="4"/>
  <c r="F386" i="4" s="1"/>
  <c r="E387" i="4"/>
  <c r="F387" i="4" s="1"/>
  <c r="E388" i="4"/>
  <c r="F388" i="4" s="1"/>
  <c r="E389" i="4"/>
  <c r="F389" i="4" s="1"/>
  <c r="E390" i="4"/>
  <c r="F390" i="4" s="1"/>
  <c r="E391" i="4"/>
  <c r="F391" i="4" s="1"/>
  <c r="E392" i="4"/>
  <c r="F392" i="4" s="1"/>
  <c r="E393" i="4"/>
  <c r="F393" i="4" s="1"/>
  <c r="E394" i="4"/>
  <c r="F394" i="4" s="1"/>
  <c r="E395" i="4"/>
  <c r="F395" i="4" s="1"/>
  <c r="E396" i="4"/>
  <c r="F396" i="4" s="1"/>
  <c r="E397" i="4"/>
  <c r="F397" i="4" s="1"/>
  <c r="E398" i="4"/>
  <c r="F398" i="4" s="1"/>
  <c r="E399" i="4"/>
  <c r="F399" i="4" s="1"/>
  <c r="E400" i="4"/>
  <c r="F400" i="4" s="1"/>
  <c r="E401" i="4"/>
  <c r="F401" i="4" s="1"/>
  <c r="E402" i="4"/>
  <c r="F402" i="4" s="1"/>
  <c r="E403" i="4"/>
  <c r="F403" i="4" s="1"/>
  <c r="E404" i="4"/>
  <c r="F404" i="4" s="1"/>
  <c r="E405" i="4"/>
  <c r="F405" i="4" s="1"/>
  <c r="E406" i="4"/>
  <c r="F406" i="4" s="1"/>
  <c r="E407" i="4"/>
  <c r="F407" i="4" s="1"/>
  <c r="E408" i="4"/>
  <c r="F408" i="4" s="1"/>
  <c r="E409" i="4"/>
  <c r="F409" i="4" s="1"/>
  <c r="E410" i="4"/>
  <c r="F410" i="4" s="1"/>
  <c r="E411" i="4"/>
  <c r="F411" i="4" s="1"/>
  <c r="E412" i="4"/>
  <c r="F412" i="4" s="1"/>
  <c r="E413" i="4"/>
  <c r="F413" i="4" s="1"/>
  <c r="E414" i="4"/>
  <c r="F414" i="4" s="1"/>
  <c r="E415" i="4"/>
  <c r="F415" i="4" s="1"/>
  <c r="E416" i="4"/>
  <c r="F416" i="4" s="1"/>
  <c r="E417" i="4"/>
  <c r="F417" i="4" s="1"/>
  <c r="E418" i="4"/>
  <c r="F418" i="4" s="1"/>
  <c r="E419" i="4"/>
  <c r="F419" i="4" s="1"/>
  <c r="E420" i="4"/>
  <c r="F420" i="4" s="1"/>
  <c r="E421" i="4"/>
  <c r="F421" i="4" s="1"/>
  <c r="E422" i="4"/>
  <c r="F422" i="4" s="1"/>
  <c r="E423" i="4"/>
  <c r="F423" i="4" s="1"/>
  <c r="E424" i="4"/>
  <c r="F424" i="4" s="1"/>
  <c r="E425" i="4"/>
  <c r="F425" i="4" s="1"/>
  <c r="E426" i="4"/>
  <c r="F426" i="4" s="1"/>
  <c r="E427" i="4"/>
  <c r="F427" i="4" s="1"/>
  <c r="E428" i="4"/>
  <c r="F428" i="4" s="1"/>
  <c r="E429" i="4"/>
  <c r="F429" i="4" s="1"/>
  <c r="E430" i="4"/>
  <c r="F430" i="4" s="1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F437" i="4" s="1"/>
  <c r="E438" i="4"/>
  <c r="F438" i="4" s="1"/>
  <c r="E439" i="4"/>
  <c r="F439" i="4" s="1"/>
  <c r="E440" i="4"/>
  <c r="F440" i="4" s="1"/>
  <c r="E441" i="4"/>
  <c r="F441" i="4" s="1"/>
  <c r="E442" i="4"/>
  <c r="F442" i="4" s="1"/>
  <c r="E443" i="4"/>
  <c r="F443" i="4" s="1"/>
  <c r="E444" i="4"/>
  <c r="F444" i="4" s="1"/>
  <c r="E445" i="4"/>
  <c r="F445" i="4" s="1"/>
  <c r="E446" i="4"/>
  <c r="F446" i="4" s="1"/>
  <c r="E447" i="4"/>
  <c r="F447" i="4" s="1"/>
  <c r="E448" i="4"/>
  <c r="F448" i="4" s="1"/>
  <c r="E449" i="4"/>
  <c r="F449" i="4" s="1"/>
  <c r="E450" i="4"/>
  <c r="F450" i="4" s="1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F457" i="4" s="1"/>
  <c r="E458" i="4"/>
  <c r="F458" i="4" s="1"/>
  <c r="E459" i="4"/>
  <c r="F459" i="4" s="1"/>
  <c r="E460" i="4"/>
  <c r="F460" i="4" s="1"/>
  <c r="E461" i="4"/>
  <c r="F461" i="4" s="1"/>
  <c r="E462" i="4"/>
  <c r="F462" i="4" s="1"/>
  <c r="E463" i="4"/>
  <c r="F463" i="4" s="1"/>
  <c r="E464" i="4"/>
  <c r="F464" i="4" s="1"/>
  <c r="E465" i="4"/>
  <c r="F465" i="4" s="1"/>
  <c r="E466" i="4"/>
  <c r="F466" i="4" s="1"/>
  <c r="E467" i="4"/>
  <c r="F467" i="4" s="1"/>
  <c r="E468" i="4"/>
  <c r="F468" i="4" s="1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F474" i="4" s="1"/>
  <c r="E475" i="4"/>
  <c r="F475" i="4" s="1"/>
  <c r="E476" i="4"/>
  <c r="F476" i="4" s="1"/>
  <c r="E477" i="4"/>
  <c r="F477" i="4" s="1"/>
  <c r="E478" i="4"/>
  <c r="F478" i="4" s="1"/>
  <c r="E479" i="4"/>
  <c r="F479" i="4" s="1"/>
  <c r="E480" i="4"/>
  <c r="F480" i="4" s="1"/>
  <c r="E481" i="4"/>
  <c r="F481" i="4" s="1"/>
  <c r="E482" i="4"/>
  <c r="F482" i="4" s="1"/>
  <c r="E483" i="4"/>
  <c r="F483" i="4" s="1"/>
  <c r="E484" i="4"/>
  <c r="F484" i="4" s="1"/>
  <c r="E485" i="4"/>
  <c r="F485" i="4" s="1"/>
  <c r="E486" i="4"/>
  <c r="F486" i="4" s="1"/>
  <c r="E487" i="4"/>
  <c r="F487" i="4" s="1"/>
  <c r="E488" i="4"/>
  <c r="F488" i="4" s="1"/>
  <c r="E489" i="4"/>
  <c r="F489" i="4" s="1"/>
  <c r="E490" i="4"/>
  <c r="F490" i="4" s="1"/>
  <c r="E491" i="4"/>
  <c r="F491" i="4" s="1"/>
  <c r="E492" i="4"/>
  <c r="F492" i="4" s="1"/>
  <c r="E493" i="4"/>
  <c r="F493" i="4" s="1"/>
  <c r="E494" i="4"/>
  <c r="F494" i="4" s="1"/>
  <c r="E495" i="4"/>
  <c r="F495" i="4" s="1"/>
  <c r="E496" i="4"/>
  <c r="F496" i="4" s="1"/>
  <c r="E497" i="4"/>
  <c r="F497" i="4" s="1"/>
  <c r="E498" i="4"/>
  <c r="F498" i="4" s="1"/>
  <c r="E499" i="4"/>
  <c r="F499" i="4" s="1"/>
  <c r="E500" i="4"/>
  <c r="F500" i="4" s="1"/>
  <c r="E501" i="4"/>
  <c r="F501" i="4" s="1"/>
  <c r="E502" i="4"/>
  <c r="F502" i="4" s="1"/>
  <c r="E503" i="4"/>
  <c r="F503" i="4" s="1"/>
  <c r="E504" i="4"/>
  <c r="F504" i="4" s="1"/>
  <c r="E505" i="4"/>
  <c r="F505" i="4" s="1"/>
  <c r="E506" i="4"/>
  <c r="F506" i="4" s="1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F513" i="4" s="1"/>
  <c r="E514" i="4"/>
  <c r="F514" i="4" s="1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F521" i="4" s="1"/>
  <c r="E522" i="4"/>
  <c r="F522" i="4" s="1"/>
  <c r="E523" i="4"/>
  <c r="F523" i="4" s="1"/>
  <c r="E524" i="4"/>
  <c r="F524" i="4" s="1"/>
  <c r="E525" i="4"/>
  <c r="F525" i="4" s="1"/>
  <c r="E526" i="4"/>
  <c r="F526" i="4" s="1"/>
  <c r="E527" i="4"/>
  <c r="F527" i="4" s="1"/>
  <c r="E528" i="4"/>
  <c r="F528" i="4" s="1"/>
  <c r="E529" i="4"/>
  <c r="F529" i="4" s="1"/>
  <c r="E530" i="4"/>
  <c r="F530" i="4" s="1"/>
  <c r="E531" i="4"/>
  <c r="F531" i="4" s="1"/>
  <c r="E532" i="4"/>
  <c r="F532" i="4" s="1"/>
  <c r="E533" i="4"/>
  <c r="F533" i="4" s="1"/>
  <c r="E534" i="4"/>
  <c r="F534" i="4" s="1"/>
  <c r="E535" i="4"/>
  <c r="F535" i="4" s="1"/>
  <c r="E536" i="4"/>
  <c r="F536" i="4" s="1"/>
  <c r="E537" i="4"/>
  <c r="F537" i="4" s="1"/>
  <c r="E538" i="4"/>
  <c r="F538" i="4" s="1"/>
  <c r="E539" i="4"/>
  <c r="F539" i="4" s="1"/>
  <c r="E540" i="4"/>
  <c r="F540" i="4" s="1"/>
  <c r="E541" i="4"/>
  <c r="F541" i="4" s="1"/>
  <c r="E542" i="4"/>
  <c r="F542" i="4" s="1"/>
  <c r="E543" i="4"/>
  <c r="F543" i="4" s="1"/>
  <c r="E544" i="4"/>
  <c r="F544" i="4" s="1"/>
  <c r="E545" i="4"/>
  <c r="F545" i="4" s="1"/>
  <c r="E546" i="4"/>
  <c r="F546" i="4" s="1"/>
  <c r="E547" i="4"/>
  <c r="F547" i="4" s="1"/>
  <c r="E548" i="4"/>
  <c r="F548" i="4" s="1"/>
  <c r="E549" i="4"/>
  <c r="F549" i="4" s="1"/>
  <c r="E550" i="4"/>
  <c r="F550" i="4" s="1"/>
  <c r="E551" i="4"/>
  <c r="F551" i="4" s="1"/>
  <c r="E552" i="4"/>
  <c r="F552" i="4" s="1"/>
  <c r="E553" i="4"/>
  <c r="F553" i="4" s="1"/>
  <c r="E554" i="4"/>
  <c r="F554" i="4" s="1"/>
  <c r="E555" i="4"/>
  <c r="F555" i="4" s="1"/>
  <c r="E556" i="4"/>
  <c r="F556" i="4" s="1"/>
  <c r="E557" i="4"/>
  <c r="F557" i="4" s="1"/>
  <c r="E558" i="4"/>
  <c r="F558" i="4" s="1"/>
  <c r="E559" i="4"/>
  <c r="F559" i="4" s="1"/>
  <c r="E560" i="4"/>
  <c r="F560" i="4" s="1"/>
  <c r="E561" i="4"/>
  <c r="F561" i="4" s="1"/>
  <c r="E562" i="4"/>
  <c r="F562" i="4" s="1"/>
  <c r="E563" i="4"/>
  <c r="F563" i="4" s="1"/>
  <c r="E564" i="4"/>
  <c r="F564" i="4" s="1"/>
  <c r="E565" i="4"/>
  <c r="F565" i="4" s="1"/>
  <c r="E566" i="4"/>
  <c r="F566" i="4" s="1"/>
  <c r="E567" i="4"/>
  <c r="F567" i="4" s="1"/>
  <c r="E568" i="4"/>
  <c r="F568" i="4" s="1"/>
  <c r="E569" i="4"/>
  <c r="F569" i="4" s="1"/>
  <c r="E570" i="4"/>
  <c r="F570" i="4" s="1"/>
  <c r="E571" i="4"/>
  <c r="F571" i="4" s="1"/>
  <c r="E572" i="4"/>
  <c r="F572" i="4" s="1"/>
  <c r="E573" i="4"/>
  <c r="F573" i="4" s="1"/>
  <c r="E574" i="4"/>
  <c r="F574" i="4" s="1"/>
  <c r="E575" i="4"/>
  <c r="F575" i="4" s="1"/>
  <c r="E576" i="4"/>
  <c r="F576" i="4" s="1"/>
  <c r="E577" i="4"/>
  <c r="F577" i="4" s="1"/>
  <c r="E578" i="4"/>
  <c r="F578" i="4" s="1"/>
  <c r="E579" i="4"/>
  <c r="F579" i="4" s="1"/>
  <c r="E580" i="4"/>
  <c r="F580" i="4" s="1"/>
  <c r="E581" i="4"/>
  <c r="F581" i="4" s="1"/>
  <c r="E582" i="4"/>
  <c r="F582" i="4" s="1"/>
  <c r="E583" i="4"/>
  <c r="F583" i="4" s="1"/>
  <c r="E584" i="4"/>
  <c r="F584" i="4" s="1"/>
  <c r="E585" i="4"/>
  <c r="F585" i="4" s="1"/>
  <c r="E586" i="4"/>
  <c r="F586" i="4" s="1"/>
  <c r="E587" i="4"/>
  <c r="F587" i="4" s="1"/>
  <c r="E588" i="4"/>
  <c r="F588" i="4" s="1"/>
  <c r="E589" i="4"/>
  <c r="F589" i="4" s="1"/>
  <c r="E590" i="4"/>
  <c r="F590" i="4" s="1"/>
  <c r="E591" i="4"/>
  <c r="F591" i="4" s="1"/>
  <c r="E592" i="4"/>
  <c r="F592" i="4" s="1"/>
  <c r="E593" i="4"/>
  <c r="F593" i="4" s="1"/>
  <c r="E594" i="4"/>
  <c r="F594" i="4" s="1"/>
  <c r="E595" i="4"/>
  <c r="F595" i="4" s="1"/>
  <c r="E596" i="4"/>
  <c r="F596" i="4" s="1"/>
  <c r="E597" i="4"/>
  <c r="F597" i="4" s="1"/>
  <c r="E598" i="4"/>
  <c r="F598" i="4" s="1"/>
  <c r="E599" i="4"/>
  <c r="F599" i="4" s="1"/>
  <c r="E600" i="4"/>
  <c r="F600" i="4" s="1"/>
  <c r="E601" i="4"/>
  <c r="F601" i="4" s="1"/>
  <c r="E602" i="4"/>
  <c r="F602" i="4" s="1"/>
  <c r="E603" i="4"/>
  <c r="F603" i="4" s="1"/>
  <c r="E604" i="4"/>
  <c r="F604" i="4" s="1"/>
  <c r="E605" i="4"/>
  <c r="F605" i="4" s="1"/>
  <c r="E606" i="4"/>
  <c r="F606" i="4" s="1"/>
  <c r="E607" i="4"/>
  <c r="F607" i="4" s="1"/>
  <c r="E608" i="4"/>
  <c r="F608" i="4" s="1"/>
  <c r="E609" i="4"/>
  <c r="F609" i="4" s="1"/>
  <c r="E610" i="4"/>
  <c r="F610" i="4" s="1"/>
  <c r="E611" i="4"/>
  <c r="F611" i="4" s="1"/>
  <c r="E612" i="4"/>
  <c r="F612" i="4" s="1"/>
  <c r="E613" i="4"/>
  <c r="F613" i="4" s="1"/>
  <c r="E614" i="4"/>
  <c r="F614" i="4" s="1"/>
  <c r="E615" i="4"/>
  <c r="F615" i="4" s="1"/>
  <c r="E616" i="4"/>
  <c r="F616" i="4" s="1"/>
  <c r="E617" i="4"/>
  <c r="F617" i="4" s="1"/>
  <c r="E618" i="4"/>
  <c r="F618" i="4" s="1"/>
  <c r="E619" i="4"/>
  <c r="F619" i="4" s="1"/>
  <c r="E620" i="4"/>
  <c r="F620" i="4" s="1"/>
  <c r="E621" i="4"/>
  <c r="F621" i="4" s="1"/>
  <c r="E622" i="4"/>
  <c r="F622" i="4" s="1"/>
  <c r="E623" i="4"/>
  <c r="F623" i="4" s="1"/>
  <c r="E624" i="4"/>
  <c r="F624" i="4" s="1"/>
  <c r="E625" i="4"/>
  <c r="F625" i="4" s="1"/>
  <c r="E626" i="4"/>
  <c r="F626" i="4" s="1"/>
  <c r="E627" i="4"/>
  <c r="F627" i="4" s="1"/>
  <c r="E628" i="4"/>
  <c r="F628" i="4" s="1"/>
  <c r="E629" i="4"/>
  <c r="F629" i="4" s="1"/>
  <c r="E630" i="4"/>
  <c r="F630" i="4" s="1"/>
  <c r="E631" i="4"/>
  <c r="F631" i="4" s="1"/>
  <c r="E632" i="4"/>
  <c r="F632" i="4" s="1"/>
  <c r="E633" i="4"/>
  <c r="F633" i="4" s="1"/>
  <c r="E634" i="4"/>
  <c r="F634" i="4" s="1"/>
  <c r="E635" i="4"/>
  <c r="F635" i="4" s="1"/>
  <c r="E636" i="4"/>
  <c r="F636" i="4" s="1"/>
  <c r="E637" i="4"/>
  <c r="F637" i="4" s="1"/>
  <c r="E638" i="4"/>
  <c r="F638" i="4" s="1"/>
  <c r="E639" i="4"/>
  <c r="F639" i="4" s="1"/>
  <c r="E640" i="4"/>
  <c r="F640" i="4" s="1"/>
  <c r="E641" i="4"/>
  <c r="F641" i="4" s="1"/>
  <c r="E642" i="4"/>
  <c r="F642" i="4" s="1"/>
  <c r="E643" i="4"/>
  <c r="F643" i="4" s="1"/>
  <c r="E644" i="4"/>
  <c r="F644" i="4" s="1"/>
  <c r="E645" i="4"/>
  <c r="F645" i="4" s="1"/>
  <c r="E646" i="4"/>
  <c r="F646" i="4" s="1"/>
  <c r="E647" i="4"/>
  <c r="F647" i="4" s="1"/>
  <c r="E648" i="4"/>
  <c r="F648" i="4" s="1"/>
  <c r="E649" i="4"/>
  <c r="F649" i="4" s="1"/>
  <c r="E650" i="4"/>
  <c r="F650" i="4" s="1"/>
  <c r="E651" i="4"/>
  <c r="F651" i="4" s="1"/>
  <c r="E652" i="4"/>
  <c r="F652" i="4" s="1"/>
  <c r="E653" i="4"/>
  <c r="F653" i="4" s="1"/>
  <c r="E654" i="4"/>
  <c r="F654" i="4" s="1"/>
  <c r="E655" i="4"/>
  <c r="F655" i="4" s="1"/>
  <c r="E656" i="4"/>
  <c r="F656" i="4" s="1"/>
  <c r="E657" i="4"/>
  <c r="F657" i="4" s="1"/>
  <c r="E658" i="4"/>
  <c r="F658" i="4" s="1"/>
  <c r="E659" i="4"/>
  <c r="F659" i="4" s="1"/>
  <c r="E660" i="4"/>
  <c r="F660" i="4" s="1"/>
  <c r="E661" i="4"/>
  <c r="F661" i="4" s="1"/>
  <c r="E662" i="4"/>
  <c r="F662" i="4" s="1"/>
  <c r="E663" i="4"/>
  <c r="F663" i="4" s="1"/>
  <c r="E664" i="4"/>
  <c r="F664" i="4" s="1"/>
  <c r="E665" i="4"/>
  <c r="F665" i="4" s="1"/>
  <c r="E666" i="4"/>
  <c r="F666" i="4" s="1"/>
  <c r="E667" i="4"/>
  <c r="F667" i="4" s="1"/>
  <c r="E668" i="4"/>
  <c r="F668" i="4" s="1"/>
  <c r="E669" i="4"/>
  <c r="F669" i="4" s="1"/>
  <c r="E670" i="4"/>
  <c r="F670" i="4" s="1"/>
  <c r="E671" i="4"/>
  <c r="F671" i="4" s="1"/>
  <c r="E672" i="4"/>
  <c r="F672" i="4" s="1"/>
  <c r="E673" i="4"/>
  <c r="F673" i="4" s="1"/>
  <c r="E674" i="4"/>
  <c r="F674" i="4" s="1"/>
  <c r="E675" i="4"/>
  <c r="F675" i="4" s="1"/>
  <c r="E676" i="4"/>
  <c r="F676" i="4" s="1"/>
  <c r="E677" i="4"/>
  <c r="F677" i="4" s="1"/>
  <c r="E678" i="4"/>
  <c r="F678" i="4" s="1"/>
  <c r="E679" i="4"/>
  <c r="F679" i="4" s="1"/>
  <c r="E680" i="4"/>
  <c r="F680" i="4" s="1"/>
  <c r="E681" i="4"/>
  <c r="F681" i="4" s="1"/>
  <c r="E682" i="4"/>
  <c r="F682" i="4" s="1"/>
  <c r="E683" i="4"/>
  <c r="F683" i="4" s="1"/>
  <c r="E684" i="4"/>
  <c r="F684" i="4" s="1"/>
  <c r="E685" i="4"/>
  <c r="F685" i="4" s="1"/>
  <c r="E686" i="4"/>
  <c r="F686" i="4" s="1"/>
  <c r="E687" i="4"/>
  <c r="F687" i="4" s="1"/>
  <c r="E688" i="4"/>
  <c r="F688" i="4" s="1"/>
  <c r="E689" i="4"/>
  <c r="F689" i="4" s="1"/>
  <c r="E690" i="4"/>
  <c r="F690" i="4" s="1"/>
  <c r="E691" i="4"/>
  <c r="F691" i="4" s="1"/>
  <c r="E692" i="4"/>
  <c r="F692" i="4" s="1"/>
  <c r="E693" i="4"/>
  <c r="F693" i="4" s="1"/>
  <c r="E694" i="4"/>
  <c r="F694" i="4" s="1"/>
  <c r="E695" i="4"/>
  <c r="F695" i="4" s="1"/>
  <c r="E696" i="4"/>
  <c r="F696" i="4" s="1"/>
  <c r="E697" i="4"/>
  <c r="F697" i="4" s="1"/>
  <c r="E698" i="4"/>
  <c r="F698" i="4" s="1"/>
  <c r="E699" i="4"/>
  <c r="F699" i="4" s="1"/>
  <c r="E700" i="4"/>
  <c r="F700" i="4" s="1"/>
  <c r="E701" i="4"/>
  <c r="F701" i="4" s="1"/>
  <c r="E702" i="4"/>
  <c r="F702" i="4" s="1"/>
  <c r="E703" i="4"/>
  <c r="F703" i="4" s="1"/>
  <c r="E704" i="4"/>
  <c r="F704" i="4" s="1"/>
  <c r="E705" i="4"/>
  <c r="F705" i="4" s="1"/>
  <c r="E706" i="4"/>
  <c r="F706" i="4" s="1"/>
  <c r="E707" i="4"/>
  <c r="F707" i="4" s="1"/>
  <c r="E708" i="4"/>
  <c r="F708" i="4" s="1"/>
  <c r="E709" i="4"/>
  <c r="F709" i="4" s="1"/>
  <c r="E710" i="4"/>
  <c r="F710" i="4" s="1"/>
  <c r="E711" i="4"/>
  <c r="F711" i="4" s="1"/>
  <c r="E712" i="4"/>
  <c r="F712" i="4" s="1"/>
  <c r="E713" i="4"/>
  <c r="F713" i="4" s="1"/>
  <c r="E714" i="4"/>
  <c r="F714" i="4" s="1"/>
  <c r="E715" i="4"/>
  <c r="F715" i="4" s="1"/>
  <c r="E716" i="4"/>
  <c r="F716" i="4" s="1"/>
  <c r="E717" i="4"/>
  <c r="F717" i="4" s="1"/>
  <c r="E718" i="4"/>
  <c r="F718" i="4" s="1"/>
  <c r="E719" i="4"/>
  <c r="F719" i="4" s="1"/>
  <c r="E720" i="4"/>
  <c r="F720" i="4" s="1"/>
  <c r="E721" i="4"/>
  <c r="F721" i="4" s="1"/>
  <c r="E722" i="4"/>
  <c r="F722" i="4" s="1"/>
  <c r="E723" i="4"/>
  <c r="F723" i="4" s="1"/>
  <c r="E724" i="4"/>
  <c r="F724" i="4" s="1"/>
  <c r="E725" i="4"/>
  <c r="F725" i="4" s="1"/>
  <c r="E726" i="4"/>
  <c r="F726" i="4" s="1"/>
  <c r="E727" i="4"/>
  <c r="F727" i="4" s="1"/>
  <c r="E728" i="4"/>
  <c r="F728" i="4" s="1"/>
  <c r="E729" i="4"/>
  <c r="F729" i="4" s="1"/>
  <c r="E730" i="4"/>
  <c r="F730" i="4" s="1"/>
  <c r="E731" i="4"/>
  <c r="F731" i="4" s="1"/>
  <c r="E732" i="4"/>
  <c r="F732" i="4" s="1"/>
  <c r="E733" i="4"/>
  <c r="F733" i="4" s="1"/>
  <c r="E734" i="4"/>
  <c r="F734" i="4" s="1"/>
  <c r="E735" i="4"/>
  <c r="F735" i="4" s="1"/>
  <c r="E736" i="4"/>
  <c r="F736" i="4" s="1"/>
  <c r="E737" i="4"/>
  <c r="F737" i="4" s="1"/>
  <c r="E738" i="4"/>
  <c r="F738" i="4" s="1"/>
  <c r="E739" i="4"/>
  <c r="F739" i="4" s="1"/>
  <c r="E740" i="4"/>
  <c r="F740" i="4" s="1"/>
  <c r="E741" i="4"/>
  <c r="F741" i="4" s="1"/>
  <c r="E742" i="4"/>
  <c r="F742" i="4" s="1"/>
  <c r="E743" i="4"/>
  <c r="F743" i="4" s="1"/>
  <c r="E744" i="4"/>
  <c r="F744" i="4" s="1"/>
  <c r="E745" i="4"/>
  <c r="F745" i="4" s="1"/>
  <c r="E746" i="4"/>
  <c r="F746" i="4" s="1"/>
  <c r="E747" i="4"/>
  <c r="F747" i="4" s="1"/>
  <c r="E748" i="4"/>
  <c r="F748" i="4" s="1"/>
  <c r="E749" i="4"/>
  <c r="F749" i="4" s="1"/>
  <c r="E750" i="4"/>
  <c r="F750" i="4" s="1"/>
  <c r="E751" i="4"/>
  <c r="F751" i="4" s="1"/>
  <c r="E752" i="4"/>
  <c r="F752" i="4" s="1"/>
  <c r="E753" i="4"/>
  <c r="F753" i="4" s="1"/>
  <c r="E754" i="4"/>
  <c r="F754" i="4" s="1"/>
  <c r="E755" i="4"/>
  <c r="F755" i="4" s="1"/>
  <c r="E756" i="4"/>
  <c r="F756" i="4" s="1"/>
  <c r="E757" i="4"/>
  <c r="F757" i="4" s="1"/>
  <c r="E758" i="4"/>
  <c r="F758" i="4" s="1"/>
  <c r="E759" i="4"/>
  <c r="F759" i="4" s="1"/>
  <c r="E760" i="4"/>
  <c r="F760" i="4" s="1"/>
  <c r="E761" i="4"/>
  <c r="F761" i="4" s="1"/>
  <c r="E762" i="4"/>
  <c r="F762" i="4" s="1"/>
  <c r="E763" i="4"/>
  <c r="F763" i="4" s="1"/>
  <c r="E764" i="4"/>
  <c r="F764" i="4" s="1"/>
  <c r="E765" i="4"/>
  <c r="F765" i="4" s="1"/>
  <c r="E766" i="4"/>
  <c r="F766" i="4" s="1"/>
  <c r="E767" i="4"/>
  <c r="F767" i="4" s="1"/>
  <c r="E768" i="4"/>
  <c r="F768" i="4" s="1"/>
  <c r="E769" i="4"/>
  <c r="F769" i="4" s="1"/>
  <c r="E770" i="4"/>
  <c r="F770" i="4" s="1"/>
  <c r="E771" i="4"/>
  <c r="F771" i="4" s="1"/>
  <c r="E772" i="4"/>
  <c r="F772" i="4" s="1"/>
  <c r="E773" i="4"/>
  <c r="F773" i="4" s="1"/>
  <c r="E774" i="4"/>
  <c r="F774" i="4" s="1"/>
  <c r="E775" i="4"/>
  <c r="F775" i="4" s="1"/>
  <c r="E776" i="4"/>
  <c r="F776" i="4" s="1"/>
  <c r="E777" i="4"/>
  <c r="F777" i="4" s="1"/>
  <c r="E778" i="4"/>
  <c r="F778" i="4" s="1"/>
  <c r="E779" i="4"/>
  <c r="F779" i="4" s="1"/>
  <c r="E780" i="4"/>
  <c r="F780" i="4" s="1"/>
  <c r="E781" i="4"/>
  <c r="F781" i="4" s="1"/>
  <c r="E782" i="4"/>
  <c r="F782" i="4" s="1"/>
  <c r="E783" i="4"/>
  <c r="F783" i="4" s="1"/>
  <c r="E784" i="4"/>
  <c r="F784" i="4" s="1"/>
  <c r="E785" i="4"/>
  <c r="F785" i="4" s="1"/>
  <c r="E786" i="4"/>
  <c r="F786" i="4" s="1"/>
  <c r="E787" i="4"/>
  <c r="F787" i="4" s="1"/>
  <c r="E788" i="4"/>
  <c r="F788" i="4" s="1"/>
  <c r="E789" i="4"/>
  <c r="F789" i="4" s="1"/>
  <c r="E790" i="4"/>
  <c r="F790" i="4" s="1"/>
  <c r="E791" i="4"/>
  <c r="F791" i="4" s="1"/>
  <c r="E792" i="4"/>
  <c r="F792" i="4" s="1"/>
  <c r="E793" i="4"/>
  <c r="F793" i="4" s="1"/>
  <c r="E794" i="4"/>
  <c r="F794" i="4" s="1"/>
  <c r="E795" i="4"/>
  <c r="F795" i="4" s="1"/>
  <c r="E796" i="4"/>
  <c r="F796" i="4" s="1"/>
  <c r="E797" i="4"/>
  <c r="F797" i="4" s="1"/>
  <c r="E798" i="4"/>
  <c r="F798" i="4" s="1"/>
  <c r="E799" i="4"/>
  <c r="F799" i="4" s="1"/>
  <c r="E800" i="4"/>
  <c r="F800" i="4" s="1"/>
  <c r="E801" i="4"/>
  <c r="F801" i="4" s="1"/>
  <c r="E802" i="4"/>
  <c r="F802" i="4" s="1"/>
  <c r="E803" i="4"/>
  <c r="F803" i="4" s="1"/>
  <c r="E804" i="4"/>
  <c r="F804" i="4" s="1"/>
  <c r="E805" i="4"/>
  <c r="F805" i="4" s="1"/>
  <c r="E806" i="4"/>
  <c r="F806" i="4" s="1"/>
  <c r="E807" i="4"/>
  <c r="F807" i="4" s="1"/>
  <c r="E808" i="4"/>
  <c r="F808" i="4" s="1"/>
  <c r="E809" i="4"/>
  <c r="F809" i="4" s="1"/>
  <c r="E810" i="4"/>
  <c r="F810" i="4" s="1"/>
  <c r="E811" i="4"/>
  <c r="F811" i="4" s="1"/>
  <c r="E812" i="4"/>
  <c r="F812" i="4" s="1"/>
  <c r="E813" i="4"/>
  <c r="F813" i="4" s="1"/>
  <c r="E814" i="4"/>
  <c r="F814" i="4" s="1"/>
  <c r="E815" i="4"/>
  <c r="F815" i="4" s="1"/>
  <c r="E816" i="4"/>
  <c r="F816" i="4" s="1"/>
  <c r="E817" i="4"/>
  <c r="F817" i="4" s="1"/>
  <c r="E818" i="4"/>
  <c r="F818" i="4" s="1"/>
  <c r="E819" i="4"/>
  <c r="F819" i="4" s="1"/>
  <c r="E820" i="4"/>
  <c r="F820" i="4" s="1"/>
  <c r="E821" i="4"/>
  <c r="F821" i="4" s="1"/>
  <c r="E822" i="4"/>
  <c r="F822" i="4" s="1"/>
  <c r="E823" i="4"/>
  <c r="F823" i="4" s="1"/>
  <c r="E824" i="4"/>
  <c r="F824" i="4" s="1"/>
  <c r="E825" i="4"/>
  <c r="F825" i="4" s="1"/>
  <c r="E826" i="4"/>
  <c r="F826" i="4" s="1"/>
  <c r="E827" i="4"/>
  <c r="F827" i="4" s="1"/>
  <c r="E828" i="4"/>
  <c r="F828" i="4" s="1"/>
  <c r="E829" i="4"/>
  <c r="F829" i="4" s="1"/>
  <c r="E830" i="4"/>
  <c r="F830" i="4" s="1"/>
  <c r="E831" i="4"/>
  <c r="F831" i="4" s="1"/>
  <c r="E832" i="4"/>
  <c r="F832" i="4" s="1"/>
  <c r="E833" i="4"/>
  <c r="F833" i="4" s="1"/>
  <c r="E834" i="4"/>
  <c r="F834" i="4" s="1"/>
  <c r="E835" i="4"/>
  <c r="F835" i="4" s="1"/>
  <c r="E836" i="4"/>
  <c r="F836" i="4" s="1"/>
  <c r="E837" i="4"/>
  <c r="F837" i="4" s="1"/>
  <c r="E838" i="4"/>
  <c r="F838" i="4" s="1"/>
  <c r="E839" i="4"/>
  <c r="F839" i="4" s="1"/>
  <c r="E840" i="4"/>
  <c r="F840" i="4" s="1"/>
  <c r="E841" i="4"/>
  <c r="F841" i="4" s="1"/>
  <c r="E842" i="4"/>
  <c r="F842" i="4" s="1"/>
  <c r="E843" i="4"/>
  <c r="F843" i="4" s="1"/>
  <c r="E844" i="4"/>
  <c r="F844" i="4" s="1"/>
  <c r="E845" i="4"/>
  <c r="F845" i="4" s="1"/>
  <c r="E846" i="4"/>
  <c r="F846" i="4" s="1"/>
  <c r="E847" i="4"/>
  <c r="F847" i="4" s="1"/>
  <c r="E848" i="4"/>
  <c r="F848" i="4" s="1"/>
  <c r="E849" i="4"/>
  <c r="F849" i="4" s="1"/>
  <c r="E850" i="4"/>
  <c r="F850" i="4" s="1"/>
  <c r="E851" i="4"/>
  <c r="F851" i="4" s="1"/>
  <c r="E852" i="4"/>
  <c r="F852" i="4" s="1"/>
  <c r="E853" i="4"/>
  <c r="F853" i="4" s="1"/>
  <c r="E854" i="4"/>
  <c r="F854" i="4" s="1"/>
  <c r="E855" i="4"/>
  <c r="F855" i="4" s="1"/>
  <c r="E856" i="4"/>
  <c r="F856" i="4" s="1"/>
  <c r="E857" i="4"/>
  <c r="F857" i="4" s="1"/>
  <c r="E858" i="4"/>
  <c r="F858" i="4" s="1"/>
  <c r="E859" i="4"/>
  <c r="F859" i="4" s="1"/>
  <c r="E860" i="4"/>
  <c r="F860" i="4" s="1"/>
  <c r="E861" i="4"/>
  <c r="F861" i="4" s="1"/>
  <c r="E862" i="4"/>
  <c r="F862" i="4" s="1"/>
  <c r="E863" i="4"/>
  <c r="F863" i="4" s="1"/>
  <c r="E864" i="4"/>
  <c r="F864" i="4" s="1"/>
  <c r="E865" i="4"/>
  <c r="F865" i="4" s="1"/>
  <c r="E866" i="4"/>
  <c r="F866" i="4" s="1"/>
  <c r="E867" i="4"/>
  <c r="F867" i="4" s="1"/>
  <c r="E868" i="4"/>
  <c r="F868" i="4" s="1"/>
  <c r="E869" i="4"/>
  <c r="F869" i="4" s="1"/>
  <c r="E870" i="4"/>
  <c r="F870" i="4" s="1"/>
  <c r="E871" i="4"/>
  <c r="F871" i="4" s="1"/>
  <c r="E872" i="4"/>
  <c r="F872" i="4" s="1"/>
  <c r="E873" i="4"/>
  <c r="F873" i="4" s="1"/>
  <c r="E874" i="4"/>
  <c r="F874" i="4" s="1"/>
  <c r="E875" i="4"/>
  <c r="F875" i="4" s="1"/>
  <c r="E876" i="4"/>
  <c r="F876" i="4" s="1"/>
  <c r="E877" i="4"/>
  <c r="F877" i="4" s="1"/>
  <c r="E878" i="4"/>
  <c r="F878" i="4" s="1"/>
  <c r="E879" i="4"/>
  <c r="F879" i="4" s="1"/>
  <c r="E880" i="4"/>
  <c r="F880" i="4" s="1"/>
  <c r="E881" i="4"/>
  <c r="F881" i="4" s="1"/>
  <c r="E882" i="4"/>
  <c r="F882" i="4" s="1"/>
  <c r="E883" i="4"/>
  <c r="F883" i="4" s="1"/>
  <c r="E884" i="4"/>
  <c r="F884" i="4" s="1"/>
  <c r="E885" i="4"/>
  <c r="F885" i="4" s="1"/>
  <c r="E886" i="4"/>
  <c r="F886" i="4" s="1"/>
  <c r="E887" i="4"/>
  <c r="F887" i="4" s="1"/>
  <c r="E888" i="4"/>
  <c r="F888" i="4" s="1"/>
  <c r="E889" i="4"/>
  <c r="F889" i="4" s="1"/>
  <c r="E890" i="4"/>
  <c r="F890" i="4" s="1"/>
  <c r="E891" i="4"/>
  <c r="F891" i="4" s="1"/>
  <c r="E892" i="4"/>
  <c r="F892" i="4" s="1"/>
  <c r="E893" i="4"/>
  <c r="F893" i="4" s="1"/>
  <c r="E894" i="4"/>
  <c r="F894" i="4" s="1"/>
  <c r="E895" i="4"/>
  <c r="F895" i="4" s="1"/>
  <c r="E896" i="4"/>
  <c r="F896" i="4" s="1"/>
  <c r="E897" i="4"/>
  <c r="F897" i="4" s="1"/>
  <c r="E898" i="4"/>
  <c r="F898" i="4" s="1"/>
  <c r="E899" i="4"/>
  <c r="F899" i="4" s="1"/>
  <c r="E900" i="4"/>
  <c r="F900" i="4" s="1"/>
  <c r="E901" i="4"/>
  <c r="F901" i="4" s="1"/>
  <c r="E902" i="4"/>
  <c r="F902" i="4" s="1"/>
  <c r="E903" i="4"/>
  <c r="F903" i="4" s="1"/>
  <c r="E904" i="4"/>
  <c r="F904" i="4" s="1"/>
  <c r="E905" i="4"/>
  <c r="F905" i="4" s="1"/>
  <c r="E906" i="4"/>
  <c r="F906" i="4" s="1"/>
  <c r="E907" i="4"/>
  <c r="F907" i="4" s="1"/>
  <c r="E908" i="4"/>
  <c r="F908" i="4" s="1"/>
  <c r="E909" i="4"/>
  <c r="F909" i="4" s="1"/>
  <c r="E910" i="4"/>
  <c r="F910" i="4" s="1"/>
  <c r="E911" i="4"/>
  <c r="F911" i="4" s="1"/>
  <c r="E912" i="4"/>
  <c r="F912" i="4" s="1"/>
  <c r="E913" i="4"/>
  <c r="F913" i="4" s="1"/>
  <c r="E914" i="4"/>
  <c r="F914" i="4" s="1"/>
  <c r="E915" i="4"/>
  <c r="F915" i="4" s="1"/>
  <c r="E916" i="4"/>
  <c r="F916" i="4" s="1"/>
  <c r="E917" i="4"/>
  <c r="F917" i="4" s="1"/>
  <c r="E918" i="4"/>
  <c r="F918" i="4" s="1"/>
  <c r="E919" i="4"/>
  <c r="F919" i="4" s="1"/>
  <c r="E920" i="4"/>
  <c r="F920" i="4" s="1"/>
  <c r="E921" i="4"/>
  <c r="F921" i="4" s="1"/>
  <c r="E922" i="4"/>
  <c r="F922" i="4" s="1"/>
  <c r="E923" i="4"/>
  <c r="F923" i="4" s="1"/>
  <c r="E924" i="4"/>
  <c r="F924" i="4" s="1"/>
  <c r="E925" i="4"/>
  <c r="F925" i="4" s="1"/>
  <c r="E926" i="4"/>
  <c r="F926" i="4" s="1"/>
  <c r="E927" i="4"/>
  <c r="F927" i="4" s="1"/>
  <c r="E928" i="4"/>
  <c r="F928" i="4" s="1"/>
  <c r="E929" i="4"/>
  <c r="F929" i="4" s="1"/>
  <c r="E930" i="4"/>
  <c r="F930" i="4" s="1"/>
  <c r="E931" i="4"/>
  <c r="F931" i="4" s="1"/>
  <c r="E932" i="4"/>
  <c r="F932" i="4" s="1"/>
  <c r="E933" i="4"/>
  <c r="F933" i="4" s="1"/>
  <c r="E934" i="4"/>
  <c r="F934" i="4" s="1"/>
  <c r="E935" i="4"/>
  <c r="F935" i="4" s="1"/>
  <c r="E936" i="4"/>
  <c r="F936" i="4" s="1"/>
  <c r="E937" i="4"/>
  <c r="F937" i="4" s="1"/>
  <c r="E938" i="4"/>
  <c r="F938" i="4" s="1"/>
  <c r="E939" i="4"/>
  <c r="F939" i="4" s="1"/>
  <c r="E940" i="4"/>
  <c r="F940" i="4" s="1"/>
  <c r="E941" i="4"/>
  <c r="F941" i="4" s="1"/>
  <c r="E942" i="4"/>
  <c r="F942" i="4" s="1"/>
  <c r="E943" i="4"/>
  <c r="F943" i="4" s="1"/>
  <c r="E944" i="4"/>
  <c r="F944" i="4" s="1"/>
  <c r="E945" i="4"/>
  <c r="F945" i="4" s="1"/>
  <c r="E946" i="4"/>
  <c r="F946" i="4" s="1"/>
  <c r="E947" i="4"/>
  <c r="F947" i="4" s="1"/>
  <c r="E948" i="4"/>
  <c r="F948" i="4" s="1"/>
  <c r="E949" i="4"/>
  <c r="F949" i="4" s="1"/>
  <c r="E950" i="4"/>
  <c r="F950" i="4" s="1"/>
  <c r="E951" i="4"/>
  <c r="F951" i="4" s="1"/>
  <c r="E952" i="4"/>
  <c r="F952" i="4" s="1"/>
  <c r="E953" i="4"/>
  <c r="F953" i="4" s="1"/>
  <c r="E954" i="4"/>
  <c r="F954" i="4" s="1"/>
  <c r="E955" i="4"/>
  <c r="F955" i="4" s="1"/>
  <c r="E956" i="4"/>
  <c r="F956" i="4" s="1"/>
  <c r="E957" i="4"/>
  <c r="F957" i="4" s="1"/>
  <c r="E958" i="4"/>
  <c r="F958" i="4" s="1"/>
  <c r="E959" i="4"/>
  <c r="F959" i="4" s="1"/>
  <c r="E960" i="4"/>
  <c r="F960" i="4" s="1"/>
  <c r="E961" i="4"/>
  <c r="F961" i="4" s="1"/>
  <c r="E962" i="4"/>
  <c r="F962" i="4" s="1"/>
  <c r="E963" i="4"/>
  <c r="F963" i="4" s="1"/>
  <c r="E964" i="4"/>
  <c r="F964" i="4" s="1"/>
  <c r="E965" i="4"/>
  <c r="F965" i="4" s="1"/>
  <c r="E966" i="4"/>
  <c r="F966" i="4" s="1"/>
  <c r="E967" i="4"/>
  <c r="F967" i="4" s="1"/>
  <c r="E968" i="4"/>
  <c r="F968" i="4" s="1"/>
  <c r="E969" i="4"/>
  <c r="F969" i="4" s="1"/>
  <c r="E970" i="4"/>
  <c r="F970" i="4" s="1"/>
  <c r="E971" i="4"/>
  <c r="F971" i="4" s="1"/>
  <c r="E972" i="4"/>
  <c r="F972" i="4" s="1"/>
  <c r="E973" i="4"/>
  <c r="F973" i="4" s="1"/>
  <c r="E974" i="4"/>
  <c r="F974" i="4" s="1"/>
  <c r="E975" i="4"/>
  <c r="F975" i="4" s="1"/>
  <c r="E976" i="4"/>
  <c r="F976" i="4" s="1"/>
  <c r="E977" i="4"/>
  <c r="F977" i="4" s="1"/>
  <c r="E978" i="4"/>
  <c r="F978" i="4" s="1"/>
  <c r="E979" i="4"/>
  <c r="F979" i="4" s="1"/>
  <c r="E980" i="4"/>
  <c r="F980" i="4" s="1"/>
  <c r="E981" i="4"/>
  <c r="F981" i="4" s="1"/>
  <c r="E982" i="4"/>
  <c r="F982" i="4" s="1"/>
  <c r="E983" i="4"/>
  <c r="F983" i="4" s="1"/>
  <c r="E984" i="4"/>
  <c r="F984" i="4" s="1"/>
  <c r="E985" i="4"/>
  <c r="F985" i="4" s="1"/>
  <c r="E986" i="4"/>
  <c r="F986" i="4" s="1"/>
  <c r="E987" i="4"/>
  <c r="F987" i="4" s="1"/>
  <c r="E988" i="4"/>
  <c r="F988" i="4" s="1"/>
  <c r="E989" i="4"/>
  <c r="F989" i="4" s="1"/>
  <c r="E990" i="4"/>
  <c r="F990" i="4" s="1"/>
  <c r="E991" i="4"/>
  <c r="F991" i="4" s="1"/>
  <c r="E992" i="4"/>
  <c r="F992" i="4" s="1"/>
  <c r="E993" i="4"/>
  <c r="E994" i="4"/>
  <c r="F994" i="4" s="1"/>
  <c r="E995" i="4"/>
  <c r="F995" i="4" s="1"/>
  <c r="E996" i="4"/>
  <c r="F996" i="4" s="1"/>
  <c r="E997" i="4"/>
  <c r="F997" i="4" s="1"/>
  <c r="E998" i="4"/>
  <c r="F998" i="4" s="1"/>
  <c r="E999" i="4"/>
  <c r="F999" i="4" s="1"/>
  <c r="E1000" i="4"/>
  <c r="F1000" i="4" s="1"/>
  <c r="E1001" i="4"/>
  <c r="F1001" i="4" s="1"/>
  <c r="E1002" i="4"/>
  <c r="F1002" i="4" s="1"/>
  <c r="E1003" i="4"/>
  <c r="F1003" i="4" s="1"/>
  <c r="E2" i="4"/>
  <c r="F2" i="4" s="1"/>
  <c r="J55" i="5" l="1"/>
  <c r="J1006" i="5" s="1"/>
  <c r="I1006" i="5"/>
  <c r="F993" i="4"/>
  <c r="G993" i="4"/>
</calcChain>
</file>

<file path=xl/sharedStrings.xml><?xml version="1.0" encoding="utf-8"?>
<sst xmlns="http://schemas.openxmlformats.org/spreadsheetml/2006/main" count="2226" uniqueCount="131">
  <si>
    <t>From/To</t>
  </si>
  <si>
    <t>A</t>
  </si>
  <si>
    <t>P</t>
  </si>
  <si>
    <t>H</t>
  </si>
  <si>
    <t>F</t>
  </si>
  <si>
    <t>C</t>
  </si>
  <si>
    <t>E</t>
  </si>
  <si>
    <t>N</t>
  </si>
  <si>
    <t>M</t>
  </si>
  <si>
    <t>V</t>
  </si>
  <si>
    <t>Family</t>
  </si>
  <si>
    <t>Average per Day</t>
  </si>
  <si>
    <t>23301-NITRANIER F LD,93,F,750:1194,1,1,NW,R,C</t>
  </si>
  <si>
    <t>20705-ETHENIER F HV,93,F,750:1143,1,1,WR,R,S</t>
  </si>
  <si>
    <t>20700-ETHENIER F HV,93,F,750:1300,1,1,WR,R,C</t>
  </si>
  <si>
    <t>25903-AMELIANIER F,93,F,600:1016,1,1,NW,R,C</t>
  </si>
  <si>
    <t>25907-AMELIANIER F,93,F,750:1022,1,1,NW,R,C</t>
  </si>
  <si>
    <t>21301-PLACETATE F,93,F,750:1022,1,1,NW,R,C</t>
  </si>
  <si>
    <t>23603-AMELIANIER F LD,93,F,750:1022,1,1,NW,R,C</t>
  </si>
  <si>
    <t>23318-NITRANIER F,93,F,750:1016,1,1,WR,R,C</t>
  </si>
  <si>
    <t>21304-PLACETATE F,93,F,600:1016,1,1,WR,R,C</t>
  </si>
  <si>
    <t>21902-CELLUNIER F FA,92,F,616:1016,1,1,WR,R,C</t>
  </si>
  <si>
    <t>23511-HICOLOR X F,93,F,750:1194,1,1,WR,R,C</t>
  </si>
  <si>
    <t>20711-ETHENIER F HV,93,F,750:1300,1,1,WR,R,C</t>
  </si>
  <si>
    <t>21218-ETHENIER F,93,F,600:1300,1,1,WR,R,C</t>
  </si>
  <si>
    <t>21401-PLACETATE F HD,93,F,750:1300,1,1,WR,R,C</t>
  </si>
  <si>
    <t>23520-HICOLOR X F,93,F,750:1194,1,1,WR,R,C</t>
  </si>
  <si>
    <t>23309-NITRANIER F LD,93,F,600:1194,1,1,WR,R,C</t>
  </si>
  <si>
    <t>23847-FIBERNIER F TRE,92,F,750:715,1,6,WR,B,S</t>
  </si>
  <si>
    <t>22103-AMELIANIER F,93,F,750:1295,1,1,NW,R,C</t>
  </si>
  <si>
    <t>22111-AMELIANIER F,93,F,1000:720,1,6,WR,B,S</t>
  </si>
  <si>
    <t>21907-CELLUNIER F,92,F,750:1300,1,1,WR,R,C</t>
  </si>
  <si>
    <t>23315-HICOLOR X F,93,F,750:1372,1,1,WR,R,C</t>
  </si>
  <si>
    <t>20706-ETHENIER F HV,93,F,750:1143,1,1,WR,R,S</t>
  </si>
  <si>
    <t>23304-NITRANIER F LD,93,F,600:1194,1,1,WR,R,C</t>
  </si>
  <si>
    <t>23850-FIBERNIER F,92,F,600:1300,1,1,WR,R,C</t>
  </si>
  <si>
    <t>23866-VISCONIER F LY,92,F,750:1300,1,1,WR,R,S</t>
  </si>
  <si>
    <t>25910-AMELIANIER F,93,F,750:1300,1,1,WR,R,C</t>
  </si>
  <si>
    <t>23522-HICOLOR X F,93,F,750:1194,1,1,WR,R,C</t>
  </si>
  <si>
    <t>23108-VISCONIER F FA,93,F,750:775,1,6,WR,B,S</t>
  </si>
  <si>
    <t>25904-AMELIANIER F,93,F,750:1016,1,1,WR,R,C</t>
  </si>
  <si>
    <t>21925-CELLUNIER F,92,F,750:1300,1,1,WR,R,C</t>
  </si>
  <si>
    <t>23109-HICOLOR X F,93,F,750:600,6,1,WR,B,S</t>
  </si>
  <si>
    <t>25902-AMELIANIER F,93,F,600:1016,1,1,NW,R,C</t>
  </si>
  <si>
    <t>21908-CELLUNIER F,92,F,750:645,1,4,WR,B,S</t>
  </si>
  <si>
    <t>23527-HICOLOR X F,93,F,750:1194,1,1,WR,R,C</t>
  </si>
  <si>
    <t>21929-Cellunier-F,92,429:1123,1,1,WR,R,S</t>
  </si>
  <si>
    <t>21926-CELLUNIER F,92,F,750:645,1,4,WR,B,S</t>
  </si>
  <si>
    <t>21208-ETHENIER F,93,F,600:1016,1,1,WR,R,C</t>
  </si>
  <si>
    <t>21930-CELLUNIER F,92,750:1143,1,1,NW,R,S</t>
  </si>
  <si>
    <t>21205-ETHENIER F,93,F,750:645,1,4,WR,B,S</t>
  </si>
  <si>
    <t>29103-Micronier F,93,600:1143,1,1,WR,R,S</t>
  </si>
  <si>
    <t>29102-MICRONIER F,93,F,600:1143,1,1,WR,R,S</t>
  </si>
  <si>
    <t>21217-ETHENIER F,93,F,750:645,1,4,WR,B,S</t>
  </si>
  <si>
    <t>27103-AMELIANIER F WS,93,F,750:1300,1,1,NW,R,S</t>
  </si>
  <si>
    <t>23110-HICOLOR X F,93,F,750:775,1,6,WR,B,S</t>
  </si>
  <si>
    <t>27104-PLACETATE F,93,F,600:1016,1,1,NW,R,S</t>
  </si>
  <si>
    <t>22112-AMELIANIER F,93,F,750:1143,1,1,WR,R,C</t>
  </si>
  <si>
    <t>27105-AMELIANIER F,93,F,750:700,1,6,NW,B,S</t>
  </si>
  <si>
    <t>27106-ETHENIER F HV,93,F,750:1143,1,1,WR,R,S</t>
  </si>
  <si>
    <t>23860-Fibernier-F,92,600:800,1,1,WR,B,S</t>
  </si>
  <si>
    <t>21916-CELLUNIER F,92,F,750:1300,1,1,WR,R,C</t>
  </si>
  <si>
    <t>27109-AMELIANIER F,93,F,750:1300,1,1,WR,R,S</t>
  </si>
  <si>
    <t>Product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</si>
  <si>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</si>
  <si>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</si>
  <si>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</si>
  <si>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</si>
  <si>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</si>
  <si>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</si>
  <si>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</si>
  <si>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</si>
  <si>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</si>
  <si>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</si>
  <si>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</si>
  <si>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</si>
  <si>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C1</t>
  </si>
  <si>
    <t>E1</t>
  </si>
  <si>
    <t>C2</t>
  </si>
  <si>
    <t>C3</t>
  </si>
  <si>
    <t>C4</t>
  </si>
  <si>
    <t>C5</t>
  </si>
  <si>
    <t>C6</t>
  </si>
  <si>
    <t>C7</t>
  </si>
  <si>
    <t>C8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</si>
  <si>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</si>
  <si>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</si>
  <si>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</si>
  <si>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</si>
  <si>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</si>
  <si>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</si>
  <si>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</si>
  <si>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</si>
  <si>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</si>
  <si>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H1</t>
  </si>
  <si>
    <t>M1</t>
  </si>
  <si>
    <t>F2</t>
  </si>
  <si>
    <t>F3</t>
  </si>
  <si>
    <t>H2</t>
  </si>
  <si>
    <t>N1</t>
  </si>
  <si>
    <t>H3</t>
  </si>
  <si>
    <t>H4</t>
  </si>
  <si>
    <t>H5</t>
  </si>
  <si>
    <t>H6</t>
  </si>
  <si>
    <t>H7</t>
  </si>
  <si>
    <t>N3</t>
  </si>
  <si>
    <t>P3</t>
  </si>
  <si>
    <t>P4</t>
  </si>
  <si>
    <t>P1</t>
  </si>
  <si>
    <t>V1</t>
  </si>
  <si>
    <t>M2</t>
  </si>
  <si>
    <t>N4</t>
  </si>
  <si>
    <t>N2</t>
  </si>
  <si>
    <t>P2</t>
  </si>
  <si>
    <t>V2</t>
  </si>
  <si>
    <t>Order ID</t>
  </si>
  <si>
    <t>Order Confirmed Date</t>
  </si>
  <si>
    <t>Product Long</t>
  </si>
  <si>
    <t>QTY</t>
  </si>
  <si>
    <t>Expected Delivery Date</t>
  </si>
  <si>
    <t>Famille</t>
  </si>
  <si>
    <t>Quantity</t>
  </si>
  <si>
    <t>Average</t>
  </si>
  <si>
    <t>Release Date</t>
  </si>
  <si>
    <t>Due Date</t>
  </si>
  <si>
    <t>Days Limit</t>
  </si>
  <si>
    <t>Processing time/ day</t>
  </si>
  <si>
    <t>Processing time/ hour</t>
  </si>
  <si>
    <t>Rotation</t>
  </si>
  <si>
    <t>Tota Processing time / hour</t>
  </si>
  <si>
    <t>Total Processing time 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</si>
</sst>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907D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2" fontId="0" fillId="0" borderId="0" xfId="0" applyNumberFormat="1"/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9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4754-C9F8-4F3A-9E6D-BF6DA8B08034}">
  <dimension ref="A1:H1003"/>
  <sheetViews>
    <sheetView workbookViewId="0">
      <pane ySplit="1" topLeftCell="A2" activePane="bottomLeft" state="frozen"/>
      <selection pane="bottomLeft" activeCell="G34" sqref="G34"/>
    </sheetView>
  </sheetViews>
  <sheetFormatPr baseColWidth="10" defaultRowHeight="15"/>
  <cols>
    <col min="2" max="2" width="7.33203125" bestFit="1" customWidth="1"/>
    <col min="4" max="4" width="18.6640625" bestFit="1" customWidth="1"/>
    <col min="5" max="5" width="19.1640625" bestFit="1" customWidth="1"/>
  </cols>
  <sheetData>
    <row r="1" spans="1:8">
      <c r="A1" t="s">
        <v>115</v>
      </c>
      <c r="B1" t="s">
        <v>63</v>
      </c>
      <c r="C1" t="s">
        <v>118</v>
      </c>
      <c r="D1" t="s">
        <v>116</v>
      </c>
      <c r="E1" t="s">
        <v>119</v>
      </c>
      <c r="G1" s="5" t="s">
        <v>1</v>
      </c>
      <c r="H1" s="8">
        <v>407.17274615384616</v>
      </c>
    </row>
    <row r="2" spans="1:8">
      <c r="A2">
        <v>1</v>
      </c>
      <c r="B2" t="s">
        <v>99</v>
      </c>
      <c r="C2" s="11">
        <v>19</v>
      </c>
      <c r="D2" s="12">
        <v>45666</v>
      </c>
      <c r="E2" s="12">
        <f t="shared" ref="E2:E65" si="0">D2+6*7</f>
        <v>45708</v>
      </c>
      <c r="F2">
        <f t="shared" ref="F2:F65" si="1">E2-D2</f>
        <v>42</v>
      </c>
      <c r="G2" s="5" t="s">
        <v>2</v>
      </c>
      <c r="H2" s="8">
        <v>409.15000000000003</v>
      </c>
    </row>
    <row r="3" spans="1:8">
      <c r="A3">
        <v>2</v>
      </c>
      <c r="B3" t="s">
        <v>99</v>
      </c>
      <c r="C3" s="11">
        <v>19</v>
      </c>
      <c r="D3" s="12">
        <v>45666</v>
      </c>
      <c r="E3" s="12">
        <f t="shared" si="0"/>
        <v>45708</v>
      </c>
      <c r="F3">
        <f t="shared" si="1"/>
        <v>42</v>
      </c>
      <c r="G3" s="4" t="s">
        <v>3</v>
      </c>
      <c r="H3" s="8">
        <v>402.0172</v>
      </c>
    </row>
    <row r="4" spans="1:8">
      <c r="A4">
        <v>3</v>
      </c>
      <c r="B4" t="s">
        <v>99</v>
      </c>
      <c r="C4" s="11">
        <v>19</v>
      </c>
      <c r="D4" s="12">
        <v>45666</v>
      </c>
      <c r="E4" s="12">
        <f t="shared" si="0"/>
        <v>45708</v>
      </c>
      <c r="F4">
        <f t="shared" si="1"/>
        <v>42</v>
      </c>
      <c r="G4" s="5" t="s">
        <v>4</v>
      </c>
      <c r="H4" s="8">
        <v>394.97919999999999</v>
      </c>
    </row>
    <row r="5" spans="1:8">
      <c r="A5">
        <v>4</v>
      </c>
      <c r="B5" t="s">
        <v>99</v>
      </c>
      <c r="C5" s="11">
        <v>19</v>
      </c>
      <c r="D5" s="12">
        <v>45666</v>
      </c>
      <c r="E5" s="12">
        <f t="shared" si="0"/>
        <v>45708</v>
      </c>
      <c r="F5">
        <f t="shared" si="1"/>
        <v>42</v>
      </c>
      <c r="G5" s="5" t="s">
        <v>5</v>
      </c>
      <c r="H5" s="8">
        <v>411.10680000000002</v>
      </c>
    </row>
    <row r="6" spans="1:8">
      <c r="A6">
        <v>5</v>
      </c>
      <c r="B6" t="s">
        <v>99</v>
      </c>
      <c r="C6" s="11">
        <v>19</v>
      </c>
      <c r="D6" s="12">
        <v>45666</v>
      </c>
      <c r="E6" s="12">
        <f t="shared" si="0"/>
        <v>45708</v>
      </c>
      <c r="F6">
        <f t="shared" si="1"/>
        <v>42</v>
      </c>
      <c r="G6" s="5" t="s">
        <v>6</v>
      </c>
      <c r="H6" s="8">
        <v>333.6641221374046</v>
      </c>
    </row>
    <row r="7" spans="1:8">
      <c r="A7">
        <v>6</v>
      </c>
      <c r="B7" t="s">
        <v>99</v>
      </c>
      <c r="C7" s="11">
        <v>19</v>
      </c>
      <c r="D7" s="12">
        <v>45666</v>
      </c>
      <c r="E7" s="12">
        <f t="shared" si="0"/>
        <v>45708</v>
      </c>
      <c r="F7">
        <f t="shared" si="1"/>
        <v>42</v>
      </c>
      <c r="G7" s="5" t="s">
        <v>7</v>
      </c>
      <c r="H7">
        <v>334.18</v>
      </c>
    </row>
    <row r="8" spans="1:8">
      <c r="A8">
        <v>7</v>
      </c>
      <c r="B8" t="s">
        <v>77</v>
      </c>
      <c r="C8" s="11">
        <v>18</v>
      </c>
      <c r="D8" s="12">
        <v>45671</v>
      </c>
      <c r="E8" s="12">
        <f t="shared" si="0"/>
        <v>45713</v>
      </c>
      <c r="F8">
        <f t="shared" si="1"/>
        <v>42</v>
      </c>
      <c r="G8" s="5" t="s">
        <v>8</v>
      </c>
      <c r="H8">
        <v>334.18</v>
      </c>
    </row>
    <row r="9" spans="1:8">
      <c r="A9">
        <v>8</v>
      </c>
      <c r="B9" t="s">
        <v>77</v>
      </c>
      <c r="C9" s="11">
        <v>18</v>
      </c>
      <c r="D9" s="12">
        <v>45671</v>
      </c>
      <c r="E9" s="12">
        <f t="shared" si="0"/>
        <v>45713</v>
      </c>
      <c r="F9">
        <f t="shared" si="1"/>
        <v>42</v>
      </c>
      <c r="G9" s="5" t="s">
        <v>9</v>
      </c>
      <c r="H9">
        <v>334.18</v>
      </c>
    </row>
    <row r="10" spans="1:8">
      <c r="A10">
        <v>9</v>
      </c>
      <c r="B10" t="s">
        <v>77</v>
      </c>
      <c r="C10" s="11">
        <v>18</v>
      </c>
      <c r="D10" s="12">
        <v>45671</v>
      </c>
      <c r="E10" s="12">
        <f t="shared" si="0"/>
        <v>45713</v>
      </c>
      <c r="F10">
        <f t="shared" si="1"/>
        <v>42</v>
      </c>
    </row>
    <row r="11" spans="1:8">
      <c r="A11">
        <v>10</v>
      </c>
      <c r="B11" t="s">
        <v>85</v>
      </c>
      <c r="C11" s="11">
        <v>19</v>
      </c>
      <c r="D11" s="12">
        <v>45669</v>
      </c>
      <c r="E11" s="12">
        <f t="shared" si="0"/>
        <v>45711</v>
      </c>
      <c r="F11">
        <f t="shared" si="1"/>
        <v>42</v>
      </c>
    </row>
    <row r="12" spans="1:8">
      <c r="A12">
        <v>11</v>
      </c>
      <c r="B12" t="s">
        <v>85</v>
      </c>
      <c r="C12" s="11">
        <v>19</v>
      </c>
      <c r="D12" s="12">
        <v>45669</v>
      </c>
      <c r="E12" s="12">
        <f t="shared" si="0"/>
        <v>45711</v>
      </c>
      <c r="F12">
        <f t="shared" si="1"/>
        <v>42</v>
      </c>
    </row>
    <row r="13" spans="1:8">
      <c r="A13">
        <v>12</v>
      </c>
      <c r="B13" t="s">
        <v>85</v>
      </c>
      <c r="C13" s="11">
        <v>19</v>
      </c>
      <c r="D13" s="12">
        <v>45669</v>
      </c>
      <c r="E13" s="12">
        <f t="shared" si="0"/>
        <v>45711</v>
      </c>
      <c r="F13">
        <f t="shared" si="1"/>
        <v>42</v>
      </c>
    </row>
    <row r="14" spans="1:8">
      <c r="A14">
        <v>13</v>
      </c>
      <c r="B14" t="s">
        <v>64</v>
      </c>
      <c r="C14" s="11">
        <v>37</v>
      </c>
      <c r="D14" s="12">
        <v>45670</v>
      </c>
      <c r="E14" s="12">
        <f t="shared" si="0"/>
        <v>45712</v>
      </c>
      <c r="F14">
        <f t="shared" si="1"/>
        <v>42</v>
      </c>
    </row>
    <row r="15" spans="1:8">
      <c r="A15">
        <v>14</v>
      </c>
      <c r="B15" t="s">
        <v>64</v>
      </c>
      <c r="C15" s="11">
        <v>111</v>
      </c>
      <c r="D15" s="12">
        <v>45670</v>
      </c>
      <c r="E15" s="12">
        <f t="shared" si="0"/>
        <v>45712</v>
      </c>
      <c r="F15">
        <f t="shared" si="1"/>
        <v>42</v>
      </c>
    </row>
    <row r="16" spans="1:8">
      <c r="A16">
        <v>15</v>
      </c>
      <c r="B16" t="s">
        <v>65</v>
      </c>
      <c r="C16" s="11">
        <v>38</v>
      </c>
      <c r="D16" s="12">
        <v>45679</v>
      </c>
      <c r="E16" s="12">
        <f t="shared" si="0"/>
        <v>45721</v>
      </c>
      <c r="F16">
        <f t="shared" si="1"/>
        <v>42</v>
      </c>
    </row>
    <row r="17" spans="1:6">
      <c r="A17">
        <v>16</v>
      </c>
      <c r="B17" t="s">
        <v>108</v>
      </c>
      <c r="C17" s="11">
        <v>108</v>
      </c>
      <c r="D17" s="12">
        <v>45674</v>
      </c>
      <c r="E17" s="12">
        <f t="shared" si="0"/>
        <v>45716</v>
      </c>
      <c r="F17">
        <f t="shared" si="1"/>
        <v>42</v>
      </c>
    </row>
    <row r="18" spans="1:6">
      <c r="A18">
        <v>17</v>
      </c>
      <c r="B18" t="s">
        <v>108</v>
      </c>
      <c r="C18" s="11">
        <v>108</v>
      </c>
      <c r="D18" s="12">
        <v>45674</v>
      </c>
      <c r="E18" s="12">
        <f t="shared" si="0"/>
        <v>45716</v>
      </c>
      <c r="F18">
        <f t="shared" si="1"/>
        <v>42</v>
      </c>
    </row>
    <row r="19" spans="1:6">
      <c r="A19">
        <v>18</v>
      </c>
      <c r="B19" t="s">
        <v>108</v>
      </c>
      <c r="C19" s="11">
        <v>108</v>
      </c>
      <c r="D19" s="12">
        <v>45674</v>
      </c>
      <c r="E19" s="12">
        <f t="shared" si="0"/>
        <v>45716</v>
      </c>
      <c r="F19">
        <f t="shared" si="1"/>
        <v>42</v>
      </c>
    </row>
    <row r="20" spans="1:6">
      <c r="A20">
        <v>19</v>
      </c>
      <c r="B20" t="s">
        <v>66</v>
      </c>
      <c r="C20" s="11">
        <v>54</v>
      </c>
      <c r="D20" s="12">
        <v>45674</v>
      </c>
      <c r="E20" s="12">
        <f t="shared" si="0"/>
        <v>45716</v>
      </c>
      <c r="F20">
        <f t="shared" si="1"/>
        <v>42</v>
      </c>
    </row>
    <row r="21" spans="1:6">
      <c r="A21">
        <v>20</v>
      </c>
      <c r="B21" t="s">
        <v>66</v>
      </c>
      <c r="C21" s="11">
        <v>54</v>
      </c>
      <c r="D21" s="12">
        <v>45674</v>
      </c>
      <c r="E21" s="12">
        <f t="shared" si="0"/>
        <v>45716</v>
      </c>
      <c r="F21">
        <f t="shared" si="1"/>
        <v>42</v>
      </c>
    </row>
    <row r="22" spans="1:6">
      <c r="A22">
        <v>21</v>
      </c>
      <c r="B22" t="s">
        <v>66</v>
      </c>
      <c r="C22" s="11">
        <v>54</v>
      </c>
      <c r="D22" s="12">
        <v>45674</v>
      </c>
      <c r="E22" s="12">
        <f t="shared" si="0"/>
        <v>45716</v>
      </c>
      <c r="F22">
        <f t="shared" si="1"/>
        <v>42</v>
      </c>
    </row>
    <row r="23" spans="1:6">
      <c r="A23">
        <v>22</v>
      </c>
      <c r="B23" t="s">
        <v>112</v>
      </c>
      <c r="C23" s="11">
        <v>70</v>
      </c>
      <c r="D23" s="12">
        <v>45678</v>
      </c>
      <c r="E23" s="12">
        <f t="shared" si="0"/>
        <v>45720</v>
      </c>
      <c r="F23">
        <f t="shared" si="1"/>
        <v>42</v>
      </c>
    </row>
    <row r="24" spans="1:6">
      <c r="A24">
        <v>23</v>
      </c>
      <c r="B24" t="s">
        <v>64</v>
      </c>
      <c r="C24" s="11">
        <v>111</v>
      </c>
      <c r="D24" s="12">
        <v>45681</v>
      </c>
      <c r="E24" s="12">
        <f t="shared" si="0"/>
        <v>45723</v>
      </c>
      <c r="F24">
        <f t="shared" si="1"/>
        <v>42</v>
      </c>
    </row>
    <row r="25" spans="1:6">
      <c r="A25">
        <v>24</v>
      </c>
      <c r="B25" t="s">
        <v>65</v>
      </c>
      <c r="C25" s="11">
        <v>38</v>
      </c>
      <c r="D25" s="12">
        <v>45679</v>
      </c>
      <c r="E25" s="12">
        <f t="shared" si="0"/>
        <v>45721</v>
      </c>
      <c r="F25">
        <f t="shared" si="1"/>
        <v>42</v>
      </c>
    </row>
    <row r="26" spans="1:6">
      <c r="A26">
        <v>25</v>
      </c>
      <c r="B26" t="s">
        <v>64</v>
      </c>
      <c r="C26" s="11">
        <v>111</v>
      </c>
      <c r="D26" s="12">
        <v>45681</v>
      </c>
      <c r="E26" s="12">
        <f t="shared" si="0"/>
        <v>45723</v>
      </c>
      <c r="F26">
        <f t="shared" si="1"/>
        <v>42</v>
      </c>
    </row>
    <row r="27" spans="1:6">
      <c r="A27">
        <v>26</v>
      </c>
      <c r="B27" t="s">
        <v>65</v>
      </c>
      <c r="C27" s="11">
        <v>38</v>
      </c>
      <c r="D27" s="12">
        <v>45679</v>
      </c>
      <c r="E27" s="12">
        <f t="shared" si="0"/>
        <v>45721</v>
      </c>
      <c r="F27">
        <f t="shared" si="1"/>
        <v>42</v>
      </c>
    </row>
    <row r="28" spans="1:6">
      <c r="A28">
        <v>27</v>
      </c>
      <c r="B28" t="s">
        <v>64</v>
      </c>
      <c r="C28" s="11">
        <v>111</v>
      </c>
      <c r="D28" s="12">
        <v>45681</v>
      </c>
      <c r="E28" s="12">
        <f t="shared" si="0"/>
        <v>45723</v>
      </c>
      <c r="F28">
        <f t="shared" si="1"/>
        <v>42</v>
      </c>
    </row>
    <row r="29" spans="1:6">
      <c r="A29">
        <v>28</v>
      </c>
      <c r="B29" t="s">
        <v>64</v>
      </c>
      <c r="C29" s="11">
        <v>111</v>
      </c>
      <c r="D29" s="12">
        <v>45681</v>
      </c>
      <c r="E29" s="12">
        <f t="shared" si="0"/>
        <v>45723</v>
      </c>
      <c r="F29">
        <f t="shared" si="1"/>
        <v>42</v>
      </c>
    </row>
    <row r="30" spans="1:6">
      <c r="A30">
        <v>29</v>
      </c>
      <c r="B30" t="s">
        <v>113</v>
      </c>
      <c r="C30" s="11">
        <v>23</v>
      </c>
      <c r="D30" s="12">
        <v>45667</v>
      </c>
      <c r="E30" s="12">
        <f t="shared" si="0"/>
        <v>45709</v>
      </c>
      <c r="F30">
        <f t="shared" si="1"/>
        <v>42</v>
      </c>
    </row>
    <row r="31" spans="1:6">
      <c r="A31">
        <v>30</v>
      </c>
      <c r="B31" t="s">
        <v>64</v>
      </c>
      <c r="C31" s="11">
        <v>111</v>
      </c>
      <c r="D31" s="12">
        <v>45681</v>
      </c>
      <c r="E31" s="12">
        <f t="shared" si="0"/>
        <v>45723</v>
      </c>
      <c r="F31">
        <f t="shared" si="1"/>
        <v>42</v>
      </c>
    </row>
    <row r="32" spans="1:6">
      <c r="A32">
        <v>31</v>
      </c>
      <c r="B32" t="s">
        <v>108</v>
      </c>
      <c r="C32" s="11">
        <v>108</v>
      </c>
      <c r="D32" s="12">
        <v>45674</v>
      </c>
      <c r="E32" s="12">
        <f t="shared" si="0"/>
        <v>45716</v>
      </c>
      <c r="F32">
        <f t="shared" si="1"/>
        <v>42</v>
      </c>
    </row>
    <row r="33" spans="1:6">
      <c r="A33">
        <v>32</v>
      </c>
      <c r="B33" t="s">
        <v>108</v>
      </c>
      <c r="C33" s="11">
        <v>108</v>
      </c>
      <c r="D33" s="12">
        <v>45674</v>
      </c>
      <c r="E33" s="12">
        <f t="shared" si="0"/>
        <v>45716</v>
      </c>
      <c r="F33">
        <f t="shared" si="1"/>
        <v>42</v>
      </c>
    </row>
    <row r="34" spans="1:6">
      <c r="A34">
        <v>33</v>
      </c>
      <c r="B34" t="s">
        <v>108</v>
      </c>
      <c r="C34" s="11">
        <v>108</v>
      </c>
      <c r="D34" s="12">
        <v>45674</v>
      </c>
      <c r="E34" s="12">
        <f t="shared" si="0"/>
        <v>45716</v>
      </c>
      <c r="F34">
        <f t="shared" si="1"/>
        <v>42</v>
      </c>
    </row>
    <row r="35" spans="1:6">
      <c r="A35">
        <v>34</v>
      </c>
      <c r="B35" t="s">
        <v>66</v>
      </c>
      <c r="C35" s="11">
        <v>54</v>
      </c>
      <c r="D35" s="12">
        <v>45674</v>
      </c>
      <c r="E35" s="12">
        <f t="shared" si="0"/>
        <v>45716</v>
      </c>
      <c r="F35">
        <f t="shared" si="1"/>
        <v>42</v>
      </c>
    </row>
    <row r="36" spans="1:6">
      <c r="A36">
        <v>35</v>
      </c>
      <c r="B36" t="s">
        <v>66</v>
      </c>
      <c r="C36" s="11">
        <v>54</v>
      </c>
      <c r="D36" s="12">
        <v>45674</v>
      </c>
      <c r="E36" s="12">
        <f t="shared" si="0"/>
        <v>45716</v>
      </c>
      <c r="F36">
        <f t="shared" si="1"/>
        <v>42</v>
      </c>
    </row>
    <row r="37" spans="1:6">
      <c r="A37">
        <v>36</v>
      </c>
      <c r="B37" t="s">
        <v>66</v>
      </c>
      <c r="C37" s="11">
        <v>54</v>
      </c>
      <c r="D37" s="12">
        <v>45674</v>
      </c>
      <c r="E37" s="12">
        <f t="shared" si="0"/>
        <v>45716</v>
      </c>
      <c r="F37">
        <f t="shared" si="1"/>
        <v>42</v>
      </c>
    </row>
    <row r="38" spans="1:6">
      <c r="A38">
        <v>37</v>
      </c>
      <c r="B38" t="s">
        <v>65</v>
      </c>
      <c r="C38" s="11">
        <v>38</v>
      </c>
      <c r="D38" s="12">
        <v>45679</v>
      </c>
      <c r="E38" s="12">
        <f t="shared" si="0"/>
        <v>45721</v>
      </c>
      <c r="F38">
        <f t="shared" si="1"/>
        <v>42</v>
      </c>
    </row>
    <row r="39" spans="1:6">
      <c r="A39">
        <v>38</v>
      </c>
      <c r="B39" t="s">
        <v>112</v>
      </c>
      <c r="C39" s="11">
        <v>70</v>
      </c>
      <c r="D39" s="12">
        <v>45678</v>
      </c>
      <c r="E39" s="12">
        <f t="shared" si="0"/>
        <v>45720</v>
      </c>
      <c r="F39">
        <f t="shared" si="1"/>
        <v>42</v>
      </c>
    </row>
    <row r="40" spans="1:6">
      <c r="A40">
        <v>39</v>
      </c>
      <c r="B40" t="s">
        <v>64</v>
      </c>
      <c r="C40" s="11">
        <v>111</v>
      </c>
      <c r="D40" s="12">
        <v>45681</v>
      </c>
      <c r="E40" s="12">
        <f t="shared" si="0"/>
        <v>45723</v>
      </c>
      <c r="F40">
        <f t="shared" si="1"/>
        <v>42</v>
      </c>
    </row>
    <row r="41" spans="1:6">
      <c r="A41">
        <v>40</v>
      </c>
      <c r="B41" t="s">
        <v>65</v>
      </c>
      <c r="C41" s="11">
        <v>38</v>
      </c>
      <c r="D41" s="12">
        <v>45679</v>
      </c>
      <c r="E41" s="12">
        <f t="shared" si="0"/>
        <v>45721</v>
      </c>
      <c r="F41">
        <f t="shared" si="1"/>
        <v>42</v>
      </c>
    </row>
    <row r="42" spans="1:6">
      <c r="A42">
        <v>41</v>
      </c>
      <c r="B42" t="s">
        <v>64</v>
      </c>
      <c r="C42" s="11">
        <v>111</v>
      </c>
      <c r="D42" s="12">
        <v>45681</v>
      </c>
      <c r="E42" s="12">
        <f t="shared" si="0"/>
        <v>45723</v>
      </c>
      <c r="F42">
        <f t="shared" si="1"/>
        <v>42</v>
      </c>
    </row>
    <row r="43" spans="1:6">
      <c r="A43">
        <v>42</v>
      </c>
      <c r="B43" t="s">
        <v>65</v>
      </c>
      <c r="C43" s="11">
        <v>19</v>
      </c>
      <c r="D43" s="12">
        <v>45679</v>
      </c>
      <c r="E43" s="12">
        <f t="shared" si="0"/>
        <v>45721</v>
      </c>
      <c r="F43">
        <f t="shared" si="1"/>
        <v>42</v>
      </c>
    </row>
    <row r="44" spans="1:6">
      <c r="A44">
        <v>43</v>
      </c>
      <c r="B44" t="s">
        <v>64</v>
      </c>
      <c r="C44" s="11">
        <v>111</v>
      </c>
      <c r="D44" s="12">
        <v>45681</v>
      </c>
      <c r="E44" s="12">
        <f t="shared" si="0"/>
        <v>45723</v>
      </c>
      <c r="F44">
        <f t="shared" si="1"/>
        <v>42</v>
      </c>
    </row>
    <row r="45" spans="1:6">
      <c r="A45">
        <v>44</v>
      </c>
      <c r="B45" t="s">
        <v>76</v>
      </c>
      <c r="C45" s="11">
        <v>18</v>
      </c>
      <c r="D45" s="12">
        <v>45698</v>
      </c>
      <c r="E45" s="12">
        <f t="shared" si="0"/>
        <v>45740</v>
      </c>
      <c r="F45">
        <f t="shared" si="1"/>
        <v>42</v>
      </c>
    </row>
    <row r="46" spans="1:6">
      <c r="A46">
        <v>45</v>
      </c>
      <c r="B46" t="s">
        <v>64</v>
      </c>
      <c r="C46" s="11">
        <v>18</v>
      </c>
      <c r="D46" s="12">
        <v>45699</v>
      </c>
      <c r="E46" s="12">
        <f t="shared" si="0"/>
        <v>45741</v>
      </c>
      <c r="F46">
        <f t="shared" si="1"/>
        <v>42</v>
      </c>
    </row>
    <row r="47" spans="1:6">
      <c r="A47">
        <v>46</v>
      </c>
      <c r="B47" t="s">
        <v>64</v>
      </c>
      <c r="C47" s="11">
        <v>18</v>
      </c>
      <c r="D47" s="12">
        <v>45699</v>
      </c>
      <c r="E47" s="12">
        <f t="shared" si="0"/>
        <v>45741</v>
      </c>
      <c r="F47">
        <f t="shared" si="1"/>
        <v>42</v>
      </c>
    </row>
    <row r="48" spans="1:6">
      <c r="A48">
        <v>47</v>
      </c>
      <c r="B48" t="s">
        <v>64</v>
      </c>
      <c r="C48" s="11">
        <v>18</v>
      </c>
      <c r="D48" s="12">
        <v>45699</v>
      </c>
      <c r="E48" s="12">
        <f t="shared" si="0"/>
        <v>45741</v>
      </c>
      <c r="F48">
        <f t="shared" si="1"/>
        <v>42</v>
      </c>
    </row>
    <row r="49" spans="1:6">
      <c r="A49">
        <v>48</v>
      </c>
      <c r="B49" t="s">
        <v>64</v>
      </c>
      <c r="C49" s="11">
        <v>18</v>
      </c>
      <c r="D49" s="12">
        <v>45699</v>
      </c>
      <c r="E49" s="12">
        <f t="shared" si="0"/>
        <v>45741</v>
      </c>
      <c r="F49">
        <f t="shared" si="1"/>
        <v>42</v>
      </c>
    </row>
    <row r="50" spans="1:6">
      <c r="A50">
        <v>49</v>
      </c>
      <c r="B50" t="s">
        <v>64</v>
      </c>
      <c r="C50" s="11">
        <v>18</v>
      </c>
      <c r="D50" s="12">
        <v>45699</v>
      </c>
      <c r="E50" s="12">
        <f t="shared" si="0"/>
        <v>45741</v>
      </c>
      <c r="F50">
        <f t="shared" si="1"/>
        <v>42</v>
      </c>
    </row>
    <row r="51" spans="1:6">
      <c r="A51">
        <v>50</v>
      </c>
      <c r="B51" t="s">
        <v>64</v>
      </c>
      <c r="C51" s="11">
        <v>18</v>
      </c>
      <c r="D51" s="12">
        <v>45699</v>
      </c>
      <c r="E51" s="12">
        <f t="shared" si="0"/>
        <v>45741</v>
      </c>
      <c r="F51">
        <f t="shared" si="1"/>
        <v>42</v>
      </c>
    </row>
    <row r="52" spans="1:6">
      <c r="A52">
        <v>51</v>
      </c>
      <c r="B52" t="s">
        <v>64</v>
      </c>
      <c r="C52" s="11">
        <v>18</v>
      </c>
      <c r="D52" s="12">
        <v>45699</v>
      </c>
      <c r="E52" s="12">
        <f t="shared" si="0"/>
        <v>45741</v>
      </c>
      <c r="F52">
        <f t="shared" si="1"/>
        <v>42</v>
      </c>
    </row>
    <row r="53" spans="1:6">
      <c r="A53">
        <v>52</v>
      </c>
      <c r="B53" t="s">
        <v>64</v>
      </c>
      <c r="C53" s="11">
        <v>18</v>
      </c>
      <c r="D53" s="12">
        <v>45699</v>
      </c>
      <c r="E53" s="12">
        <f t="shared" si="0"/>
        <v>45741</v>
      </c>
      <c r="F53">
        <f t="shared" si="1"/>
        <v>42</v>
      </c>
    </row>
    <row r="54" spans="1:6">
      <c r="A54">
        <v>53</v>
      </c>
      <c r="B54" t="s">
        <v>94</v>
      </c>
      <c r="C54" s="11">
        <v>99</v>
      </c>
      <c r="D54" s="12">
        <v>45664</v>
      </c>
      <c r="E54" s="12">
        <f t="shared" si="0"/>
        <v>45706</v>
      </c>
      <c r="F54">
        <f t="shared" si="1"/>
        <v>42</v>
      </c>
    </row>
    <row r="55" spans="1:6">
      <c r="A55">
        <v>54</v>
      </c>
      <c r="B55" t="s">
        <v>108</v>
      </c>
      <c r="C55" s="11">
        <v>108</v>
      </c>
      <c r="D55" s="12">
        <v>45674</v>
      </c>
      <c r="E55" s="12">
        <f t="shared" si="0"/>
        <v>45716</v>
      </c>
      <c r="F55">
        <f t="shared" si="1"/>
        <v>42</v>
      </c>
    </row>
    <row r="56" spans="1:6">
      <c r="A56">
        <v>55</v>
      </c>
      <c r="B56" t="s">
        <v>108</v>
      </c>
      <c r="C56" s="11">
        <v>108</v>
      </c>
      <c r="D56" s="12">
        <v>45674</v>
      </c>
      <c r="E56" s="12">
        <f t="shared" si="0"/>
        <v>45716</v>
      </c>
      <c r="F56">
        <f t="shared" si="1"/>
        <v>42</v>
      </c>
    </row>
    <row r="57" spans="1:6">
      <c r="A57">
        <v>56</v>
      </c>
      <c r="B57" t="s">
        <v>66</v>
      </c>
      <c r="C57" s="11">
        <v>54</v>
      </c>
      <c r="D57" s="12">
        <v>45674</v>
      </c>
      <c r="E57" s="12">
        <f t="shared" si="0"/>
        <v>45716</v>
      </c>
      <c r="F57">
        <f t="shared" si="1"/>
        <v>42</v>
      </c>
    </row>
    <row r="58" spans="1:6">
      <c r="A58">
        <v>57</v>
      </c>
      <c r="B58" t="s">
        <v>66</v>
      </c>
      <c r="C58" s="11">
        <v>54</v>
      </c>
      <c r="D58" s="12">
        <v>45674</v>
      </c>
      <c r="E58" s="12">
        <f t="shared" si="0"/>
        <v>45716</v>
      </c>
      <c r="F58">
        <f t="shared" si="1"/>
        <v>42</v>
      </c>
    </row>
    <row r="59" spans="1:6">
      <c r="A59">
        <v>58</v>
      </c>
      <c r="B59" t="s">
        <v>66</v>
      </c>
      <c r="C59" s="11">
        <v>54</v>
      </c>
      <c r="D59" s="12">
        <v>45674</v>
      </c>
      <c r="E59" s="12">
        <f t="shared" si="0"/>
        <v>45716</v>
      </c>
      <c r="F59">
        <f t="shared" si="1"/>
        <v>42</v>
      </c>
    </row>
    <row r="60" spans="1:6">
      <c r="A60">
        <v>59</v>
      </c>
      <c r="B60" t="s">
        <v>112</v>
      </c>
      <c r="C60" s="11">
        <v>70</v>
      </c>
      <c r="D60" s="12">
        <v>45678</v>
      </c>
      <c r="E60" s="12">
        <f t="shared" si="0"/>
        <v>45720</v>
      </c>
      <c r="F60">
        <f t="shared" si="1"/>
        <v>42</v>
      </c>
    </row>
    <row r="61" spans="1:6">
      <c r="A61">
        <v>60</v>
      </c>
      <c r="B61" t="s">
        <v>99</v>
      </c>
      <c r="C61" s="11">
        <v>19</v>
      </c>
      <c r="D61" s="12">
        <v>45700</v>
      </c>
      <c r="E61" s="12">
        <f t="shared" si="0"/>
        <v>45742</v>
      </c>
      <c r="F61">
        <f t="shared" si="1"/>
        <v>42</v>
      </c>
    </row>
    <row r="62" spans="1:6">
      <c r="A62">
        <v>61</v>
      </c>
      <c r="B62" t="s">
        <v>99</v>
      </c>
      <c r="C62" s="11">
        <v>19</v>
      </c>
      <c r="D62" s="12">
        <v>45700</v>
      </c>
      <c r="E62" s="12">
        <f t="shared" si="0"/>
        <v>45742</v>
      </c>
      <c r="F62">
        <f t="shared" si="1"/>
        <v>42</v>
      </c>
    </row>
    <row r="63" spans="1:6">
      <c r="A63">
        <v>62</v>
      </c>
      <c r="B63" t="s">
        <v>99</v>
      </c>
      <c r="C63" s="11">
        <v>19</v>
      </c>
      <c r="D63" s="12">
        <v>45700</v>
      </c>
      <c r="E63" s="12">
        <f t="shared" si="0"/>
        <v>45742</v>
      </c>
      <c r="F63">
        <f t="shared" si="1"/>
        <v>42</v>
      </c>
    </row>
    <row r="64" spans="1:6">
      <c r="A64">
        <v>63</v>
      </c>
      <c r="B64" t="s">
        <v>99</v>
      </c>
      <c r="C64" s="11">
        <v>19</v>
      </c>
      <c r="D64" s="12">
        <v>45700</v>
      </c>
      <c r="E64" s="12">
        <f t="shared" si="0"/>
        <v>45742</v>
      </c>
      <c r="F64">
        <f t="shared" si="1"/>
        <v>42</v>
      </c>
    </row>
    <row r="65" spans="1:6">
      <c r="A65">
        <v>64</v>
      </c>
      <c r="B65" t="s">
        <v>99</v>
      </c>
      <c r="C65" s="11">
        <v>19</v>
      </c>
      <c r="D65" s="12">
        <v>45700</v>
      </c>
      <c r="E65" s="12">
        <f t="shared" si="0"/>
        <v>45742</v>
      </c>
      <c r="F65">
        <f t="shared" si="1"/>
        <v>42</v>
      </c>
    </row>
    <row r="66" spans="1:6">
      <c r="A66">
        <v>65</v>
      </c>
      <c r="B66" t="s">
        <v>99</v>
      </c>
      <c r="C66" s="11">
        <v>19</v>
      </c>
      <c r="D66" s="12">
        <v>45700</v>
      </c>
      <c r="E66" s="12">
        <f t="shared" ref="E66:E129" si="2">D66+6*7</f>
        <v>45742</v>
      </c>
      <c r="F66">
        <f t="shared" ref="F66:F129" si="3">E66-D66</f>
        <v>42</v>
      </c>
    </row>
    <row r="67" spans="1:6">
      <c r="A67">
        <v>66</v>
      </c>
      <c r="B67" t="s">
        <v>99</v>
      </c>
      <c r="C67" s="11">
        <v>19</v>
      </c>
      <c r="D67" s="12">
        <v>45700</v>
      </c>
      <c r="E67" s="12">
        <f t="shared" si="2"/>
        <v>45742</v>
      </c>
      <c r="F67">
        <f t="shared" si="3"/>
        <v>42</v>
      </c>
    </row>
    <row r="68" spans="1:6">
      <c r="A68">
        <v>67</v>
      </c>
      <c r="B68" t="s">
        <v>99</v>
      </c>
      <c r="C68" s="11">
        <v>19</v>
      </c>
      <c r="D68" s="12">
        <v>45700</v>
      </c>
      <c r="E68" s="12">
        <f t="shared" si="2"/>
        <v>45742</v>
      </c>
      <c r="F68">
        <f t="shared" si="3"/>
        <v>42</v>
      </c>
    </row>
    <row r="69" spans="1:6">
      <c r="A69">
        <v>68</v>
      </c>
      <c r="B69" t="s">
        <v>86</v>
      </c>
      <c r="C69" s="11">
        <v>95</v>
      </c>
      <c r="D69" s="12">
        <v>45677</v>
      </c>
      <c r="E69" s="12">
        <f t="shared" si="2"/>
        <v>45719</v>
      </c>
      <c r="F69">
        <f t="shared" si="3"/>
        <v>42</v>
      </c>
    </row>
    <row r="70" spans="1:6">
      <c r="A70">
        <v>69</v>
      </c>
      <c r="B70" t="s">
        <v>99</v>
      </c>
      <c r="C70" s="11">
        <v>310</v>
      </c>
      <c r="D70" s="12">
        <v>45694</v>
      </c>
      <c r="E70" s="12">
        <f t="shared" si="2"/>
        <v>45736</v>
      </c>
      <c r="F70">
        <f t="shared" si="3"/>
        <v>42</v>
      </c>
    </row>
    <row r="71" spans="1:6">
      <c r="A71">
        <v>70</v>
      </c>
      <c r="B71" t="s">
        <v>65</v>
      </c>
      <c r="C71" s="11">
        <v>38</v>
      </c>
      <c r="D71" s="12">
        <v>45679</v>
      </c>
      <c r="E71" s="12">
        <f t="shared" si="2"/>
        <v>45721</v>
      </c>
      <c r="F71">
        <f t="shared" si="3"/>
        <v>42</v>
      </c>
    </row>
    <row r="72" spans="1:6">
      <c r="A72">
        <v>71</v>
      </c>
      <c r="B72" t="s">
        <v>64</v>
      </c>
      <c r="C72" s="11">
        <v>111</v>
      </c>
      <c r="D72" s="12">
        <v>45681</v>
      </c>
      <c r="E72" s="12">
        <f t="shared" si="2"/>
        <v>45723</v>
      </c>
      <c r="F72">
        <f t="shared" si="3"/>
        <v>42</v>
      </c>
    </row>
    <row r="73" spans="1:6">
      <c r="A73">
        <v>72</v>
      </c>
      <c r="B73" t="s">
        <v>65</v>
      </c>
      <c r="C73" s="11">
        <v>38</v>
      </c>
      <c r="D73" s="12">
        <v>45679</v>
      </c>
      <c r="E73" s="12">
        <f t="shared" si="2"/>
        <v>45721</v>
      </c>
      <c r="F73">
        <f t="shared" si="3"/>
        <v>42</v>
      </c>
    </row>
    <row r="74" spans="1:6">
      <c r="A74">
        <v>73</v>
      </c>
      <c r="B74" t="s">
        <v>65</v>
      </c>
      <c r="C74" s="11">
        <v>38</v>
      </c>
      <c r="D74" s="12">
        <v>45679</v>
      </c>
      <c r="E74" s="12">
        <f t="shared" si="2"/>
        <v>45721</v>
      </c>
      <c r="F74">
        <f t="shared" si="3"/>
        <v>42</v>
      </c>
    </row>
    <row r="75" spans="1:6">
      <c r="A75">
        <v>74</v>
      </c>
      <c r="B75" t="s">
        <v>64</v>
      </c>
      <c r="C75" s="11">
        <v>111</v>
      </c>
      <c r="D75" s="12">
        <v>45684</v>
      </c>
      <c r="E75" s="12">
        <f t="shared" si="2"/>
        <v>45726</v>
      </c>
      <c r="F75">
        <f t="shared" si="3"/>
        <v>42</v>
      </c>
    </row>
    <row r="76" spans="1:6">
      <c r="A76">
        <v>75</v>
      </c>
      <c r="B76" t="s">
        <v>64</v>
      </c>
      <c r="C76" s="11">
        <v>111</v>
      </c>
      <c r="D76" s="12">
        <v>45695</v>
      </c>
      <c r="E76" s="12">
        <f t="shared" si="2"/>
        <v>45737</v>
      </c>
      <c r="F76">
        <f t="shared" si="3"/>
        <v>42</v>
      </c>
    </row>
    <row r="77" spans="1:6">
      <c r="A77">
        <v>76</v>
      </c>
      <c r="B77" t="s">
        <v>64</v>
      </c>
      <c r="C77" s="11">
        <v>37</v>
      </c>
      <c r="D77" s="12">
        <v>45695</v>
      </c>
      <c r="E77" s="12">
        <f t="shared" si="2"/>
        <v>45737</v>
      </c>
      <c r="F77">
        <f t="shared" si="3"/>
        <v>42</v>
      </c>
    </row>
    <row r="78" spans="1:6">
      <c r="A78">
        <v>77</v>
      </c>
      <c r="B78" t="s">
        <v>87</v>
      </c>
      <c r="C78" s="11">
        <v>18</v>
      </c>
      <c r="D78" s="12">
        <v>45695</v>
      </c>
      <c r="E78" s="12">
        <f t="shared" si="2"/>
        <v>45737</v>
      </c>
      <c r="F78">
        <f t="shared" si="3"/>
        <v>42</v>
      </c>
    </row>
    <row r="79" spans="1:6">
      <c r="A79">
        <v>78</v>
      </c>
      <c r="B79" t="s">
        <v>108</v>
      </c>
      <c r="C79" s="11">
        <v>108</v>
      </c>
      <c r="D79" s="12">
        <v>45674</v>
      </c>
      <c r="E79" s="12">
        <f t="shared" si="2"/>
        <v>45716</v>
      </c>
      <c r="F79">
        <f t="shared" si="3"/>
        <v>42</v>
      </c>
    </row>
    <row r="80" spans="1:6">
      <c r="A80">
        <v>79</v>
      </c>
      <c r="B80" t="s">
        <v>108</v>
      </c>
      <c r="C80" s="11">
        <v>108</v>
      </c>
      <c r="D80" s="12">
        <v>45674</v>
      </c>
      <c r="E80" s="12">
        <f t="shared" si="2"/>
        <v>45716</v>
      </c>
      <c r="F80">
        <f t="shared" si="3"/>
        <v>42</v>
      </c>
    </row>
    <row r="81" spans="1:6">
      <c r="A81">
        <v>80</v>
      </c>
      <c r="B81" t="s">
        <v>108</v>
      </c>
      <c r="C81" s="11">
        <v>108</v>
      </c>
      <c r="D81" s="12">
        <v>45674</v>
      </c>
      <c r="E81" s="12">
        <f t="shared" si="2"/>
        <v>45716</v>
      </c>
      <c r="F81">
        <f t="shared" si="3"/>
        <v>42</v>
      </c>
    </row>
    <row r="82" spans="1:6">
      <c r="A82">
        <v>81</v>
      </c>
      <c r="B82" t="s">
        <v>108</v>
      </c>
      <c r="C82" s="11">
        <v>108</v>
      </c>
      <c r="D82" s="12">
        <v>45674</v>
      </c>
      <c r="E82" s="12">
        <f t="shared" si="2"/>
        <v>45716</v>
      </c>
      <c r="F82">
        <f t="shared" si="3"/>
        <v>42</v>
      </c>
    </row>
    <row r="83" spans="1:6">
      <c r="A83">
        <v>82</v>
      </c>
      <c r="B83" t="s">
        <v>106</v>
      </c>
      <c r="C83" s="11">
        <v>19</v>
      </c>
      <c r="D83" s="12">
        <v>45706</v>
      </c>
      <c r="E83" s="12">
        <f t="shared" si="2"/>
        <v>45748</v>
      </c>
      <c r="F83">
        <f t="shared" si="3"/>
        <v>42</v>
      </c>
    </row>
    <row r="84" spans="1:6">
      <c r="A84">
        <v>83</v>
      </c>
      <c r="B84" t="s">
        <v>106</v>
      </c>
      <c r="C84" s="11">
        <v>19</v>
      </c>
      <c r="D84" s="12">
        <v>45706</v>
      </c>
      <c r="E84" s="12">
        <f t="shared" si="2"/>
        <v>45748</v>
      </c>
      <c r="F84">
        <f t="shared" si="3"/>
        <v>42</v>
      </c>
    </row>
    <row r="85" spans="1:6">
      <c r="A85">
        <v>84</v>
      </c>
      <c r="B85" t="s">
        <v>106</v>
      </c>
      <c r="C85" s="11">
        <v>19</v>
      </c>
      <c r="D85" s="12">
        <v>45706</v>
      </c>
      <c r="E85" s="12">
        <f t="shared" si="2"/>
        <v>45748</v>
      </c>
      <c r="F85">
        <f t="shared" si="3"/>
        <v>42</v>
      </c>
    </row>
    <row r="86" spans="1:6">
      <c r="A86">
        <v>85</v>
      </c>
      <c r="B86" t="s">
        <v>66</v>
      </c>
      <c r="C86" s="11">
        <v>108</v>
      </c>
      <c r="D86" s="12">
        <v>45674</v>
      </c>
      <c r="E86" s="12">
        <f t="shared" si="2"/>
        <v>45716</v>
      </c>
      <c r="F86">
        <f t="shared" si="3"/>
        <v>42</v>
      </c>
    </row>
    <row r="87" spans="1:6">
      <c r="A87">
        <v>86</v>
      </c>
      <c r="B87" t="s">
        <v>64</v>
      </c>
      <c r="C87" s="11">
        <v>111</v>
      </c>
      <c r="D87" s="12">
        <v>45695</v>
      </c>
      <c r="E87" s="12">
        <f t="shared" si="2"/>
        <v>45737</v>
      </c>
      <c r="F87">
        <f t="shared" si="3"/>
        <v>42</v>
      </c>
    </row>
    <row r="88" spans="1:6">
      <c r="A88">
        <v>87</v>
      </c>
      <c r="B88" t="s">
        <v>64</v>
      </c>
      <c r="C88" s="11">
        <v>111</v>
      </c>
      <c r="D88" s="12">
        <v>45695</v>
      </c>
      <c r="E88" s="12">
        <f t="shared" si="2"/>
        <v>45737</v>
      </c>
      <c r="F88">
        <f t="shared" si="3"/>
        <v>42</v>
      </c>
    </row>
    <row r="89" spans="1:6">
      <c r="A89">
        <v>88</v>
      </c>
      <c r="B89" t="s">
        <v>106</v>
      </c>
      <c r="C89" s="11">
        <v>19</v>
      </c>
      <c r="D89" s="12">
        <v>45706</v>
      </c>
      <c r="E89" s="12">
        <f t="shared" si="2"/>
        <v>45748</v>
      </c>
      <c r="F89">
        <f t="shared" si="3"/>
        <v>42</v>
      </c>
    </row>
    <row r="90" spans="1:6">
      <c r="A90">
        <v>89</v>
      </c>
      <c r="B90" t="s">
        <v>106</v>
      </c>
      <c r="C90" s="11">
        <v>19</v>
      </c>
      <c r="D90" s="12">
        <v>45706</v>
      </c>
      <c r="E90" s="12">
        <f t="shared" si="2"/>
        <v>45748</v>
      </c>
      <c r="F90">
        <f t="shared" si="3"/>
        <v>42</v>
      </c>
    </row>
    <row r="91" spans="1:6">
      <c r="A91">
        <v>90</v>
      </c>
      <c r="B91" t="s">
        <v>108</v>
      </c>
      <c r="C91" s="11">
        <v>163</v>
      </c>
      <c r="D91" s="12">
        <v>45674</v>
      </c>
      <c r="E91" s="12">
        <f t="shared" si="2"/>
        <v>45716</v>
      </c>
      <c r="F91">
        <f t="shared" si="3"/>
        <v>42</v>
      </c>
    </row>
    <row r="92" spans="1:6">
      <c r="A92">
        <v>91</v>
      </c>
      <c r="B92" t="s">
        <v>66</v>
      </c>
      <c r="C92" s="11">
        <v>108</v>
      </c>
      <c r="D92" s="12">
        <v>45674</v>
      </c>
      <c r="E92" s="12">
        <f t="shared" si="2"/>
        <v>45716</v>
      </c>
      <c r="F92">
        <f t="shared" si="3"/>
        <v>42</v>
      </c>
    </row>
    <row r="93" spans="1:6">
      <c r="A93">
        <v>92</v>
      </c>
      <c r="B93" t="s">
        <v>65</v>
      </c>
      <c r="C93" s="11">
        <v>38</v>
      </c>
      <c r="D93" s="12">
        <v>45686</v>
      </c>
      <c r="E93" s="12">
        <f t="shared" si="2"/>
        <v>45728</v>
      </c>
      <c r="F93">
        <f t="shared" si="3"/>
        <v>42</v>
      </c>
    </row>
    <row r="94" spans="1:6">
      <c r="A94">
        <v>93</v>
      </c>
      <c r="B94" t="s">
        <v>65</v>
      </c>
      <c r="C94" s="11">
        <v>38</v>
      </c>
      <c r="D94" s="12">
        <v>45686</v>
      </c>
      <c r="E94" s="12">
        <f t="shared" si="2"/>
        <v>45728</v>
      </c>
      <c r="F94">
        <f t="shared" si="3"/>
        <v>42</v>
      </c>
    </row>
    <row r="95" spans="1:6">
      <c r="A95">
        <v>94</v>
      </c>
      <c r="B95" t="s">
        <v>87</v>
      </c>
      <c r="C95" s="11">
        <v>18</v>
      </c>
      <c r="D95" s="12">
        <v>45695</v>
      </c>
      <c r="E95" s="12">
        <f t="shared" si="2"/>
        <v>45737</v>
      </c>
      <c r="F95">
        <f t="shared" si="3"/>
        <v>42</v>
      </c>
    </row>
    <row r="96" spans="1:6">
      <c r="A96">
        <v>95</v>
      </c>
      <c r="B96" t="s">
        <v>106</v>
      </c>
      <c r="C96" s="11">
        <v>19</v>
      </c>
      <c r="D96" s="12">
        <v>45706</v>
      </c>
      <c r="E96" s="12">
        <f t="shared" si="2"/>
        <v>45748</v>
      </c>
      <c r="F96">
        <f t="shared" si="3"/>
        <v>42</v>
      </c>
    </row>
    <row r="97" spans="1:6">
      <c r="A97">
        <v>96</v>
      </c>
      <c r="B97" t="s">
        <v>99</v>
      </c>
      <c r="C97" s="11">
        <v>19</v>
      </c>
      <c r="D97" s="12">
        <v>45712</v>
      </c>
      <c r="E97" s="12">
        <f t="shared" si="2"/>
        <v>45754</v>
      </c>
      <c r="F97">
        <f t="shared" si="3"/>
        <v>42</v>
      </c>
    </row>
    <row r="98" spans="1:6">
      <c r="A98">
        <v>97</v>
      </c>
      <c r="B98" t="s">
        <v>99</v>
      </c>
      <c r="C98" s="11">
        <v>19</v>
      </c>
      <c r="D98" s="12">
        <v>45712</v>
      </c>
      <c r="E98" s="12">
        <f t="shared" si="2"/>
        <v>45754</v>
      </c>
      <c r="F98">
        <f t="shared" si="3"/>
        <v>42</v>
      </c>
    </row>
    <row r="99" spans="1:6">
      <c r="A99">
        <v>98</v>
      </c>
      <c r="B99" t="s">
        <v>99</v>
      </c>
      <c r="C99" s="11">
        <v>19</v>
      </c>
      <c r="D99" s="12">
        <v>45712</v>
      </c>
      <c r="E99" s="12">
        <f t="shared" si="2"/>
        <v>45754</v>
      </c>
      <c r="F99">
        <f t="shared" si="3"/>
        <v>42</v>
      </c>
    </row>
    <row r="100" spans="1:6">
      <c r="A100">
        <v>99</v>
      </c>
      <c r="B100" t="s">
        <v>99</v>
      </c>
      <c r="C100" s="11">
        <v>19</v>
      </c>
      <c r="D100" s="12">
        <v>45712</v>
      </c>
      <c r="E100" s="12">
        <f t="shared" si="2"/>
        <v>45754</v>
      </c>
      <c r="F100">
        <f t="shared" si="3"/>
        <v>42</v>
      </c>
    </row>
    <row r="101" spans="1:6">
      <c r="A101">
        <v>100</v>
      </c>
      <c r="B101" t="s">
        <v>99</v>
      </c>
      <c r="C101" s="11">
        <v>19</v>
      </c>
      <c r="D101" s="12">
        <v>45712</v>
      </c>
      <c r="E101" s="12">
        <f t="shared" si="2"/>
        <v>45754</v>
      </c>
      <c r="F101">
        <f t="shared" si="3"/>
        <v>42</v>
      </c>
    </row>
    <row r="102" spans="1:6">
      <c r="A102">
        <v>101</v>
      </c>
      <c r="B102" t="s">
        <v>99</v>
      </c>
      <c r="C102" s="11">
        <v>19</v>
      </c>
      <c r="D102" s="12">
        <v>45712</v>
      </c>
      <c r="E102" s="12">
        <f t="shared" si="2"/>
        <v>45754</v>
      </c>
      <c r="F102">
        <f t="shared" si="3"/>
        <v>42</v>
      </c>
    </row>
    <row r="103" spans="1:6">
      <c r="A103">
        <v>102</v>
      </c>
      <c r="B103" t="s">
        <v>99</v>
      </c>
      <c r="C103" s="11">
        <v>19</v>
      </c>
      <c r="D103" s="12">
        <v>45712</v>
      </c>
      <c r="E103" s="12">
        <f t="shared" si="2"/>
        <v>45754</v>
      </c>
      <c r="F103">
        <f t="shared" si="3"/>
        <v>42</v>
      </c>
    </row>
    <row r="104" spans="1:6">
      <c r="A104">
        <v>103</v>
      </c>
      <c r="B104" t="s">
        <v>99</v>
      </c>
      <c r="C104" s="11">
        <v>19</v>
      </c>
      <c r="D104" s="12">
        <v>45712</v>
      </c>
      <c r="E104" s="12">
        <f t="shared" si="2"/>
        <v>45754</v>
      </c>
      <c r="F104">
        <f t="shared" si="3"/>
        <v>42</v>
      </c>
    </row>
    <row r="105" spans="1:6">
      <c r="A105">
        <v>104</v>
      </c>
      <c r="B105" t="s">
        <v>98</v>
      </c>
      <c r="C105" s="11">
        <v>19</v>
      </c>
      <c r="D105" s="12">
        <v>45669</v>
      </c>
      <c r="E105" s="12">
        <f t="shared" si="2"/>
        <v>45711</v>
      </c>
      <c r="F105">
        <f t="shared" si="3"/>
        <v>42</v>
      </c>
    </row>
    <row r="106" spans="1:6">
      <c r="A106">
        <v>105</v>
      </c>
      <c r="B106" t="s">
        <v>65</v>
      </c>
      <c r="C106" s="11">
        <v>19</v>
      </c>
      <c r="D106" s="12">
        <v>45686</v>
      </c>
      <c r="E106" s="12">
        <f t="shared" si="2"/>
        <v>45728</v>
      </c>
      <c r="F106">
        <f t="shared" si="3"/>
        <v>42</v>
      </c>
    </row>
    <row r="107" spans="1:6">
      <c r="A107">
        <v>106</v>
      </c>
      <c r="B107" t="s">
        <v>64</v>
      </c>
      <c r="C107" s="11">
        <v>111</v>
      </c>
      <c r="D107" s="12">
        <v>45695</v>
      </c>
      <c r="E107" s="12">
        <f t="shared" si="2"/>
        <v>45737</v>
      </c>
      <c r="F107">
        <f t="shared" si="3"/>
        <v>42</v>
      </c>
    </row>
    <row r="108" spans="1:6">
      <c r="A108">
        <v>107</v>
      </c>
      <c r="B108" t="s">
        <v>64</v>
      </c>
      <c r="C108" s="11">
        <v>111</v>
      </c>
      <c r="D108" s="12">
        <v>45695</v>
      </c>
      <c r="E108" s="12">
        <f t="shared" si="2"/>
        <v>45737</v>
      </c>
      <c r="F108">
        <f t="shared" si="3"/>
        <v>42</v>
      </c>
    </row>
    <row r="109" spans="1:6">
      <c r="A109">
        <v>108</v>
      </c>
      <c r="B109" t="s">
        <v>85</v>
      </c>
      <c r="C109" s="11">
        <v>19</v>
      </c>
      <c r="D109" s="12">
        <v>45669</v>
      </c>
      <c r="E109" s="12">
        <f t="shared" si="2"/>
        <v>45711</v>
      </c>
      <c r="F109">
        <f t="shared" si="3"/>
        <v>42</v>
      </c>
    </row>
    <row r="110" spans="1:6">
      <c r="A110">
        <v>109</v>
      </c>
      <c r="B110" t="s">
        <v>64</v>
      </c>
      <c r="C110" s="11">
        <v>111</v>
      </c>
      <c r="D110" s="12">
        <v>45695</v>
      </c>
      <c r="E110" s="12">
        <f t="shared" si="2"/>
        <v>45737</v>
      </c>
      <c r="F110">
        <f t="shared" si="3"/>
        <v>42</v>
      </c>
    </row>
    <row r="111" spans="1:6">
      <c r="A111">
        <v>110</v>
      </c>
      <c r="B111" t="s">
        <v>64</v>
      </c>
      <c r="C111" s="11">
        <v>111</v>
      </c>
      <c r="D111" s="12">
        <v>45695</v>
      </c>
      <c r="E111" s="12">
        <f t="shared" si="2"/>
        <v>45737</v>
      </c>
      <c r="F111">
        <f t="shared" si="3"/>
        <v>42</v>
      </c>
    </row>
    <row r="112" spans="1:6">
      <c r="A112">
        <v>111</v>
      </c>
      <c r="B112" t="s">
        <v>106</v>
      </c>
      <c r="C112" s="11">
        <v>19</v>
      </c>
      <c r="D112" s="12">
        <v>45669</v>
      </c>
      <c r="E112" s="12">
        <f t="shared" si="2"/>
        <v>45711</v>
      </c>
      <c r="F112">
        <f t="shared" si="3"/>
        <v>42</v>
      </c>
    </row>
    <row r="113" spans="1:6">
      <c r="A113">
        <v>112</v>
      </c>
      <c r="B113" t="s">
        <v>106</v>
      </c>
      <c r="C113" s="11">
        <v>19</v>
      </c>
      <c r="D113" s="12">
        <v>45669</v>
      </c>
      <c r="E113" s="12">
        <f t="shared" si="2"/>
        <v>45711</v>
      </c>
      <c r="F113">
        <f t="shared" si="3"/>
        <v>42</v>
      </c>
    </row>
    <row r="114" spans="1:6">
      <c r="A114">
        <v>113</v>
      </c>
      <c r="B114" t="s">
        <v>106</v>
      </c>
      <c r="C114" s="11">
        <v>19</v>
      </c>
      <c r="D114" s="12">
        <v>45669</v>
      </c>
      <c r="E114" s="12">
        <f t="shared" si="2"/>
        <v>45711</v>
      </c>
      <c r="F114">
        <f t="shared" si="3"/>
        <v>42</v>
      </c>
    </row>
    <row r="115" spans="1:6">
      <c r="A115">
        <v>114</v>
      </c>
      <c r="B115" t="s">
        <v>85</v>
      </c>
      <c r="C115" s="11">
        <v>19</v>
      </c>
      <c r="D115" s="12">
        <v>45669</v>
      </c>
      <c r="E115" s="12">
        <f t="shared" si="2"/>
        <v>45711</v>
      </c>
      <c r="F115">
        <f t="shared" si="3"/>
        <v>42</v>
      </c>
    </row>
    <row r="116" spans="1:6">
      <c r="A116">
        <v>115</v>
      </c>
      <c r="B116" t="s">
        <v>65</v>
      </c>
      <c r="C116" s="11">
        <v>38</v>
      </c>
      <c r="D116" s="12">
        <v>45686</v>
      </c>
      <c r="E116" s="12">
        <f t="shared" si="2"/>
        <v>45728</v>
      </c>
      <c r="F116">
        <f t="shared" si="3"/>
        <v>42</v>
      </c>
    </row>
    <row r="117" spans="1:6">
      <c r="A117">
        <v>116</v>
      </c>
      <c r="B117" t="s">
        <v>105</v>
      </c>
      <c r="C117" s="11">
        <v>358</v>
      </c>
      <c r="D117" s="12">
        <v>45680</v>
      </c>
      <c r="E117" s="12">
        <f t="shared" si="2"/>
        <v>45722</v>
      </c>
      <c r="F117">
        <f t="shared" si="3"/>
        <v>42</v>
      </c>
    </row>
    <row r="118" spans="1:6">
      <c r="A118">
        <v>117</v>
      </c>
      <c r="B118" t="s">
        <v>64</v>
      </c>
      <c r="C118" s="11">
        <v>111</v>
      </c>
      <c r="D118" s="12">
        <v>45695</v>
      </c>
      <c r="E118" s="12">
        <f t="shared" si="2"/>
        <v>45737</v>
      </c>
      <c r="F118">
        <f t="shared" si="3"/>
        <v>42</v>
      </c>
    </row>
    <row r="119" spans="1:6">
      <c r="A119">
        <v>118</v>
      </c>
      <c r="B119" t="s">
        <v>99</v>
      </c>
      <c r="C119" s="11">
        <v>310</v>
      </c>
      <c r="D119" s="12">
        <v>45700</v>
      </c>
      <c r="E119" s="12">
        <f t="shared" si="2"/>
        <v>45742</v>
      </c>
      <c r="F119">
        <f t="shared" si="3"/>
        <v>42</v>
      </c>
    </row>
    <row r="120" spans="1:6">
      <c r="A120">
        <v>119</v>
      </c>
      <c r="B120" t="s">
        <v>94</v>
      </c>
      <c r="C120" s="11">
        <v>99</v>
      </c>
      <c r="D120" s="12">
        <v>45664</v>
      </c>
      <c r="E120" s="12">
        <f t="shared" si="2"/>
        <v>45706</v>
      </c>
      <c r="F120">
        <f t="shared" si="3"/>
        <v>42</v>
      </c>
    </row>
    <row r="121" spans="1:6">
      <c r="A121">
        <v>120</v>
      </c>
      <c r="B121" t="s">
        <v>93</v>
      </c>
      <c r="C121" s="11">
        <v>504</v>
      </c>
      <c r="D121" s="12">
        <v>45694</v>
      </c>
      <c r="E121" s="12">
        <f t="shared" si="2"/>
        <v>45736</v>
      </c>
      <c r="F121">
        <f t="shared" si="3"/>
        <v>42</v>
      </c>
    </row>
    <row r="122" spans="1:6">
      <c r="A122">
        <v>121</v>
      </c>
      <c r="B122" t="s">
        <v>93</v>
      </c>
      <c r="C122" s="11">
        <v>504</v>
      </c>
      <c r="D122" s="12">
        <v>45694</v>
      </c>
      <c r="E122" s="12">
        <f t="shared" si="2"/>
        <v>45736</v>
      </c>
      <c r="F122">
        <f t="shared" si="3"/>
        <v>42</v>
      </c>
    </row>
    <row r="123" spans="1:6">
      <c r="A123">
        <v>122</v>
      </c>
      <c r="B123" t="s">
        <v>98</v>
      </c>
      <c r="C123" s="11">
        <v>19</v>
      </c>
      <c r="D123" s="12">
        <v>45669</v>
      </c>
      <c r="E123" s="12">
        <f t="shared" si="2"/>
        <v>45711</v>
      </c>
      <c r="F123">
        <f t="shared" si="3"/>
        <v>42</v>
      </c>
    </row>
    <row r="124" spans="1:6">
      <c r="A124">
        <v>123</v>
      </c>
      <c r="B124" t="s">
        <v>106</v>
      </c>
      <c r="C124" s="11">
        <v>19</v>
      </c>
      <c r="D124" s="12">
        <v>45669</v>
      </c>
      <c r="E124" s="12">
        <f t="shared" si="2"/>
        <v>45711</v>
      </c>
      <c r="F124">
        <f t="shared" si="3"/>
        <v>42</v>
      </c>
    </row>
    <row r="125" spans="1:6">
      <c r="A125">
        <v>124</v>
      </c>
      <c r="B125" t="s">
        <v>64</v>
      </c>
      <c r="C125" s="11">
        <v>111</v>
      </c>
      <c r="D125" s="12">
        <v>45681</v>
      </c>
      <c r="E125" s="12">
        <f t="shared" si="2"/>
        <v>45723</v>
      </c>
      <c r="F125">
        <f t="shared" si="3"/>
        <v>42</v>
      </c>
    </row>
    <row r="126" spans="1:6">
      <c r="A126">
        <v>125</v>
      </c>
      <c r="B126" t="s">
        <v>85</v>
      </c>
      <c r="C126" s="11">
        <v>19</v>
      </c>
      <c r="D126" s="12">
        <v>45669</v>
      </c>
      <c r="E126" s="12">
        <f t="shared" si="2"/>
        <v>45711</v>
      </c>
      <c r="F126">
        <f t="shared" si="3"/>
        <v>42</v>
      </c>
    </row>
    <row r="127" spans="1:6">
      <c r="A127">
        <v>126</v>
      </c>
      <c r="B127" t="s">
        <v>65</v>
      </c>
      <c r="C127" s="11">
        <v>38</v>
      </c>
      <c r="D127" s="12">
        <v>45686</v>
      </c>
      <c r="E127" s="12">
        <f t="shared" si="2"/>
        <v>45728</v>
      </c>
      <c r="F127">
        <f t="shared" si="3"/>
        <v>42</v>
      </c>
    </row>
    <row r="128" spans="1:6">
      <c r="A128">
        <v>127</v>
      </c>
      <c r="B128" t="s">
        <v>64</v>
      </c>
      <c r="C128" s="11">
        <v>111</v>
      </c>
      <c r="D128" s="12">
        <v>45681</v>
      </c>
      <c r="E128" s="12">
        <f t="shared" si="2"/>
        <v>45723</v>
      </c>
      <c r="F128">
        <f t="shared" si="3"/>
        <v>42</v>
      </c>
    </row>
    <row r="129" spans="1:6">
      <c r="A129">
        <v>128</v>
      </c>
      <c r="B129" t="s">
        <v>85</v>
      </c>
      <c r="C129" s="11">
        <v>19</v>
      </c>
      <c r="D129" s="12">
        <v>45669</v>
      </c>
      <c r="E129" s="12">
        <f t="shared" si="2"/>
        <v>45711</v>
      </c>
      <c r="F129">
        <f t="shared" si="3"/>
        <v>42</v>
      </c>
    </row>
    <row r="130" spans="1:6">
      <c r="A130">
        <v>129</v>
      </c>
      <c r="B130" t="s">
        <v>65</v>
      </c>
      <c r="C130" s="11">
        <v>38</v>
      </c>
      <c r="D130" s="12">
        <v>45686</v>
      </c>
      <c r="E130" s="12">
        <f t="shared" ref="E130:E193" si="4">D130+6*7</f>
        <v>45728</v>
      </c>
      <c r="F130">
        <f t="shared" ref="F130:F193" si="5">E130-D130</f>
        <v>42</v>
      </c>
    </row>
    <row r="131" spans="1:6">
      <c r="A131">
        <v>130</v>
      </c>
      <c r="B131" t="s">
        <v>64</v>
      </c>
      <c r="C131" s="11">
        <v>111</v>
      </c>
      <c r="D131" s="12">
        <v>45681</v>
      </c>
      <c r="E131" s="12">
        <f t="shared" si="4"/>
        <v>45723</v>
      </c>
      <c r="F131">
        <f t="shared" si="5"/>
        <v>42</v>
      </c>
    </row>
    <row r="132" spans="1:6">
      <c r="A132">
        <v>131</v>
      </c>
      <c r="B132" t="s">
        <v>64</v>
      </c>
      <c r="C132" s="11">
        <v>111</v>
      </c>
      <c r="D132" s="12">
        <v>45681</v>
      </c>
      <c r="E132" s="12">
        <f t="shared" si="4"/>
        <v>45723</v>
      </c>
      <c r="F132">
        <f t="shared" si="5"/>
        <v>42</v>
      </c>
    </row>
    <row r="133" spans="1:6">
      <c r="A133">
        <v>132</v>
      </c>
      <c r="B133" t="s">
        <v>108</v>
      </c>
      <c r="C133" s="11">
        <v>163</v>
      </c>
      <c r="D133" s="12">
        <v>45674</v>
      </c>
      <c r="E133" s="12">
        <f t="shared" si="4"/>
        <v>45716</v>
      </c>
      <c r="F133">
        <f t="shared" si="5"/>
        <v>42</v>
      </c>
    </row>
    <row r="134" spans="1:6">
      <c r="A134">
        <v>133</v>
      </c>
      <c r="B134" t="s">
        <v>66</v>
      </c>
      <c r="C134" s="11">
        <v>54</v>
      </c>
      <c r="D134" s="12">
        <v>45674</v>
      </c>
      <c r="E134" s="12">
        <f t="shared" si="4"/>
        <v>45716</v>
      </c>
      <c r="F134">
        <f t="shared" si="5"/>
        <v>42</v>
      </c>
    </row>
    <row r="135" spans="1:6">
      <c r="A135">
        <v>134</v>
      </c>
      <c r="B135" t="s">
        <v>66</v>
      </c>
      <c r="C135" s="11">
        <v>54</v>
      </c>
      <c r="D135" s="12">
        <v>45674</v>
      </c>
      <c r="E135" s="12">
        <f t="shared" si="4"/>
        <v>45716</v>
      </c>
      <c r="F135">
        <f t="shared" si="5"/>
        <v>42</v>
      </c>
    </row>
    <row r="136" spans="1:6">
      <c r="A136">
        <v>135</v>
      </c>
      <c r="B136" t="s">
        <v>66</v>
      </c>
      <c r="C136" s="11">
        <v>54</v>
      </c>
      <c r="D136" s="12">
        <v>45674</v>
      </c>
      <c r="E136" s="12">
        <f t="shared" si="4"/>
        <v>45716</v>
      </c>
      <c r="F136">
        <f t="shared" si="5"/>
        <v>42</v>
      </c>
    </row>
    <row r="137" spans="1:6">
      <c r="A137">
        <v>136</v>
      </c>
      <c r="B137" t="s">
        <v>65</v>
      </c>
      <c r="C137" s="11">
        <v>38</v>
      </c>
      <c r="D137" s="12">
        <v>45686</v>
      </c>
      <c r="E137" s="12">
        <f t="shared" si="4"/>
        <v>45728</v>
      </c>
      <c r="F137">
        <f t="shared" si="5"/>
        <v>42</v>
      </c>
    </row>
    <row r="138" spans="1:6">
      <c r="A138">
        <v>137</v>
      </c>
      <c r="B138" t="s">
        <v>112</v>
      </c>
      <c r="C138" s="11">
        <v>70</v>
      </c>
      <c r="D138" s="12">
        <v>45678</v>
      </c>
      <c r="E138" s="12">
        <f t="shared" si="4"/>
        <v>45720</v>
      </c>
      <c r="F138">
        <f t="shared" si="5"/>
        <v>42</v>
      </c>
    </row>
    <row r="139" spans="1:6">
      <c r="A139">
        <v>138</v>
      </c>
      <c r="B139" t="s">
        <v>99</v>
      </c>
      <c r="C139" s="11">
        <v>310</v>
      </c>
      <c r="D139" s="12">
        <v>45700</v>
      </c>
      <c r="E139" s="12">
        <f t="shared" si="4"/>
        <v>45742</v>
      </c>
      <c r="F139">
        <f t="shared" si="5"/>
        <v>42</v>
      </c>
    </row>
    <row r="140" spans="1:6">
      <c r="A140">
        <v>139</v>
      </c>
      <c r="B140" t="s">
        <v>77</v>
      </c>
      <c r="C140" s="11">
        <v>18</v>
      </c>
      <c r="D140" s="12">
        <v>45723</v>
      </c>
      <c r="E140" s="12">
        <f t="shared" si="4"/>
        <v>45765</v>
      </c>
      <c r="F140">
        <f t="shared" si="5"/>
        <v>42</v>
      </c>
    </row>
    <row r="141" spans="1:6">
      <c r="A141">
        <v>140</v>
      </c>
      <c r="B141" t="s">
        <v>64</v>
      </c>
      <c r="C141" s="11">
        <v>111</v>
      </c>
      <c r="D141" s="12">
        <v>45713</v>
      </c>
      <c r="E141" s="12">
        <f t="shared" si="4"/>
        <v>45755</v>
      </c>
      <c r="F141">
        <f t="shared" si="5"/>
        <v>42</v>
      </c>
    </row>
    <row r="142" spans="1:6">
      <c r="A142">
        <v>141</v>
      </c>
      <c r="B142" t="s">
        <v>112</v>
      </c>
      <c r="C142" s="11">
        <v>70</v>
      </c>
      <c r="D142" s="12">
        <v>45690</v>
      </c>
      <c r="E142" s="12">
        <f t="shared" si="4"/>
        <v>45732</v>
      </c>
      <c r="F142">
        <f t="shared" si="5"/>
        <v>42</v>
      </c>
    </row>
    <row r="143" spans="1:6">
      <c r="A143">
        <v>142</v>
      </c>
      <c r="B143" t="s">
        <v>112</v>
      </c>
      <c r="C143" s="11">
        <v>70</v>
      </c>
      <c r="D143" s="12">
        <v>45690</v>
      </c>
      <c r="E143" s="12">
        <f t="shared" si="4"/>
        <v>45732</v>
      </c>
      <c r="F143">
        <f t="shared" si="5"/>
        <v>42</v>
      </c>
    </row>
    <row r="144" spans="1:6">
      <c r="A144">
        <v>143</v>
      </c>
      <c r="B144" t="s">
        <v>112</v>
      </c>
      <c r="C144" s="11">
        <v>70</v>
      </c>
      <c r="D144" s="12">
        <v>45690</v>
      </c>
      <c r="E144" s="12">
        <f t="shared" si="4"/>
        <v>45732</v>
      </c>
      <c r="F144">
        <f t="shared" si="5"/>
        <v>42</v>
      </c>
    </row>
    <row r="145" spans="1:6">
      <c r="A145">
        <v>144</v>
      </c>
      <c r="B145" t="s">
        <v>108</v>
      </c>
      <c r="C145" s="11">
        <v>163</v>
      </c>
      <c r="D145" s="12">
        <v>45674</v>
      </c>
      <c r="E145" s="12">
        <f t="shared" si="4"/>
        <v>45716</v>
      </c>
      <c r="F145">
        <f t="shared" si="5"/>
        <v>42</v>
      </c>
    </row>
    <row r="146" spans="1:6">
      <c r="A146">
        <v>145</v>
      </c>
      <c r="B146" t="s">
        <v>66</v>
      </c>
      <c r="C146" s="11">
        <v>54</v>
      </c>
      <c r="D146" s="12">
        <v>45674</v>
      </c>
      <c r="E146" s="12">
        <f t="shared" si="4"/>
        <v>45716</v>
      </c>
      <c r="F146">
        <f t="shared" si="5"/>
        <v>42</v>
      </c>
    </row>
    <row r="147" spans="1:6">
      <c r="A147">
        <v>146</v>
      </c>
      <c r="B147" t="s">
        <v>66</v>
      </c>
      <c r="C147" s="11">
        <v>54</v>
      </c>
      <c r="D147" s="12">
        <v>45674</v>
      </c>
      <c r="E147" s="12">
        <f t="shared" si="4"/>
        <v>45716</v>
      </c>
      <c r="F147">
        <f t="shared" si="5"/>
        <v>42</v>
      </c>
    </row>
    <row r="148" spans="1:6">
      <c r="A148">
        <v>147</v>
      </c>
      <c r="B148" t="s">
        <v>65</v>
      </c>
      <c r="C148" s="11">
        <v>38</v>
      </c>
      <c r="D148" s="12">
        <v>45686</v>
      </c>
      <c r="E148" s="12">
        <f t="shared" si="4"/>
        <v>45728</v>
      </c>
      <c r="F148">
        <f t="shared" si="5"/>
        <v>42</v>
      </c>
    </row>
    <row r="149" spans="1:6">
      <c r="A149">
        <v>148</v>
      </c>
      <c r="B149" t="s">
        <v>64</v>
      </c>
      <c r="C149" s="11">
        <v>111</v>
      </c>
      <c r="D149" s="12">
        <v>45713</v>
      </c>
      <c r="E149" s="12">
        <f t="shared" si="4"/>
        <v>45755</v>
      </c>
      <c r="F149">
        <f t="shared" si="5"/>
        <v>42</v>
      </c>
    </row>
    <row r="150" spans="1:6">
      <c r="A150">
        <v>149</v>
      </c>
      <c r="B150" t="s">
        <v>67</v>
      </c>
      <c r="C150" s="11">
        <v>78</v>
      </c>
      <c r="D150" s="12">
        <v>45721</v>
      </c>
      <c r="E150" s="12">
        <f t="shared" si="4"/>
        <v>45763</v>
      </c>
      <c r="F150">
        <f t="shared" si="5"/>
        <v>42</v>
      </c>
    </row>
    <row r="151" spans="1:6">
      <c r="A151">
        <v>150</v>
      </c>
      <c r="B151" t="s">
        <v>87</v>
      </c>
      <c r="C151" s="11">
        <v>18</v>
      </c>
      <c r="D151" s="12">
        <v>45714</v>
      </c>
      <c r="E151" s="12">
        <f t="shared" si="4"/>
        <v>45756</v>
      </c>
      <c r="F151">
        <f t="shared" si="5"/>
        <v>42</v>
      </c>
    </row>
    <row r="152" spans="1:6">
      <c r="A152">
        <v>151</v>
      </c>
      <c r="B152" t="s">
        <v>106</v>
      </c>
      <c r="C152" s="11">
        <v>19</v>
      </c>
      <c r="D152" s="12">
        <v>45669</v>
      </c>
      <c r="E152" s="12">
        <f t="shared" si="4"/>
        <v>45711</v>
      </c>
      <c r="F152">
        <f t="shared" si="5"/>
        <v>42</v>
      </c>
    </row>
    <row r="153" spans="1:6">
      <c r="A153">
        <v>152</v>
      </c>
      <c r="B153" t="s">
        <v>66</v>
      </c>
      <c r="C153" s="11">
        <v>54</v>
      </c>
      <c r="D153" s="12">
        <v>45674</v>
      </c>
      <c r="E153" s="12">
        <f t="shared" si="4"/>
        <v>45716</v>
      </c>
      <c r="F153">
        <f t="shared" si="5"/>
        <v>42</v>
      </c>
    </row>
    <row r="154" spans="1:6">
      <c r="A154">
        <v>153</v>
      </c>
      <c r="B154" t="s">
        <v>65</v>
      </c>
      <c r="C154" s="11">
        <v>19</v>
      </c>
      <c r="D154" s="12">
        <v>45686</v>
      </c>
      <c r="E154" s="12">
        <f t="shared" si="4"/>
        <v>45728</v>
      </c>
      <c r="F154">
        <f t="shared" si="5"/>
        <v>42</v>
      </c>
    </row>
    <row r="155" spans="1:6">
      <c r="A155">
        <v>154</v>
      </c>
      <c r="B155" t="s">
        <v>64</v>
      </c>
      <c r="C155" s="11">
        <v>111</v>
      </c>
      <c r="D155" s="12">
        <v>45713</v>
      </c>
      <c r="E155" s="12">
        <f t="shared" si="4"/>
        <v>45755</v>
      </c>
      <c r="F155">
        <f t="shared" si="5"/>
        <v>42</v>
      </c>
    </row>
    <row r="156" spans="1:6">
      <c r="A156">
        <v>155</v>
      </c>
      <c r="B156" t="s">
        <v>77</v>
      </c>
      <c r="C156" s="11">
        <v>18</v>
      </c>
      <c r="D156" s="12">
        <v>45723</v>
      </c>
      <c r="E156" s="12">
        <f t="shared" si="4"/>
        <v>45765</v>
      </c>
      <c r="F156">
        <f t="shared" si="5"/>
        <v>42</v>
      </c>
    </row>
    <row r="157" spans="1:6">
      <c r="A157">
        <v>156</v>
      </c>
      <c r="B157" t="s">
        <v>108</v>
      </c>
      <c r="C157" s="11">
        <v>163</v>
      </c>
      <c r="D157" s="12">
        <v>45674</v>
      </c>
      <c r="E157" s="12">
        <f t="shared" si="4"/>
        <v>45716</v>
      </c>
      <c r="F157">
        <f t="shared" si="5"/>
        <v>42</v>
      </c>
    </row>
    <row r="158" spans="1:6">
      <c r="A158">
        <v>157</v>
      </c>
      <c r="B158" t="s">
        <v>64</v>
      </c>
      <c r="C158" s="11">
        <v>111</v>
      </c>
      <c r="D158" s="12">
        <v>45713</v>
      </c>
      <c r="E158" s="12">
        <f t="shared" si="4"/>
        <v>45755</v>
      </c>
      <c r="F158">
        <f t="shared" si="5"/>
        <v>42</v>
      </c>
    </row>
    <row r="159" spans="1:6">
      <c r="A159">
        <v>158</v>
      </c>
      <c r="B159" t="s">
        <v>112</v>
      </c>
      <c r="C159" s="11">
        <v>70</v>
      </c>
      <c r="D159" s="12">
        <v>45690</v>
      </c>
      <c r="E159" s="12">
        <f t="shared" si="4"/>
        <v>45732</v>
      </c>
      <c r="F159">
        <f t="shared" si="5"/>
        <v>42</v>
      </c>
    </row>
    <row r="160" spans="1:6">
      <c r="A160">
        <v>159</v>
      </c>
      <c r="B160" t="s">
        <v>67</v>
      </c>
      <c r="C160" s="11">
        <v>78</v>
      </c>
      <c r="D160" s="12">
        <v>45721</v>
      </c>
      <c r="E160" s="12">
        <f t="shared" si="4"/>
        <v>45763</v>
      </c>
      <c r="F160">
        <f t="shared" si="5"/>
        <v>42</v>
      </c>
    </row>
    <row r="161" spans="1:6">
      <c r="A161">
        <v>160</v>
      </c>
      <c r="B161" t="s">
        <v>67</v>
      </c>
      <c r="C161" s="11">
        <v>78</v>
      </c>
      <c r="D161" s="12">
        <v>45721</v>
      </c>
      <c r="E161" s="12">
        <f t="shared" si="4"/>
        <v>45763</v>
      </c>
      <c r="F161">
        <f t="shared" si="5"/>
        <v>42</v>
      </c>
    </row>
    <row r="162" spans="1:6">
      <c r="A162">
        <v>161</v>
      </c>
      <c r="B162" t="s">
        <v>94</v>
      </c>
      <c r="C162" s="11">
        <v>99</v>
      </c>
      <c r="D162" s="12">
        <v>45665</v>
      </c>
      <c r="E162" s="12">
        <f t="shared" si="4"/>
        <v>45707</v>
      </c>
      <c r="F162">
        <f t="shared" si="5"/>
        <v>42</v>
      </c>
    </row>
    <row r="163" spans="1:6">
      <c r="A163">
        <v>162</v>
      </c>
      <c r="B163" t="s">
        <v>106</v>
      </c>
      <c r="C163" s="11">
        <v>19</v>
      </c>
      <c r="D163" s="12">
        <v>45674</v>
      </c>
      <c r="E163" s="12">
        <f t="shared" si="4"/>
        <v>45716</v>
      </c>
      <c r="F163">
        <f t="shared" si="5"/>
        <v>42</v>
      </c>
    </row>
    <row r="164" spans="1:6">
      <c r="A164">
        <v>163</v>
      </c>
      <c r="B164" t="s">
        <v>106</v>
      </c>
      <c r="C164" s="11">
        <v>19</v>
      </c>
      <c r="D164" s="12">
        <v>45674</v>
      </c>
      <c r="E164" s="12">
        <f t="shared" si="4"/>
        <v>45716</v>
      </c>
      <c r="F164">
        <f t="shared" si="5"/>
        <v>42</v>
      </c>
    </row>
    <row r="165" spans="1:6">
      <c r="A165">
        <v>164</v>
      </c>
      <c r="B165" t="s">
        <v>67</v>
      </c>
      <c r="C165" s="11">
        <v>76.870999999999995</v>
      </c>
      <c r="D165" s="12">
        <v>45722</v>
      </c>
      <c r="E165" s="12">
        <f t="shared" si="4"/>
        <v>45764</v>
      </c>
      <c r="F165">
        <f t="shared" si="5"/>
        <v>42</v>
      </c>
    </row>
    <row r="166" spans="1:6">
      <c r="A166">
        <v>165</v>
      </c>
      <c r="B166" t="s">
        <v>99</v>
      </c>
      <c r="C166" s="11">
        <v>19</v>
      </c>
      <c r="D166" s="12">
        <v>45729</v>
      </c>
      <c r="E166" s="12">
        <f t="shared" si="4"/>
        <v>45771</v>
      </c>
      <c r="F166">
        <f t="shared" si="5"/>
        <v>42</v>
      </c>
    </row>
    <row r="167" spans="1:6">
      <c r="A167">
        <v>166</v>
      </c>
      <c r="B167" t="s">
        <v>99</v>
      </c>
      <c r="C167" s="11">
        <v>19</v>
      </c>
      <c r="D167" s="12">
        <v>45729</v>
      </c>
      <c r="E167" s="12">
        <f t="shared" si="4"/>
        <v>45771</v>
      </c>
      <c r="F167">
        <f t="shared" si="5"/>
        <v>42</v>
      </c>
    </row>
    <row r="168" spans="1:6">
      <c r="A168">
        <v>167</v>
      </c>
      <c r="B168" t="s">
        <v>99</v>
      </c>
      <c r="C168" s="11">
        <v>19</v>
      </c>
      <c r="D168" s="12">
        <v>45729</v>
      </c>
      <c r="E168" s="12">
        <f t="shared" si="4"/>
        <v>45771</v>
      </c>
      <c r="F168">
        <f t="shared" si="5"/>
        <v>42</v>
      </c>
    </row>
    <row r="169" spans="1:6">
      <c r="A169">
        <v>168</v>
      </c>
      <c r="B169" t="s">
        <v>99</v>
      </c>
      <c r="C169" s="11">
        <v>19</v>
      </c>
      <c r="D169" s="12">
        <v>45729</v>
      </c>
      <c r="E169" s="12">
        <f t="shared" si="4"/>
        <v>45771</v>
      </c>
      <c r="F169">
        <f t="shared" si="5"/>
        <v>42</v>
      </c>
    </row>
    <row r="170" spans="1:6">
      <c r="A170">
        <v>169</v>
      </c>
      <c r="B170" t="s">
        <v>99</v>
      </c>
      <c r="C170" s="11">
        <v>19</v>
      </c>
      <c r="D170" s="12">
        <v>45729</v>
      </c>
      <c r="E170" s="12">
        <f t="shared" si="4"/>
        <v>45771</v>
      </c>
      <c r="F170">
        <f t="shared" si="5"/>
        <v>42</v>
      </c>
    </row>
    <row r="171" spans="1:6">
      <c r="A171">
        <v>170</v>
      </c>
      <c r="B171" t="s">
        <v>99</v>
      </c>
      <c r="C171" s="11">
        <v>19</v>
      </c>
      <c r="D171" s="12">
        <v>45729</v>
      </c>
      <c r="E171" s="12">
        <f t="shared" si="4"/>
        <v>45771</v>
      </c>
      <c r="F171">
        <f t="shared" si="5"/>
        <v>42</v>
      </c>
    </row>
    <row r="172" spans="1:6">
      <c r="A172">
        <v>171</v>
      </c>
      <c r="B172" t="s">
        <v>77</v>
      </c>
      <c r="C172" s="11">
        <v>18</v>
      </c>
      <c r="D172" s="12">
        <v>45665</v>
      </c>
      <c r="E172" s="12">
        <f t="shared" si="4"/>
        <v>45707</v>
      </c>
      <c r="F172">
        <f t="shared" si="5"/>
        <v>42</v>
      </c>
    </row>
    <row r="173" spans="1:6">
      <c r="A173">
        <v>172</v>
      </c>
      <c r="B173" t="s">
        <v>85</v>
      </c>
      <c r="C173" s="11">
        <v>19</v>
      </c>
      <c r="D173" s="12">
        <v>45669</v>
      </c>
      <c r="E173" s="12">
        <f t="shared" si="4"/>
        <v>45711</v>
      </c>
      <c r="F173">
        <f t="shared" si="5"/>
        <v>42</v>
      </c>
    </row>
    <row r="174" spans="1:6">
      <c r="A174">
        <v>173</v>
      </c>
      <c r="B174" t="s">
        <v>85</v>
      </c>
      <c r="C174" s="11">
        <v>19</v>
      </c>
      <c r="D174" s="12">
        <v>45669</v>
      </c>
      <c r="E174" s="12">
        <f t="shared" si="4"/>
        <v>45711</v>
      </c>
      <c r="F174">
        <f t="shared" si="5"/>
        <v>42</v>
      </c>
    </row>
    <row r="175" spans="1:6">
      <c r="A175">
        <v>174</v>
      </c>
      <c r="B175" t="s">
        <v>85</v>
      </c>
      <c r="C175" s="11">
        <v>19</v>
      </c>
      <c r="D175" s="12">
        <v>45669</v>
      </c>
      <c r="E175" s="12">
        <f t="shared" si="4"/>
        <v>45711</v>
      </c>
      <c r="F175">
        <f t="shared" si="5"/>
        <v>42</v>
      </c>
    </row>
    <row r="176" spans="1:6">
      <c r="A176">
        <v>175</v>
      </c>
      <c r="B176" t="s">
        <v>65</v>
      </c>
      <c r="C176" s="11">
        <v>38</v>
      </c>
      <c r="D176" s="12">
        <v>45686</v>
      </c>
      <c r="E176" s="12">
        <f t="shared" si="4"/>
        <v>45728</v>
      </c>
      <c r="F176">
        <f t="shared" si="5"/>
        <v>42</v>
      </c>
    </row>
    <row r="177" spans="1:6">
      <c r="A177">
        <v>176</v>
      </c>
      <c r="B177" t="s">
        <v>93</v>
      </c>
      <c r="C177" s="11">
        <v>192</v>
      </c>
      <c r="D177" s="12">
        <v>45715</v>
      </c>
      <c r="E177" s="12">
        <f t="shared" si="4"/>
        <v>45757</v>
      </c>
      <c r="F177">
        <f t="shared" si="5"/>
        <v>42</v>
      </c>
    </row>
    <row r="178" spans="1:6">
      <c r="A178">
        <v>177</v>
      </c>
      <c r="B178" t="s">
        <v>65</v>
      </c>
      <c r="C178" s="11">
        <v>38</v>
      </c>
      <c r="D178" s="12">
        <v>45686</v>
      </c>
      <c r="E178" s="12">
        <f t="shared" si="4"/>
        <v>45728</v>
      </c>
      <c r="F178">
        <f t="shared" si="5"/>
        <v>42</v>
      </c>
    </row>
    <row r="179" spans="1:6">
      <c r="A179">
        <v>178</v>
      </c>
      <c r="B179" t="s">
        <v>66</v>
      </c>
      <c r="C179" s="11">
        <v>54</v>
      </c>
      <c r="D179" s="12">
        <v>45674</v>
      </c>
      <c r="E179" s="12">
        <f t="shared" si="4"/>
        <v>45716</v>
      </c>
      <c r="F179">
        <f t="shared" si="5"/>
        <v>42</v>
      </c>
    </row>
    <row r="180" spans="1:6">
      <c r="A180">
        <v>179</v>
      </c>
      <c r="B180" t="s">
        <v>66</v>
      </c>
      <c r="C180" s="11">
        <v>54</v>
      </c>
      <c r="D180" s="12">
        <v>45674</v>
      </c>
      <c r="E180" s="12">
        <f t="shared" si="4"/>
        <v>45716</v>
      </c>
      <c r="F180">
        <f t="shared" si="5"/>
        <v>42</v>
      </c>
    </row>
    <row r="181" spans="1:6">
      <c r="A181">
        <v>180</v>
      </c>
      <c r="B181" t="s">
        <v>66</v>
      </c>
      <c r="C181" s="11">
        <v>54</v>
      </c>
      <c r="D181" s="12">
        <v>45674</v>
      </c>
      <c r="E181" s="12">
        <f t="shared" si="4"/>
        <v>45716</v>
      </c>
      <c r="F181">
        <f t="shared" si="5"/>
        <v>42</v>
      </c>
    </row>
    <row r="182" spans="1:6">
      <c r="A182">
        <v>181</v>
      </c>
      <c r="B182" t="s">
        <v>65</v>
      </c>
      <c r="C182" s="11">
        <v>38</v>
      </c>
      <c r="D182" s="12">
        <v>45686</v>
      </c>
      <c r="E182" s="12">
        <f t="shared" si="4"/>
        <v>45728</v>
      </c>
      <c r="F182">
        <f t="shared" si="5"/>
        <v>42</v>
      </c>
    </row>
    <row r="183" spans="1:6">
      <c r="A183">
        <v>182</v>
      </c>
      <c r="B183" t="s">
        <v>64</v>
      </c>
      <c r="C183" s="11">
        <v>93</v>
      </c>
      <c r="D183" s="12">
        <v>45713</v>
      </c>
      <c r="E183" s="12">
        <f t="shared" si="4"/>
        <v>45755</v>
      </c>
      <c r="F183">
        <f t="shared" si="5"/>
        <v>42</v>
      </c>
    </row>
    <row r="184" spans="1:6">
      <c r="A184">
        <v>183</v>
      </c>
      <c r="B184" t="s">
        <v>67</v>
      </c>
      <c r="C184" s="11">
        <v>78</v>
      </c>
      <c r="D184" s="12">
        <v>45721</v>
      </c>
      <c r="E184" s="12">
        <f t="shared" si="4"/>
        <v>45763</v>
      </c>
      <c r="F184">
        <f t="shared" si="5"/>
        <v>42</v>
      </c>
    </row>
    <row r="185" spans="1:6">
      <c r="A185">
        <v>184</v>
      </c>
      <c r="B185" t="s">
        <v>77</v>
      </c>
      <c r="C185" s="11">
        <v>18</v>
      </c>
      <c r="D185" s="12">
        <v>45665</v>
      </c>
      <c r="E185" s="12">
        <f t="shared" si="4"/>
        <v>45707</v>
      </c>
      <c r="F185">
        <f t="shared" si="5"/>
        <v>42</v>
      </c>
    </row>
    <row r="186" spans="1:6">
      <c r="A186">
        <v>185</v>
      </c>
      <c r="B186" t="s">
        <v>108</v>
      </c>
      <c r="C186" s="11">
        <v>108</v>
      </c>
      <c r="D186" s="12">
        <v>45709</v>
      </c>
      <c r="E186" s="12">
        <f t="shared" si="4"/>
        <v>45751</v>
      </c>
      <c r="F186">
        <f t="shared" si="5"/>
        <v>42</v>
      </c>
    </row>
    <row r="187" spans="1:6">
      <c r="A187">
        <v>186</v>
      </c>
      <c r="B187" t="s">
        <v>108</v>
      </c>
      <c r="C187" s="11">
        <v>108</v>
      </c>
      <c r="D187" s="12">
        <v>45709</v>
      </c>
      <c r="E187" s="12">
        <f t="shared" si="4"/>
        <v>45751</v>
      </c>
      <c r="F187">
        <f t="shared" si="5"/>
        <v>42</v>
      </c>
    </row>
    <row r="188" spans="1:6">
      <c r="A188">
        <v>187</v>
      </c>
      <c r="B188" t="s">
        <v>108</v>
      </c>
      <c r="C188" s="11">
        <v>54</v>
      </c>
      <c r="D188" s="12">
        <v>45709</v>
      </c>
      <c r="E188" s="12">
        <f t="shared" si="4"/>
        <v>45751</v>
      </c>
      <c r="F188">
        <f t="shared" si="5"/>
        <v>42</v>
      </c>
    </row>
    <row r="189" spans="1:6">
      <c r="A189">
        <v>188</v>
      </c>
      <c r="B189" t="s">
        <v>87</v>
      </c>
      <c r="C189" s="11">
        <v>18</v>
      </c>
      <c r="D189" s="12">
        <v>45714</v>
      </c>
      <c r="E189" s="12">
        <f t="shared" si="4"/>
        <v>45756</v>
      </c>
      <c r="F189">
        <f t="shared" si="5"/>
        <v>42</v>
      </c>
    </row>
    <row r="190" spans="1:6">
      <c r="A190">
        <v>189</v>
      </c>
      <c r="B190" t="s">
        <v>99</v>
      </c>
      <c r="C190" s="11">
        <v>19</v>
      </c>
      <c r="D190" s="12">
        <v>45735</v>
      </c>
      <c r="E190" s="12">
        <f t="shared" si="4"/>
        <v>45777</v>
      </c>
      <c r="F190">
        <f t="shared" si="5"/>
        <v>42</v>
      </c>
    </row>
    <row r="191" spans="1:6">
      <c r="A191">
        <v>190</v>
      </c>
      <c r="B191" t="s">
        <v>99</v>
      </c>
      <c r="C191" s="11">
        <v>19</v>
      </c>
      <c r="D191" s="12">
        <v>45735</v>
      </c>
      <c r="E191" s="12">
        <f t="shared" si="4"/>
        <v>45777</v>
      </c>
      <c r="F191">
        <f t="shared" si="5"/>
        <v>42</v>
      </c>
    </row>
    <row r="192" spans="1:6">
      <c r="A192">
        <v>191</v>
      </c>
      <c r="B192" t="s">
        <v>99</v>
      </c>
      <c r="C192" s="11">
        <v>19</v>
      </c>
      <c r="D192" s="12">
        <v>45735</v>
      </c>
      <c r="E192" s="12">
        <f t="shared" si="4"/>
        <v>45777</v>
      </c>
      <c r="F192">
        <f t="shared" si="5"/>
        <v>42</v>
      </c>
    </row>
    <row r="193" spans="1:6">
      <c r="A193">
        <v>192</v>
      </c>
      <c r="B193" t="s">
        <v>99</v>
      </c>
      <c r="C193" s="11">
        <v>19</v>
      </c>
      <c r="D193" s="12">
        <v>45735</v>
      </c>
      <c r="E193" s="12">
        <f t="shared" si="4"/>
        <v>45777</v>
      </c>
      <c r="F193">
        <f t="shared" si="5"/>
        <v>42</v>
      </c>
    </row>
    <row r="194" spans="1:6">
      <c r="A194">
        <v>193</v>
      </c>
      <c r="B194" t="s">
        <v>99</v>
      </c>
      <c r="C194" s="11">
        <v>19</v>
      </c>
      <c r="D194" s="12">
        <v>45735</v>
      </c>
      <c r="E194" s="12">
        <f t="shared" ref="E194:E257" si="6">D194+6*7</f>
        <v>45777</v>
      </c>
      <c r="F194">
        <f t="shared" ref="F194:F257" si="7">E194-D194</f>
        <v>42</v>
      </c>
    </row>
    <row r="195" spans="1:6">
      <c r="A195">
        <v>194</v>
      </c>
      <c r="B195" t="s">
        <v>99</v>
      </c>
      <c r="C195" s="11">
        <v>19</v>
      </c>
      <c r="D195" s="12">
        <v>45735</v>
      </c>
      <c r="E195" s="12">
        <f t="shared" si="6"/>
        <v>45777</v>
      </c>
      <c r="F195">
        <f t="shared" si="7"/>
        <v>42</v>
      </c>
    </row>
    <row r="196" spans="1:6">
      <c r="A196">
        <v>195</v>
      </c>
      <c r="B196" t="s">
        <v>99</v>
      </c>
      <c r="C196" s="11">
        <v>19</v>
      </c>
      <c r="D196" s="12">
        <v>45735</v>
      </c>
      <c r="E196" s="12">
        <f t="shared" si="6"/>
        <v>45777</v>
      </c>
      <c r="F196">
        <f t="shared" si="7"/>
        <v>42</v>
      </c>
    </row>
    <row r="197" spans="1:6">
      <c r="A197">
        <v>196</v>
      </c>
      <c r="B197" t="s">
        <v>99</v>
      </c>
      <c r="C197" s="11">
        <v>19</v>
      </c>
      <c r="D197" s="12">
        <v>45735</v>
      </c>
      <c r="E197" s="12">
        <f t="shared" si="6"/>
        <v>45777</v>
      </c>
      <c r="F197">
        <f t="shared" si="7"/>
        <v>42</v>
      </c>
    </row>
    <row r="198" spans="1:6">
      <c r="A198">
        <v>197</v>
      </c>
      <c r="B198" t="s">
        <v>68</v>
      </c>
      <c r="C198" s="11">
        <v>312</v>
      </c>
      <c r="D198" s="12">
        <v>45681</v>
      </c>
      <c r="E198" s="12">
        <f t="shared" si="6"/>
        <v>45723</v>
      </c>
      <c r="F198">
        <f t="shared" si="7"/>
        <v>42</v>
      </c>
    </row>
    <row r="199" spans="1:6">
      <c r="A199">
        <v>198</v>
      </c>
      <c r="B199" t="s">
        <v>66</v>
      </c>
      <c r="C199" s="11">
        <v>108</v>
      </c>
      <c r="D199" s="12">
        <v>45709</v>
      </c>
      <c r="E199" s="12">
        <f t="shared" si="6"/>
        <v>45751</v>
      </c>
      <c r="F199">
        <f t="shared" si="7"/>
        <v>42</v>
      </c>
    </row>
    <row r="200" spans="1:6">
      <c r="A200">
        <v>199</v>
      </c>
      <c r="B200" t="s">
        <v>66</v>
      </c>
      <c r="C200" s="11">
        <v>108</v>
      </c>
      <c r="D200" s="12">
        <v>45709</v>
      </c>
      <c r="E200" s="12">
        <f t="shared" si="6"/>
        <v>45751</v>
      </c>
      <c r="F200">
        <f t="shared" si="7"/>
        <v>42</v>
      </c>
    </row>
    <row r="201" spans="1:6">
      <c r="A201">
        <v>200</v>
      </c>
      <c r="B201" t="s">
        <v>65</v>
      </c>
      <c r="C201" s="11">
        <v>38</v>
      </c>
      <c r="D201" s="12">
        <v>45686</v>
      </c>
      <c r="E201" s="12">
        <f t="shared" si="6"/>
        <v>45728</v>
      </c>
      <c r="F201">
        <f t="shared" si="7"/>
        <v>42</v>
      </c>
    </row>
    <row r="202" spans="1:6">
      <c r="A202">
        <v>201</v>
      </c>
      <c r="B202" t="s">
        <v>66</v>
      </c>
      <c r="C202" s="11">
        <v>108</v>
      </c>
      <c r="D202" s="12">
        <v>45709</v>
      </c>
      <c r="E202" s="12">
        <f t="shared" si="6"/>
        <v>45751</v>
      </c>
      <c r="F202">
        <f t="shared" si="7"/>
        <v>42</v>
      </c>
    </row>
    <row r="203" spans="1:6">
      <c r="A203">
        <v>202</v>
      </c>
      <c r="B203" t="s">
        <v>66</v>
      </c>
      <c r="C203" s="11">
        <v>54</v>
      </c>
      <c r="D203" s="12">
        <v>45709</v>
      </c>
      <c r="E203" s="12">
        <f t="shared" si="6"/>
        <v>45751</v>
      </c>
      <c r="F203">
        <f t="shared" si="7"/>
        <v>42</v>
      </c>
    </row>
    <row r="204" spans="1:6">
      <c r="A204">
        <v>203</v>
      </c>
      <c r="B204" t="s">
        <v>66</v>
      </c>
      <c r="C204" s="11">
        <v>108</v>
      </c>
      <c r="D204" s="12">
        <v>45709</v>
      </c>
      <c r="E204" s="12">
        <f t="shared" si="6"/>
        <v>45751</v>
      </c>
      <c r="F204">
        <f t="shared" si="7"/>
        <v>42</v>
      </c>
    </row>
    <row r="205" spans="1:6">
      <c r="A205">
        <v>204</v>
      </c>
      <c r="B205" t="s">
        <v>66</v>
      </c>
      <c r="C205" s="11">
        <v>54</v>
      </c>
      <c r="D205" s="12">
        <v>45709</v>
      </c>
      <c r="E205" s="12">
        <f t="shared" si="6"/>
        <v>45751</v>
      </c>
      <c r="F205">
        <f t="shared" si="7"/>
        <v>42</v>
      </c>
    </row>
    <row r="206" spans="1:6">
      <c r="A206">
        <v>205</v>
      </c>
      <c r="B206" t="s">
        <v>78</v>
      </c>
      <c r="C206" s="11">
        <v>92</v>
      </c>
      <c r="D206" s="12">
        <v>45686</v>
      </c>
      <c r="E206" s="12">
        <f t="shared" si="6"/>
        <v>45728</v>
      </c>
      <c r="F206">
        <f t="shared" si="7"/>
        <v>42</v>
      </c>
    </row>
    <row r="207" spans="1:6">
      <c r="A207">
        <v>206</v>
      </c>
      <c r="B207" t="s">
        <v>99</v>
      </c>
      <c r="C207" s="11">
        <v>310</v>
      </c>
      <c r="D207" s="12">
        <v>45706</v>
      </c>
      <c r="E207" s="12">
        <f t="shared" si="6"/>
        <v>45748</v>
      </c>
      <c r="F207">
        <f t="shared" si="7"/>
        <v>42</v>
      </c>
    </row>
    <row r="208" spans="1:6">
      <c r="A208">
        <v>207</v>
      </c>
      <c r="B208" t="s">
        <v>98</v>
      </c>
      <c r="C208" s="11">
        <v>19</v>
      </c>
      <c r="D208" s="12">
        <v>45669</v>
      </c>
      <c r="E208" s="12">
        <f t="shared" si="6"/>
        <v>45711</v>
      </c>
      <c r="F208">
        <f t="shared" si="7"/>
        <v>42</v>
      </c>
    </row>
    <row r="209" spans="1:6">
      <c r="A209">
        <v>208</v>
      </c>
      <c r="B209" t="s">
        <v>106</v>
      </c>
      <c r="C209" s="11">
        <v>19</v>
      </c>
      <c r="D209" s="12">
        <v>45669</v>
      </c>
      <c r="E209" s="12">
        <f t="shared" si="6"/>
        <v>45711</v>
      </c>
      <c r="F209">
        <f t="shared" si="7"/>
        <v>42</v>
      </c>
    </row>
    <row r="210" spans="1:6">
      <c r="A210">
        <v>209</v>
      </c>
      <c r="B210" t="s">
        <v>106</v>
      </c>
      <c r="C210" s="11">
        <v>19</v>
      </c>
      <c r="D210" s="12">
        <v>45669</v>
      </c>
      <c r="E210" s="12">
        <f t="shared" si="6"/>
        <v>45711</v>
      </c>
      <c r="F210">
        <f t="shared" si="7"/>
        <v>42</v>
      </c>
    </row>
    <row r="211" spans="1:6">
      <c r="A211">
        <v>210</v>
      </c>
      <c r="B211" t="s">
        <v>106</v>
      </c>
      <c r="C211" s="11">
        <v>19</v>
      </c>
      <c r="D211" s="12">
        <v>45669</v>
      </c>
      <c r="E211" s="12">
        <f t="shared" si="6"/>
        <v>45711</v>
      </c>
      <c r="F211">
        <f t="shared" si="7"/>
        <v>42</v>
      </c>
    </row>
    <row r="212" spans="1:6">
      <c r="A212">
        <v>211</v>
      </c>
      <c r="B212" t="s">
        <v>65</v>
      </c>
      <c r="C212" s="11">
        <v>38</v>
      </c>
      <c r="D212" s="12">
        <v>45686</v>
      </c>
      <c r="E212" s="12">
        <f t="shared" si="6"/>
        <v>45728</v>
      </c>
      <c r="F212">
        <f t="shared" si="7"/>
        <v>42</v>
      </c>
    </row>
    <row r="213" spans="1:6">
      <c r="A213">
        <v>212</v>
      </c>
      <c r="B213" t="s">
        <v>100</v>
      </c>
      <c r="C213" s="11">
        <v>23</v>
      </c>
      <c r="D213" s="12">
        <v>45690</v>
      </c>
      <c r="E213" s="12">
        <f t="shared" si="6"/>
        <v>45732</v>
      </c>
      <c r="F213">
        <f t="shared" si="7"/>
        <v>42</v>
      </c>
    </row>
    <row r="214" spans="1:6">
      <c r="A214">
        <v>213</v>
      </c>
      <c r="B214" t="s">
        <v>67</v>
      </c>
      <c r="C214" s="11">
        <v>78</v>
      </c>
      <c r="D214" s="12">
        <v>45721</v>
      </c>
      <c r="E214" s="12">
        <f t="shared" si="6"/>
        <v>45763</v>
      </c>
      <c r="F214">
        <f t="shared" si="7"/>
        <v>42</v>
      </c>
    </row>
    <row r="215" spans="1:6">
      <c r="A215">
        <v>214</v>
      </c>
      <c r="B215" t="s">
        <v>67</v>
      </c>
      <c r="C215" s="11">
        <v>78</v>
      </c>
      <c r="D215" s="12">
        <v>45721</v>
      </c>
      <c r="E215" s="12">
        <f t="shared" si="6"/>
        <v>45763</v>
      </c>
      <c r="F215">
        <f t="shared" si="7"/>
        <v>42</v>
      </c>
    </row>
    <row r="216" spans="1:6">
      <c r="A216">
        <v>215</v>
      </c>
      <c r="B216" t="s">
        <v>106</v>
      </c>
      <c r="C216" s="11">
        <v>18.45</v>
      </c>
      <c r="D216" s="12">
        <v>45736</v>
      </c>
      <c r="E216" s="12">
        <f t="shared" si="6"/>
        <v>45778</v>
      </c>
      <c r="F216">
        <f t="shared" si="7"/>
        <v>42</v>
      </c>
    </row>
    <row r="217" spans="1:6">
      <c r="A217">
        <v>216</v>
      </c>
      <c r="B217" t="s">
        <v>106</v>
      </c>
      <c r="C217" s="11">
        <v>18.481999999999999</v>
      </c>
      <c r="D217" s="12">
        <v>45736</v>
      </c>
      <c r="E217" s="12">
        <f t="shared" si="6"/>
        <v>45778</v>
      </c>
      <c r="F217">
        <f t="shared" si="7"/>
        <v>42</v>
      </c>
    </row>
    <row r="218" spans="1:6">
      <c r="A218">
        <v>217</v>
      </c>
      <c r="B218" t="s">
        <v>98</v>
      </c>
      <c r="C218" s="11">
        <v>19</v>
      </c>
      <c r="D218" s="12">
        <v>45669</v>
      </c>
      <c r="E218" s="12">
        <f t="shared" si="6"/>
        <v>45711</v>
      </c>
      <c r="F218">
        <f t="shared" si="7"/>
        <v>42</v>
      </c>
    </row>
    <row r="219" spans="1:6">
      <c r="A219">
        <v>218</v>
      </c>
      <c r="B219" t="s">
        <v>106</v>
      </c>
      <c r="C219" s="11">
        <v>19</v>
      </c>
      <c r="D219" s="12">
        <v>45669</v>
      </c>
      <c r="E219" s="12">
        <f t="shared" si="6"/>
        <v>45711</v>
      </c>
      <c r="F219">
        <f t="shared" si="7"/>
        <v>42</v>
      </c>
    </row>
    <row r="220" spans="1:6">
      <c r="A220">
        <v>219</v>
      </c>
      <c r="B220" t="s">
        <v>106</v>
      </c>
      <c r="C220" s="11">
        <v>19</v>
      </c>
      <c r="D220" s="12">
        <v>45669</v>
      </c>
      <c r="E220" s="12">
        <f t="shared" si="6"/>
        <v>45711</v>
      </c>
      <c r="F220">
        <f t="shared" si="7"/>
        <v>42</v>
      </c>
    </row>
    <row r="221" spans="1:6">
      <c r="A221">
        <v>220</v>
      </c>
      <c r="B221" t="s">
        <v>88</v>
      </c>
      <c r="C221" s="11">
        <v>18</v>
      </c>
      <c r="D221" s="12">
        <v>45674</v>
      </c>
      <c r="E221" s="12">
        <f t="shared" si="6"/>
        <v>45716</v>
      </c>
      <c r="F221">
        <f t="shared" si="7"/>
        <v>42</v>
      </c>
    </row>
    <row r="222" spans="1:6">
      <c r="A222">
        <v>221</v>
      </c>
      <c r="B222" t="s">
        <v>65</v>
      </c>
      <c r="C222" s="11">
        <v>19</v>
      </c>
      <c r="D222" s="12">
        <v>45686</v>
      </c>
      <c r="E222" s="12">
        <f t="shared" si="6"/>
        <v>45728</v>
      </c>
      <c r="F222">
        <f t="shared" si="7"/>
        <v>42</v>
      </c>
    </row>
    <row r="223" spans="1:6">
      <c r="A223">
        <v>222</v>
      </c>
      <c r="B223" t="s">
        <v>105</v>
      </c>
      <c r="C223" s="11">
        <v>358</v>
      </c>
      <c r="D223" s="12">
        <v>45680</v>
      </c>
      <c r="E223" s="12">
        <f t="shared" si="6"/>
        <v>45722</v>
      </c>
      <c r="F223">
        <f t="shared" si="7"/>
        <v>42</v>
      </c>
    </row>
    <row r="224" spans="1:6">
      <c r="A224">
        <v>223</v>
      </c>
      <c r="B224" t="s">
        <v>108</v>
      </c>
      <c r="C224" s="11">
        <v>108</v>
      </c>
      <c r="D224" s="12">
        <v>45709</v>
      </c>
      <c r="E224" s="12">
        <f t="shared" si="6"/>
        <v>45751</v>
      </c>
      <c r="F224">
        <f t="shared" si="7"/>
        <v>42</v>
      </c>
    </row>
    <row r="225" spans="1:6">
      <c r="A225">
        <v>224</v>
      </c>
      <c r="B225" t="s">
        <v>108</v>
      </c>
      <c r="C225" s="11">
        <v>108</v>
      </c>
      <c r="D225" s="12">
        <v>45709</v>
      </c>
      <c r="E225" s="12">
        <f t="shared" si="6"/>
        <v>45751</v>
      </c>
      <c r="F225">
        <f t="shared" si="7"/>
        <v>42</v>
      </c>
    </row>
    <row r="226" spans="1:6">
      <c r="A226">
        <v>225</v>
      </c>
      <c r="B226" t="s">
        <v>108</v>
      </c>
      <c r="C226" s="11">
        <v>54</v>
      </c>
      <c r="D226" s="12">
        <v>45709</v>
      </c>
      <c r="E226" s="12">
        <f t="shared" si="6"/>
        <v>45751</v>
      </c>
      <c r="F226">
        <f t="shared" si="7"/>
        <v>42</v>
      </c>
    </row>
    <row r="227" spans="1:6">
      <c r="A227">
        <v>226</v>
      </c>
      <c r="B227" t="s">
        <v>67</v>
      </c>
      <c r="C227" s="11">
        <v>78</v>
      </c>
      <c r="D227" s="12">
        <v>45721</v>
      </c>
      <c r="E227" s="12">
        <f t="shared" si="6"/>
        <v>45763</v>
      </c>
      <c r="F227">
        <f t="shared" si="7"/>
        <v>42</v>
      </c>
    </row>
    <row r="228" spans="1:6">
      <c r="A228">
        <v>227</v>
      </c>
      <c r="B228" t="s">
        <v>88</v>
      </c>
      <c r="C228" s="11">
        <v>18</v>
      </c>
      <c r="D228" s="12">
        <v>45674</v>
      </c>
      <c r="E228" s="12">
        <f t="shared" si="6"/>
        <v>45716</v>
      </c>
      <c r="F228">
        <f t="shared" si="7"/>
        <v>42</v>
      </c>
    </row>
    <row r="229" spans="1:6">
      <c r="A229">
        <v>228</v>
      </c>
      <c r="B229" t="s">
        <v>106</v>
      </c>
      <c r="C229" s="11">
        <v>19</v>
      </c>
      <c r="D229" s="12">
        <v>45680</v>
      </c>
      <c r="E229" s="12">
        <f t="shared" si="6"/>
        <v>45722</v>
      </c>
      <c r="F229">
        <f t="shared" si="7"/>
        <v>42</v>
      </c>
    </row>
    <row r="230" spans="1:6">
      <c r="A230">
        <v>229</v>
      </c>
      <c r="B230" t="s">
        <v>106</v>
      </c>
      <c r="C230" s="11">
        <v>19</v>
      </c>
      <c r="D230" s="12">
        <v>45680</v>
      </c>
      <c r="E230" s="12">
        <f t="shared" si="6"/>
        <v>45722</v>
      </c>
      <c r="F230">
        <f t="shared" si="7"/>
        <v>42</v>
      </c>
    </row>
    <row r="231" spans="1:6">
      <c r="A231">
        <v>230</v>
      </c>
      <c r="B231" t="s">
        <v>111</v>
      </c>
      <c r="C231" s="11">
        <v>67</v>
      </c>
      <c r="D231" s="12">
        <v>45699</v>
      </c>
      <c r="E231" s="12">
        <f t="shared" si="6"/>
        <v>45741</v>
      </c>
      <c r="F231">
        <f t="shared" si="7"/>
        <v>42</v>
      </c>
    </row>
    <row r="232" spans="1:6">
      <c r="A232">
        <v>231</v>
      </c>
      <c r="B232" t="s">
        <v>111</v>
      </c>
      <c r="C232" s="11">
        <v>67</v>
      </c>
      <c r="D232" s="12">
        <v>45699</v>
      </c>
      <c r="E232" s="12">
        <f t="shared" si="6"/>
        <v>45741</v>
      </c>
      <c r="F232">
        <f t="shared" si="7"/>
        <v>42</v>
      </c>
    </row>
    <row r="233" spans="1:6">
      <c r="A233">
        <v>232</v>
      </c>
      <c r="B233" t="s">
        <v>67</v>
      </c>
      <c r="C233" s="11">
        <v>78</v>
      </c>
      <c r="D233" s="12">
        <v>45721</v>
      </c>
      <c r="E233" s="12">
        <f t="shared" si="6"/>
        <v>45763</v>
      </c>
      <c r="F233">
        <f t="shared" si="7"/>
        <v>42</v>
      </c>
    </row>
    <row r="234" spans="1:6">
      <c r="A234">
        <v>233</v>
      </c>
      <c r="B234" t="s">
        <v>106</v>
      </c>
      <c r="C234" s="11">
        <v>19</v>
      </c>
      <c r="D234" s="12">
        <v>45736</v>
      </c>
      <c r="E234" s="12">
        <f t="shared" si="6"/>
        <v>45778</v>
      </c>
      <c r="F234">
        <f t="shared" si="7"/>
        <v>42</v>
      </c>
    </row>
    <row r="235" spans="1:6">
      <c r="A235">
        <v>234</v>
      </c>
      <c r="B235" t="s">
        <v>94</v>
      </c>
      <c r="C235" s="11">
        <v>74</v>
      </c>
      <c r="D235" s="12">
        <v>45722</v>
      </c>
      <c r="E235" s="12">
        <f t="shared" si="6"/>
        <v>45764</v>
      </c>
      <c r="F235">
        <f t="shared" si="7"/>
        <v>42</v>
      </c>
    </row>
    <row r="236" spans="1:6">
      <c r="A236">
        <v>235</v>
      </c>
      <c r="B236" t="s">
        <v>94</v>
      </c>
      <c r="C236" s="11">
        <v>99</v>
      </c>
      <c r="D236" s="12">
        <v>45665</v>
      </c>
      <c r="E236" s="12">
        <f t="shared" si="6"/>
        <v>45707</v>
      </c>
      <c r="F236">
        <f t="shared" si="7"/>
        <v>42</v>
      </c>
    </row>
    <row r="237" spans="1:6">
      <c r="A237">
        <v>236</v>
      </c>
      <c r="B237" t="s">
        <v>94</v>
      </c>
      <c r="C237" s="11">
        <v>99</v>
      </c>
      <c r="D237" s="12">
        <v>45665</v>
      </c>
      <c r="E237" s="12">
        <f t="shared" si="6"/>
        <v>45707</v>
      </c>
      <c r="F237">
        <f t="shared" si="7"/>
        <v>42</v>
      </c>
    </row>
    <row r="238" spans="1:6">
      <c r="A238">
        <v>237</v>
      </c>
      <c r="B238" t="s">
        <v>77</v>
      </c>
      <c r="C238" s="11">
        <v>18</v>
      </c>
      <c r="D238" s="12">
        <v>45665</v>
      </c>
      <c r="E238" s="12">
        <f t="shared" si="6"/>
        <v>45707</v>
      </c>
      <c r="F238">
        <f t="shared" si="7"/>
        <v>42</v>
      </c>
    </row>
    <row r="239" spans="1:6">
      <c r="A239">
        <v>238</v>
      </c>
      <c r="B239" t="s">
        <v>93</v>
      </c>
      <c r="C239" s="11">
        <v>120</v>
      </c>
      <c r="D239" s="12">
        <v>45715</v>
      </c>
      <c r="E239" s="12">
        <f t="shared" si="6"/>
        <v>45757</v>
      </c>
      <c r="F239">
        <f t="shared" si="7"/>
        <v>42</v>
      </c>
    </row>
    <row r="240" spans="1:6">
      <c r="A240">
        <v>239</v>
      </c>
      <c r="B240" t="s">
        <v>98</v>
      </c>
      <c r="C240" s="11">
        <v>19</v>
      </c>
      <c r="D240" s="12">
        <v>45705</v>
      </c>
      <c r="E240" s="12">
        <f t="shared" si="6"/>
        <v>45747</v>
      </c>
      <c r="F240">
        <f t="shared" si="7"/>
        <v>42</v>
      </c>
    </row>
    <row r="241" spans="1:6">
      <c r="A241">
        <v>240</v>
      </c>
      <c r="B241" t="s">
        <v>96</v>
      </c>
      <c r="C241" s="11">
        <v>49</v>
      </c>
      <c r="D241" s="12">
        <v>45714</v>
      </c>
      <c r="E241" s="12">
        <f t="shared" si="6"/>
        <v>45756</v>
      </c>
      <c r="F241">
        <f t="shared" si="7"/>
        <v>42</v>
      </c>
    </row>
    <row r="242" spans="1:6">
      <c r="A242">
        <v>241</v>
      </c>
      <c r="B242" t="s">
        <v>109</v>
      </c>
      <c r="C242" s="11">
        <v>50</v>
      </c>
      <c r="D242" s="12">
        <v>45714</v>
      </c>
      <c r="E242" s="12">
        <f t="shared" si="6"/>
        <v>45756</v>
      </c>
      <c r="F242">
        <f t="shared" si="7"/>
        <v>42</v>
      </c>
    </row>
    <row r="243" spans="1:6">
      <c r="A243">
        <v>242</v>
      </c>
      <c r="B243" t="s">
        <v>67</v>
      </c>
      <c r="C243" s="11">
        <v>78</v>
      </c>
      <c r="D243" s="12">
        <v>45721</v>
      </c>
      <c r="E243" s="12">
        <f t="shared" si="6"/>
        <v>45763</v>
      </c>
      <c r="F243">
        <f t="shared" si="7"/>
        <v>42</v>
      </c>
    </row>
    <row r="244" spans="1:6">
      <c r="A244">
        <v>243</v>
      </c>
      <c r="B244" t="s">
        <v>106</v>
      </c>
      <c r="C244" s="11">
        <v>19</v>
      </c>
      <c r="D244" s="12">
        <v>45736</v>
      </c>
      <c r="E244" s="12">
        <f t="shared" si="6"/>
        <v>45778</v>
      </c>
      <c r="F244">
        <f t="shared" si="7"/>
        <v>42</v>
      </c>
    </row>
    <row r="245" spans="1:6">
      <c r="A245">
        <v>244</v>
      </c>
      <c r="B245" t="s">
        <v>98</v>
      </c>
      <c r="C245" s="11">
        <v>19</v>
      </c>
      <c r="D245" s="12">
        <v>45669</v>
      </c>
      <c r="E245" s="12">
        <f t="shared" si="6"/>
        <v>45711</v>
      </c>
      <c r="F245">
        <f t="shared" si="7"/>
        <v>42</v>
      </c>
    </row>
    <row r="246" spans="1:6">
      <c r="A246">
        <v>245</v>
      </c>
      <c r="B246" t="s">
        <v>85</v>
      </c>
      <c r="C246" s="11">
        <v>19</v>
      </c>
      <c r="D246" s="12">
        <v>45669</v>
      </c>
      <c r="E246" s="12">
        <f t="shared" si="6"/>
        <v>45711</v>
      </c>
      <c r="F246">
        <f t="shared" si="7"/>
        <v>42</v>
      </c>
    </row>
    <row r="247" spans="1:6">
      <c r="A247">
        <v>246</v>
      </c>
      <c r="B247" t="s">
        <v>67</v>
      </c>
      <c r="C247" s="11">
        <v>78</v>
      </c>
      <c r="D247" s="12">
        <v>45721</v>
      </c>
      <c r="E247" s="12">
        <f t="shared" si="6"/>
        <v>45763</v>
      </c>
      <c r="F247">
        <f t="shared" si="7"/>
        <v>42</v>
      </c>
    </row>
    <row r="248" spans="1:6">
      <c r="A248">
        <v>247</v>
      </c>
      <c r="B248" t="s">
        <v>67</v>
      </c>
      <c r="C248" s="11">
        <v>78</v>
      </c>
      <c r="D248" s="12">
        <v>45721</v>
      </c>
      <c r="E248" s="12">
        <f t="shared" si="6"/>
        <v>45763</v>
      </c>
      <c r="F248">
        <f t="shared" si="7"/>
        <v>42</v>
      </c>
    </row>
    <row r="249" spans="1:6">
      <c r="A249">
        <v>248</v>
      </c>
      <c r="B249" t="s">
        <v>65</v>
      </c>
      <c r="C249" s="11">
        <v>38</v>
      </c>
      <c r="D249" s="12">
        <v>45728</v>
      </c>
      <c r="E249" s="12">
        <f t="shared" si="6"/>
        <v>45770</v>
      </c>
      <c r="F249">
        <f t="shared" si="7"/>
        <v>42</v>
      </c>
    </row>
    <row r="250" spans="1:6">
      <c r="A250">
        <v>249</v>
      </c>
      <c r="B250" t="s">
        <v>99</v>
      </c>
      <c r="C250" s="11">
        <v>310</v>
      </c>
      <c r="D250" s="12">
        <v>45706</v>
      </c>
      <c r="E250" s="12">
        <f t="shared" si="6"/>
        <v>45748</v>
      </c>
      <c r="F250">
        <f t="shared" si="7"/>
        <v>42</v>
      </c>
    </row>
    <row r="251" spans="1:6">
      <c r="A251">
        <v>250</v>
      </c>
      <c r="B251" t="s">
        <v>94</v>
      </c>
      <c r="C251" s="11">
        <v>99</v>
      </c>
      <c r="D251" s="12">
        <v>45665</v>
      </c>
      <c r="E251" s="12">
        <f t="shared" si="6"/>
        <v>45707</v>
      </c>
      <c r="F251">
        <f t="shared" si="7"/>
        <v>42</v>
      </c>
    </row>
    <row r="252" spans="1:6">
      <c r="A252">
        <v>251</v>
      </c>
      <c r="B252" t="s">
        <v>94</v>
      </c>
      <c r="C252" s="11">
        <v>99</v>
      </c>
      <c r="D252" s="12">
        <v>45665</v>
      </c>
      <c r="E252" s="12">
        <f t="shared" si="6"/>
        <v>45707</v>
      </c>
      <c r="F252">
        <f t="shared" si="7"/>
        <v>42</v>
      </c>
    </row>
    <row r="253" spans="1:6">
      <c r="A253">
        <v>252</v>
      </c>
      <c r="B253" t="s">
        <v>94</v>
      </c>
      <c r="C253" s="11">
        <v>99</v>
      </c>
      <c r="D253" s="12">
        <v>45665</v>
      </c>
      <c r="E253" s="12">
        <f t="shared" si="6"/>
        <v>45707</v>
      </c>
      <c r="F253">
        <f t="shared" si="7"/>
        <v>42</v>
      </c>
    </row>
    <row r="254" spans="1:6">
      <c r="A254">
        <v>253</v>
      </c>
      <c r="B254" t="s">
        <v>106</v>
      </c>
      <c r="C254" s="11">
        <v>19</v>
      </c>
      <c r="D254" s="12">
        <v>45702</v>
      </c>
      <c r="E254" s="12">
        <f t="shared" si="6"/>
        <v>45744</v>
      </c>
      <c r="F254">
        <f t="shared" si="7"/>
        <v>42</v>
      </c>
    </row>
    <row r="255" spans="1:6">
      <c r="A255">
        <v>254</v>
      </c>
      <c r="B255" t="s">
        <v>98</v>
      </c>
      <c r="C255" s="11">
        <v>19</v>
      </c>
      <c r="D255" s="12">
        <v>45705</v>
      </c>
      <c r="E255" s="12">
        <f t="shared" si="6"/>
        <v>45747</v>
      </c>
      <c r="F255">
        <f t="shared" si="7"/>
        <v>42</v>
      </c>
    </row>
    <row r="256" spans="1:6">
      <c r="A256">
        <v>255</v>
      </c>
      <c r="B256" t="s">
        <v>67</v>
      </c>
      <c r="C256" s="11">
        <v>78</v>
      </c>
      <c r="D256" s="12">
        <v>45721</v>
      </c>
      <c r="E256" s="12">
        <f t="shared" si="6"/>
        <v>45763</v>
      </c>
      <c r="F256">
        <f t="shared" si="7"/>
        <v>42</v>
      </c>
    </row>
    <row r="257" spans="1:6">
      <c r="A257">
        <v>256</v>
      </c>
      <c r="B257" t="s">
        <v>108</v>
      </c>
      <c r="C257" s="11">
        <v>54</v>
      </c>
      <c r="D257" s="12">
        <v>45716</v>
      </c>
      <c r="E257" s="12">
        <f t="shared" si="6"/>
        <v>45758</v>
      </c>
      <c r="F257">
        <f t="shared" si="7"/>
        <v>42</v>
      </c>
    </row>
    <row r="258" spans="1:6">
      <c r="A258">
        <v>257</v>
      </c>
      <c r="B258" t="s">
        <v>106</v>
      </c>
      <c r="C258" s="11">
        <v>19</v>
      </c>
      <c r="D258" s="12">
        <v>45749</v>
      </c>
      <c r="E258" s="12">
        <f t="shared" ref="E258:E321" si="8">D258+6*7</f>
        <v>45791</v>
      </c>
      <c r="F258">
        <f t="shared" ref="F258:F321" si="9">E258-D258</f>
        <v>42</v>
      </c>
    </row>
    <row r="259" spans="1:6">
      <c r="A259">
        <v>258</v>
      </c>
      <c r="B259" t="s">
        <v>65</v>
      </c>
      <c r="C259" s="11">
        <v>38</v>
      </c>
      <c r="D259" s="12">
        <v>45728</v>
      </c>
      <c r="E259" s="12">
        <f t="shared" si="8"/>
        <v>45770</v>
      </c>
      <c r="F259">
        <f t="shared" si="9"/>
        <v>42</v>
      </c>
    </row>
    <row r="260" spans="1:6">
      <c r="A260">
        <v>259</v>
      </c>
      <c r="B260" t="s">
        <v>77</v>
      </c>
      <c r="C260" s="11">
        <v>18</v>
      </c>
      <c r="D260" s="12">
        <v>45665</v>
      </c>
      <c r="E260" s="12">
        <f t="shared" si="8"/>
        <v>45707</v>
      </c>
      <c r="F260">
        <f t="shared" si="9"/>
        <v>42</v>
      </c>
    </row>
    <row r="261" spans="1:6">
      <c r="A261">
        <v>260</v>
      </c>
      <c r="B261" t="s">
        <v>68</v>
      </c>
      <c r="C261" s="11">
        <v>504</v>
      </c>
      <c r="D261" s="12">
        <v>45681</v>
      </c>
      <c r="E261" s="12">
        <f t="shared" si="8"/>
        <v>45723</v>
      </c>
      <c r="F261">
        <f t="shared" si="9"/>
        <v>42</v>
      </c>
    </row>
    <row r="262" spans="1:6">
      <c r="A262">
        <v>261</v>
      </c>
      <c r="B262" t="s">
        <v>88</v>
      </c>
      <c r="C262" s="11">
        <v>18</v>
      </c>
      <c r="D262" s="12">
        <v>45674</v>
      </c>
      <c r="E262" s="12">
        <f t="shared" si="8"/>
        <v>45716</v>
      </c>
      <c r="F262">
        <f t="shared" si="9"/>
        <v>42</v>
      </c>
    </row>
    <row r="263" spans="1:6">
      <c r="A263">
        <v>262</v>
      </c>
      <c r="B263" t="s">
        <v>106</v>
      </c>
      <c r="C263" s="11">
        <v>19</v>
      </c>
      <c r="D263" s="12">
        <v>45702</v>
      </c>
      <c r="E263" s="12">
        <f t="shared" si="8"/>
        <v>45744</v>
      </c>
      <c r="F263">
        <f t="shared" si="9"/>
        <v>42</v>
      </c>
    </row>
    <row r="264" spans="1:6">
      <c r="A264">
        <v>263</v>
      </c>
      <c r="B264" t="s">
        <v>106</v>
      </c>
      <c r="C264" s="11">
        <v>19</v>
      </c>
      <c r="D264" s="12">
        <v>45702</v>
      </c>
      <c r="E264" s="12">
        <f t="shared" si="8"/>
        <v>45744</v>
      </c>
      <c r="F264">
        <f t="shared" si="9"/>
        <v>42</v>
      </c>
    </row>
    <row r="265" spans="1:6">
      <c r="A265">
        <v>264</v>
      </c>
      <c r="B265" t="s">
        <v>98</v>
      </c>
      <c r="C265" s="11">
        <v>19</v>
      </c>
      <c r="D265" s="12">
        <v>45705</v>
      </c>
      <c r="E265" s="12">
        <f t="shared" si="8"/>
        <v>45747</v>
      </c>
      <c r="F265">
        <f t="shared" si="9"/>
        <v>42</v>
      </c>
    </row>
    <row r="266" spans="1:6">
      <c r="A266">
        <v>265</v>
      </c>
      <c r="B266" t="s">
        <v>99</v>
      </c>
      <c r="C266" s="11">
        <v>166</v>
      </c>
      <c r="D266" s="12">
        <v>45742</v>
      </c>
      <c r="E266" s="12">
        <f t="shared" si="8"/>
        <v>45784</v>
      </c>
      <c r="F266">
        <f t="shared" si="9"/>
        <v>42</v>
      </c>
    </row>
    <row r="267" spans="1:6">
      <c r="A267">
        <v>266</v>
      </c>
      <c r="B267" t="s">
        <v>96</v>
      </c>
      <c r="C267" s="11">
        <v>245</v>
      </c>
      <c r="D267" s="12">
        <v>45714</v>
      </c>
      <c r="E267" s="12">
        <f t="shared" si="8"/>
        <v>45756</v>
      </c>
      <c r="F267">
        <f t="shared" si="9"/>
        <v>42</v>
      </c>
    </row>
    <row r="268" spans="1:6">
      <c r="A268">
        <v>267</v>
      </c>
      <c r="B268" t="s">
        <v>109</v>
      </c>
      <c r="C268" s="11">
        <v>250</v>
      </c>
      <c r="D268" s="12">
        <v>45714</v>
      </c>
      <c r="E268" s="12">
        <f t="shared" si="8"/>
        <v>45756</v>
      </c>
      <c r="F268">
        <f t="shared" si="9"/>
        <v>42</v>
      </c>
    </row>
    <row r="269" spans="1:6">
      <c r="A269">
        <v>268</v>
      </c>
      <c r="B269" t="s">
        <v>69</v>
      </c>
      <c r="C269" s="11">
        <v>25</v>
      </c>
      <c r="D269" s="12">
        <v>45727</v>
      </c>
      <c r="E269" s="12">
        <f t="shared" si="8"/>
        <v>45769</v>
      </c>
      <c r="F269">
        <f t="shared" si="9"/>
        <v>42</v>
      </c>
    </row>
    <row r="270" spans="1:6">
      <c r="A270">
        <v>269</v>
      </c>
      <c r="B270" t="s">
        <v>96</v>
      </c>
      <c r="C270" s="11">
        <v>24</v>
      </c>
      <c r="D270" s="12">
        <v>45733</v>
      </c>
      <c r="E270" s="12">
        <f t="shared" si="8"/>
        <v>45775</v>
      </c>
      <c r="F270">
        <f t="shared" si="9"/>
        <v>42</v>
      </c>
    </row>
    <row r="271" spans="1:6">
      <c r="A271">
        <v>270</v>
      </c>
      <c r="B271" t="s">
        <v>77</v>
      </c>
      <c r="C271" s="11">
        <v>18</v>
      </c>
      <c r="D271" s="12">
        <v>45671</v>
      </c>
      <c r="E271" s="12">
        <f t="shared" si="8"/>
        <v>45713</v>
      </c>
      <c r="F271">
        <f t="shared" si="9"/>
        <v>42</v>
      </c>
    </row>
    <row r="272" spans="1:6">
      <c r="A272">
        <v>271</v>
      </c>
      <c r="B272" t="s">
        <v>88</v>
      </c>
      <c r="C272" s="11">
        <v>18</v>
      </c>
      <c r="D272" s="12">
        <v>45674</v>
      </c>
      <c r="E272" s="12">
        <f t="shared" si="8"/>
        <v>45716</v>
      </c>
      <c r="F272">
        <f t="shared" si="9"/>
        <v>42</v>
      </c>
    </row>
    <row r="273" spans="1:6">
      <c r="A273">
        <v>272</v>
      </c>
      <c r="B273" t="s">
        <v>106</v>
      </c>
      <c r="C273" s="11">
        <v>19</v>
      </c>
      <c r="D273" s="12">
        <v>45702</v>
      </c>
      <c r="E273" s="12">
        <f t="shared" si="8"/>
        <v>45744</v>
      </c>
      <c r="F273">
        <f t="shared" si="9"/>
        <v>42</v>
      </c>
    </row>
    <row r="274" spans="1:6">
      <c r="A274">
        <v>273</v>
      </c>
      <c r="B274" t="s">
        <v>98</v>
      </c>
      <c r="C274" s="11">
        <v>19</v>
      </c>
      <c r="D274" s="12">
        <v>45705</v>
      </c>
      <c r="E274" s="12">
        <f t="shared" si="8"/>
        <v>45747</v>
      </c>
      <c r="F274">
        <f t="shared" si="9"/>
        <v>42</v>
      </c>
    </row>
    <row r="275" spans="1:6">
      <c r="A275">
        <v>274</v>
      </c>
      <c r="B275" t="s">
        <v>67</v>
      </c>
      <c r="C275" s="11">
        <v>78</v>
      </c>
      <c r="D275" s="12">
        <v>45721</v>
      </c>
      <c r="E275" s="12">
        <f t="shared" si="8"/>
        <v>45763</v>
      </c>
      <c r="F275">
        <f t="shared" si="9"/>
        <v>42</v>
      </c>
    </row>
    <row r="276" spans="1:6">
      <c r="A276">
        <v>275</v>
      </c>
      <c r="B276" t="s">
        <v>67</v>
      </c>
      <c r="C276" s="11">
        <v>78</v>
      </c>
      <c r="D276" s="12">
        <v>45721</v>
      </c>
      <c r="E276" s="12">
        <f t="shared" si="8"/>
        <v>45763</v>
      </c>
      <c r="F276">
        <f t="shared" si="9"/>
        <v>42</v>
      </c>
    </row>
    <row r="277" spans="1:6">
      <c r="A277">
        <v>276</v>
      </c>
      <c r="B277" t="s">
        <v>99</v>
      </c>
      <c r="C277" s="11">
        <v>190</v>
      </c>
      <c r="D277" s="12">
        <v>45727</v>
      </c>
      <c r="E277" s="12">
        <f t="shared" si="8"/>
        <v>45769</v>
      </c>
      <c r="F277">
        <f t="shared" si="9"/>
        <v>42</v>
      </c>
    </row>
    <row r="278" spans="1:6">
      <c r="A278">
        <v>277</v>
      </c>
      <c r="B278" t="s">
        <v>98</v>
      </c>
      <c r="C278" s="11">
        <v>19</v>
      </c>
      <c r="D278" s="12">
        <v>45705</v>
      </c>
      <c r="E278" s="12">
        <f t="shared" si="8"/>
        <v>45747</v>
      </c>
      <c r="F278">
        <f t="shared" si="9"/>
        <v>42</v>
      </c>
    </row>
    <row r="279" spans="1:6">
      <c r="A279">
        <v>278</v>
      </c>
      <c r="B279" t="s">
        <v>67</v>
      </c>
      <c r="C279" s="11">
        <v>78</v>
      </c>
      <c r="D279" s="12">
        <v>45721</v>
      </c>
      <c r="E279" s="12">
        <f t="shared" si="8"/>
        <v>45763</v>
      </c>
      <c r="F279">
        <f t="shared" si="9"/>
        <v>42</v>
      </c>
    </row>
    <row r="280" spans="1:6">
      <c r="A280">
        <v>279</v>
      </c>
      <c r="B280" t="s">
        <v>65</v>
      </c>
      <c r="C280" s="11">
        <v>38</v>
      </c>
      <c r="D280" s="12">
        <v>45728</v>
      </c>
      <c r="E280" s="12">
        <f t="shared" si="8"/>
        <v>45770</v>
      </c>
      <c r="F280">
        <f t="shared" si="9"/>
        <v>42</v>
      </c>
    </row>
    <row r="281" spans="1:6">
      <c r="A281">
        <v>280</v>
      </c>
      <c r="B281" t="s">
        <v>93</v>
      </c>
      <c r="C281" s="11">
        <v>336</v>
      </c>
      <c r="D281" s="12">
        <v>45673</v>
      </c>
      <c r="E281" s="12">
        <f t="shared" si="8"/>
        <v>45715</v>
      </c>
      <c r="F281">
        <f t="shared" si="9"/>
        <v>42</v>
      </c>
    </row>
    <row r="282" spans="1:6">
      <c r="A282">
        <v>281</v>
      </c>
      <c r="B282" t="s">
        <v>101</v>
      </c>
      <c r="C282" s="11">
        <v>99</v>
      </c>
      <c r="D282" s="12">
        <v>45686</v>
      </c>
      <c r="E282" s="12">
        <f t="shared" si="8"/>
        <v>45728</v>
      </c>
      <c r="F282">
        <f t="shared" si="9"/>
        <v>42</v>
      </c>
    </row>
    <row r="283" spans="1:6">
      <c r="A283">
        <v>282</v>
      </c>
      <c r="B283" t="s">
        <v>114</v>
      </c>
      <c r="C283" s="11">
        <v>21</v>
      </c>
      <c r="D283" s="12">
        <v>45713</v>
      </c>
      <c r="E283" s="12">
        <f t="shared" si="8"/>
        <v>45755</v>
      </c>
      <c r="F283">
        <f t="shared" si="9"/>
        <v>42</v>
      </c>
    </row>
    <row r="284" spans="1:6">
      <c r="A284">
        <v>283</v>
      </c>
      <c r="B284" t="s">
        <v>70</v>
      </c>
      <c r="C284" s="11">
        <v>198</v>
      </c>
      <c r="D284" s="12">
        <v>45706</v>
      </c>
      <c r="E284" s="12">
        <f t="shared" si="8"/>
        <v>45748</v>
      </c>
      <c r="F284">
        <f t="shared" si="9"/>
        <v>42</v>
      </c>
    </row>
    <row r="285" spans="1:6">
      <c r="A285">
        <v>284</v>
      </c>
      <c r="B285" t="s">
        <v>98</v>
      </c>
      <c r="C285" s="11">
        <v>19</v>
      </c>
      <c r="D285" s="12">
        <v>45705</v>
      </c>
      <c r="E285" s="12">
        <f t="shared" si="8"/>
        <v>45747</v>
      </c>
      <c r="F285">
        <f t="shared" si="9"/>
        <v>42</v>
      </c>
    </row>
    <row r="286" spans="1:6">
      <c r="A286">
        <v>285</v>
      </c>
      <c r="B286" t="s">
        <v>67</v>
      </c>
      <c r="C286" s="11">
        <v>78</v>
      </c>
      <c r="D286" s="12">
        <v>45721</v>
      </c>
      <c r="E286" s="12">
        <f t="shared" si="8"/>
        <v>45763</v>
      </c>
      <c r="F286">
        <f t="shared" si="9"/>
        <v>42</v>
      </c>
    </row>
    <row r="287" spans="1:6">
      <c r="A287">
        <v>286</v>
      </c>
      <c r="B287" t="s">
        <v>67</v>
      </c>
      <c r="C287" s="11">
        <v>78</v>
      </c>
      <c r="D287" s="12">
        <v>45721</v>
      </c>
      <c r="E287" s="12">
        <f t="shared" si="8"/>
        <v>45763</v>
      </c>
      <c r="F287">
        <f t="shared" si="9"/>
        <v>42</v>
      </c>
    </row>
    <row r="288" spans="1:6">
      <c r="A288">
        <v>287</v>
      </c>
      <c r="B288" t="s">
        <v>65</v>
      </c>
      <c r="C288" s="11">
        <v>38</v>
      </c>
      <c r="D288" s="12">
        <v>45728</v>
      </c>
      <c r="E288" s="12">
        <f t="shared" si="8"/>
        <v>45770</v>
      </c>
      <c r="F288">
        <f t="shared" si="9"/>
        <v>42</v>
      </c>
    </row>
    <row r="289" spans="1:6">
      <c r="A289">
        <v>288</v>
      </c>
      <c r="B289" t="s">
        <v>65</v>
      </c>
      <c r="C289" s="11">
        <v>38</v>
      </c>
      <c r="D289" s="12">
        <v>45728</v>
      </c>
      <c r="E289" s="12">
        <f t="shared" si="8"/>
        <v>45770</v>
      </c>
      <c r="F289">
        <f t="shared" si="9"/>
        <v>42</v>
      </c>
    </row>
    <row r="290" spans="1:6">
      <c r="A290">
        <v>289</v>
      </c>
      <c r="B290" t="s">
        <v>87</v>
      </c>
      <c r="C290" s="11">
        <v>18</v>
      </c>
      <c r="D290" s="12">
        <v>45750</v>
      </c>
      <c r="E290" s="12">
        <f t="shared" si="8"/>
        <v>45792</v>
      </c>
      <c r="F290">
        <f t="shared" si="9"/>
        <v>42</v>
      </c>
    </row>
    <row r="291" spans="1:6">
      <c r="A291">
        <v>290</v>
      </c>
      <c r="B291" t="s">
        <v>65</v>
      </c>
      <c r="C291" s="11">
        <v>38</v>
      </c>
      <c r="D291" s="12">
        <v>45728</v>
      </c>
      <c r="E291" s="12">
        <f t="shared" si="8"/>
        <v>45770</v>
      </c>
      <c r="F291">
        <f t="shared" si="9"/>
        <v>42</v>
      </c>
    </row>
    <row r="292" spans="1:6">
      <c r="A292">
        <v>291</v>
      </c>
      <c r="B292" t="s">
        <v>105</v>
      </c>
      <c r="C292" s="11">
        <v>406</v>
      </c>
      <c r="D292" s="12">
        <v>45680</v>
      </c>
      <c r="E292" s="12">
        <f t="shared" si="8"/>
        <v>45722</v>
      </c>
      <c r="F292">
        <f t="shared" si="9"/>
        <v>42</v>
      </c>
    </row>
    <row r="293" spans="1:6">
      <c r="A293">
        <v>292</v>
      </c>
      <c r="B293" t="s">
        <v>79</v>
      </c>
      <c r="C293" s="11">
        <v>25</v>
      </c>
      <c r="D293" s="12">
        <v>45698</v>
      </c>
      <c r="E293" s="12">
        <f t="shared" si="8"/>
        <v>45740</v>
      </c>
      <c r="F293">
        <f t="shared" si="9"/>
        <v>42</v>
      </c>
    </row>
    <row r="294" spans="1:6">
      <c r="A294">
        <v>293</v>
      </c>
      <c r="B294" t="s">
        <v>98</v>
      </c>
      <c r="C294" s="11">
        <v>19</v>
      </c>
      <c r="D294" s="12">
        <v>45706</v>
      </c>
      <c r="E294" s="12">
        <f t="shared" si="8"/>
        <v>45748</v>
      </c>
      <c r="F294">
        <f t="shared" si="9"/>
        <v>42</v>
      </c>
    </row>
    <row r="295" spans="1:6">
      <c r="A295">
        <v>294</v>
      </c>
      <c r="B295" t="s">
        <v>98</v>
      </c>
      <c r="C295" s="11">
        <v>19</v>
      </c>
      <c r="D295" s="12">
        <v>45706</v>
      </c>
      <c r="E295" s="12">
        <f t="shared" si="8"/>
        <v>45748</v>
      </c>
      <c r="F295">
        <f t="shared" si="9"/>
        <v>42</v>
      </c>
    </row>
    <row r="296" spans="1:6">
      <c r="A296">
        <v>295</v>
      </c>
      <c r="B296" t="s">
        <v>93</v>
      </c>
      <c r="C296" s="11">
        <v>144</v>
      </c>
      <c r="D296" s="12">
        <v>45708</v>
      </c>
      <c r="E296" s="12">
        <f t="shared" si="8"/>
        <v>45750</v>
      </c>
      <c r="F296">
        <f t="shared" si="9"/>
        <v>42</v>
      </c>
    </row>
    <row r="297" spans="1:6">
      <c r="A297">
        <v>296</v>
      </c>
      <c r="B297" t="s">
        <v>67</v>
      </c>
      <c r="C297" s="11">
        <v>78</v>
      </c>
      <c r="D297" s="12">
        <v>45721</v>
      </c>
      <c r="E297" s="12">
        <f t="shared" si="8"/>
        <v>45763</v>
      </c>
      <c r="F297">
        <f t="shared" si="9"/>
        <v>42</v>
      </c>
    </row>
    <row r="298" spans="1:6">
      <c r="A298">
        <v>297</v>
      </c>
      <c r="B298" t="s">
        <v>108</v>
      </c>
      <c r="C298" s="11">
        <v>108</v>
      </c>
      <c r="D298" s="12">
        <v>45709</v>
      </c>
      <c r="E298" s="12">
        <f t="shared" si="8"/>
        <v>45751</v>
      </c>
      <c r="F298">
        <f t="shared" si="9"/>
        <v>42</v>
      </c>
    </row>
    <row r="299" spans="1:6">
      <c r="A299">
        <v>298</v>
      </c>
      <c r="B299" t="s">
        <v>108</v>
      </c>
      <c r="C299" s="11">
        <v>108</v>
      </c>
      <c r="D299" s="12">
        <v>45709</v>
      </c>
      <c r="E299" s="12">
        <f t="shared" si="8"/>
        <v>45751</v>
      </c>
      <c r="F299">
        <f t="shared" si="9"/>
        <v>42</v>
      </c>
    </row>
    <row r="300" spans="1:6">
      <c r="A300">
        <v>299</v>
      </c>
      <c r="B300" t="s">
        <v>108</v>
      </c>
      <c r="C300" s="11">
        <v>108</v>
      </c>
      <c r="D300" s="12">
        <v>45709</v>
      </c>
      <c r="E300" s="12">
        <f t="shared" si="8"/>
        <v>45751</v>
      </c>
      <c r="F300">
        <f t="shared" si="9"/>
        <v>42</v>
      </c>
    </row>
    <row r="301" spans="1:6">
      <c r="A301">
        <v>300</v>
      </c>
      <c r="B301" t="s">
        <v>67</v>
      </c>
      <c r="C301" s="11">
        <v>78</v>
      </c>
      <c r="D301" s="12">
        <v>45721</v>
      </c>
      <c r="E301" s="12">
        <f t="shared" si="8"/>
        <v>45763</v>
      </c>
      <c r="F301">
        <f t="shared" si="9"/>
        <v>42</v>
      </c>
    </row>
    <row r="302" spans="1:6">
      <c r="A302">
        <v>301</v>
      </c>
      <c r="B302" t="s">
        <v>67</v>
      </c>
      <c r="C302" s="11">
        <v>78</v>
      </c>
      <c r="D302" s="12">
        <v>45721</v>
      </c>
      <c r="E302" s="12">
        <f t="shared" si="8"/>
        <v>45763</v>
      </c>
      <c r="F302">
        <f t="shared" si="9"/>
        <v>42</v>
      </c>
    </row>
    <row r="303" spans="1:6">
      <c r="A303">
        <v>302</v>
      </c>
      <c r="B303" t="s">
        <v>99</v>
      </c>
      <c r="C303" s="11">
        <v>19</v>
      </c>
      <c r="D303" s="12">
        <v>45758</v>
      </c>
      <c r="E303" s="12">
        <f t="shared" si="8"/>
        <v>45800</v>
      </c>
      <c r="F303">
        <f t="shared" si="9"/>
        <v>42</v>
      </c>
    </row>
    <row r="304" spans="1:6">
      <c r="A304">
        <v>303</v>
      </c>
      <c r="B304" t="s">
        <v>99</v>
      </c>
      <c r="C304" s="11">
        <v>19</v>
      </c>
      <c r="D304" s="12">
        <v>45758</v>
      </c>
      <c r="E304" s="12">
        <f t="shared" si="8"/>
        <v>45800</v>
      </c>
      <c r="F304">
        <f t="shared" si="9"/>
        <v>42</v>
      </c>
    </row>
    <row r="305" spans="1:6">
      <c r="A305">
        <v>304</v>
      </c>
      <c r="B305" t="s">
        <v>99</v>
      </c>
      <c r="C305" s="11">
        <v>19</v>
      </c>
      <c r="D305" s="12">
        <v>45758</v>
      </c>
      <c r="E305" s="12">
        <f t="shared" si="8"/>
        <v>45800</v>
      </c>
      <c r="F305">
        <f t="shared" si="9"/>
        <v>42</v>
      </c>
    </row>
    <row r="306" spans="1:6">
      <c r="A306">
        <v>305</v>
      </c>
      <c r="B306" t="s">
        <v>99</v>
      </c>
      <c r="C306" s="11">
        <v>19</v>
      </c>
      <c r="D306" s="12">
        <v>45758</v>
      </c>
      <c r="E306" s="12">
        <f t="shared" si="8"/>
        <v>45800</v>
      </c>
      <c r="F306">
        <f t="shared" si="9"/>
        <v>42</v>
      </c>
    </row>
    <row r="307" spans="1:6">
      <c r="A307">
        <v>306</v>
      </c>
      <c r="B307" t="s">
        <v>111</v>
      </c>
      <c r="C307" s="11">
        <v>67</v>
      </c>
      <c r="D307" s="12">
        <v>45699</v>
      </c>
      <c r="E307" s="12">
        <f t="shared" si="8"/>
        <v>45741</v>
      </c>
      <c r="F307">
        <f t="shared" si="9"/>
        <v>42</v>
      </c>
    </row>
    <row r="308" spans="1:6">
      <c r="A308">
        <v>307</v>
      </c>
      <c r="B308" t="s">
        <v>99</v>
      </c>
      <c r="C308" s="11">
        <v>23</v>
      </c>
      <c r="D308" s="12">
        <v>45762</v>
      </c>
      <c r="E308" s="12">
        <f t="shared" si="8"/>
        <v>45804</v>
      </c>
      <c r="F308">
        <f t="shared" si="9"/>
        <v>42</v>
      </c>
    </row>
    <row r="309" spans="1:6">
      <c r="A309">
        <v>308</v>
      </c>
      <c r="B309" t="s">
        <v>93</v>
      </c>
      <c r="C309" s="11">
        <v>72</v>
      </c>
      <c r="D309" s="12">
        <v>45699</v>
      </c>
      <c r="E309" s="12">
        <f t="shared" si="8"/>
        <v>45741</v>
      </c>
      <c r="F309">
        <f t="shared" si="9"/>
        <v>42</v>
      </c>
    </row>
    <row r="310" spans="1:6">
      <c r="A310">
        <v>309</v>
      </c>
      <c r="B310" t="s">
        <v>94</v>
      </c>
      <c r="C310" s="11">
        <v>99</v>
      </c>
      <c r="D310" s="12">
        <v>45677</v>
      </c>
      <c r="E310" s="12">
        <f t="shared" si="8"/>
        <v>45719</v>
      </c>
      <c r="F310">
        <f t="shared" si="9"/>
        <v>42</v>
      </c>
    </row>
    <row r="311" spans="1:6">
      <c r="A311">
        <v>310</v>
      </c>
      <c r="B311" t="s">
        <v>66</v>
      </c>
      <c r="C311" s="11">
        <v>108</v>
      </c>
      <c r="D311" s="12">
        <v>45709</v>
      </c>
      <c r="E311" s="12">
        <f t="shared" si="8"/>
        <v>45751</v>
      </c>
      <c r="F311">
        <f t="shared" si="9"/>
        <v>42</v>
      </c>
    </row>
    <row r="312" spans="1:6">
      <c r="A312">
        <v>311</v>
      </c>
      <c r="B312" t="s">
        <v>66</v>
      </c>
      <c r="C312" s="11">
        <v>54</v>
      </c>
      <c r="D312" s="12">
        <v>45709</v>
      </c>
      <c r="E312" s="12">
        <f t="shared" si="8"/>
        <v>45751</v>
      </c>
      <c r="F312">
        <f t="shared" si="9"/>
        <v>42</v>
      </c>
    </row>
    <row r="313" spans="1:6">
      <c r="A313">
        <v>312</v>
      </c>
      <c r="B313" t="s">
        <v>67</v>
      </c>
      <c r="C313" s="11">
        <v>78</v>
      </c>
      <c r="D313" s="12">
        <v>45721</v>
      </c>
      <c r="E313" s="12">
        <f t="shared" si="8"/>
        <v>45763</v>
      </c>
      <c r="F313">
        <f t="shared" si="9"/>
        <v>42</v>
      </c>
    </row>
    <row r="314" spans="1:6">
      <c r="A314">
        <v>313</v>
      </c>
      <c r="B314" t="s">
        <v>67</v>
      </c>
      <c r="C314" s="11">
        <v>78</v>
      </c>
      <c r="D314" s="12">
        <v>45721</v>
      </c>
      <c r="E314" s="12">
        <f t="shared" si="8"/>
        <v>45763</v>
      </c>
      <c r="F314">
        <f t="shared" si="9"/>
        <v>42</v>
      </c>
    </row>
    <row r="315" spans="1:6">
      <c r="A315">
        <v>314</v>
      </c>
      <c r="B315" t="s">
        <v>65</v>
      </c>
      <c r="C315" s="11">
        <v>38</v>
      </c>
      <c r="D315" s="12">
        <v>45728</v>
      </c>
      <c r="E315" s="12">
        <f t="shared" si="8"/>
        <v>45770</v>
      </c>
      <c r="F315">
        <f t="shared" si="9"/>
        <v>42</v>
      </c>
    </row>
    <row r="316" spans="1:6">
      <c r="A316">
        <v>315</v>
      </c>
      <c r="B316" t="s">
        <v>87</v>
      </c>
      <c r="C316" s="11">
        <v>18</v>
      </c>
      <c r="D316" s="12">
        <v>45750</v>
      </c>
      <c r="E316" s="12">
        <f t="shared" si="8"/>
        <v>45792</v>
      </c>
      <c r="F316">
        <f t="shared" si="9"/>
        <v>42</v>
      </c>
    </row>
    <row r="317" spans="1:6">
      <c r="A317">
        <v>316</v>
      </c>
      <c r="B317" t="s">
        <v>67</v>
      </c>
      <c r="C317" s="11">
        <v>77.712000000000003</v>
      </c>
      <c r="D317" s="12">
        <v>45722</v>
      </c>
      <c r="E317" s="12">
        <f t="shared" si="8"/>
        <v>45764</v>
      </c>
      <c r="F317">
        <f t="shared" si="9"/>
        <v>42</v>
      </c>
    </row>
    <row r="318" spans="1:6">
      <c r="A318">
        <v>317</v>
      </c>
      <c r="B318" t="s">
        <v>67</v>
      </c>
      <c r="C318" s="11">
        <v>78</v>
      </c>
      <c r="D318" s="12">
        <v>45721</v>
      </c>
      <c r="E318" s="12">
        <f t="shared" si="8"/>
        <v>45763</v>
      </c>
      <c r="F318">
        <f t="shared" si="9"/>
        <v>42</v>
      </c>
    </row>
    <row r="319" spans="1:6">
      <c r="A319">
        <v>318</v>
      </c>
      <c r="B319" t="s">
        <v>65</v>
      </c>
      <c r="C319" s="11">
        <v>38</v>
      </c>
      <c r="D319" s="12">
        <v>45728</v>
      </c>
      <c r="E319" s="12">
        <f t="shared" si="8"/>
        <v>45770</v>
      </c>
      <c r="F319">
        <f t="shared" si="9"/>
        <v>42</v>
      </c>
    </row>
    <row r="320" spans="1:6">
      <c r="A320">
        <v>319</v>
      </c>
      <c r="B320" t="s">
        <v>94</v>
      </c>
      <c r="C320" s="11">
        <v>24</v>
      </c>
      <c r="D320" s="12">
        <v>45748</v>
      </c>
      <c r="E320" s="12">
        <f t="shared" si="8"/>
        <v>45790</v>
      </c>
      <c r="F320">
        <f t="shared" si="9"/>
        <v>42</v>
      </c>
    </row>
    <row r="321" spans="1:6">
      <c r="A321">
        <v>320</v>
      </c>
      <c r="B321" t="s">
        <v>94</v>
      </c>
      <c r="C321" s="11">
        <v>49</v>
      </c>
      <c r="D321" s="12">
        <v>45737</v>
      </c>
      <c r="E321" s="12">
        <f t="shared" si="8"/>
        <v>45779</v>
      </c>
      <c r="F321">
        <f t="shared" si="9"/>
        <v>42</v>
      </c>
    </row>
    <row r="322" spans="1:6">
      <c r="A322">
        <v>321</v>
      </c>
      <c r="B322" t="s">
        <v>94</v>
      </c>
      <c r="C322" s="11">
        <v>49</v>
      </c>
      <c r="D322" s="12">
        <v>45748</v>
      </c>
      <c r="E322" s="12">
        <f t="shared" ref="E322:E385" si="10">D322+6*7</f>
        <v>45790</v>
      </c>
      <c r="F322">
        <f t="shared" ref="F322:F385" si="11">E322-D322</f>
        <v>42</v>
      </c>
    </row>
    <row r="323" spans="1:6">
      <c r="A323">
        <v>322</v>
      </c>
      <c r="B323" t="s">
        <v>98</v>
      </c>
      <c r="C323" s="11">
        <v>19</v>
      </c>
      <c r="D323" s="12">
        <v>45669</v>
      </c>
      <c r="E323" s="12">
        <f t="shared" si="10"/>
        <v>45711</v>
      </c>
      <c r="F323">
        <f t="shared" si="11"/>
        <v>42</v>
      </c>
    </row>
    <row r="324" spans="1:6">
      <c r="A324">
        <v>323</v>
      </c>
      <c r="B324" t="s">
        <v>65</v>
      </c>
      <c r="C324" s="11">
        <v>38</v>
      </c>
      <c r="D324" s="12">
        <v>45728</v>
      </c>
      <c r="E324" s="12">
        <f t="shared" si="10"/>
        <v>45770</v>
      </c>
      <c r="F324">
        <f t="shared" si="11"/>
        <v>42</v>
      </c>
    </row>
    <row r="325" spans="1:6">
      <c r="A325">
        <v>324</v>
      </c>
      <c r="B325" t="s">
        <v>64</v>
      </c>
      <c r="C325" s="11">
        <v>111</v>
      </c>
      <c r="D325" s="12">
        <v>45763</v>
      </c>
      <c r="E325" s="12">
        <f t="shared" si="10"/>
        <v>45805</v>
      </c>
      <c r="F325">
        <f t="shared" si="11"/>
        <v>42</v>
      </c>
    </row>
    <row r="326" spans="1:6">
      <c r="A326">
        <v>325</v>
      </c>
      <c r="B326" t="s">
        <v>77</v>
      </c>
      <c r="C326" s="11">
        <v>18</v>
      </c>
      <c r="D326" s="12">
        <v>45671</v>
      </c>
      <c r="E326" s="12">
        <f t="shared" si="10"/>
        <v>45713</v>
      </c>
      <c r="F326">
        <f t="shared" si="11"/>
        <v>42</v>
      </c>
    </row>
    <row r="327" spans="1:6">
      <c r="A327">
        <v>326</v>
      </c>
      <c r="B327" t="s">
        <v>102</v>
      </c>
      <c r="C327" s="11">
        <v>45</v>
      </c>
      <c r="D327" s="12">
        <v>45695</v>
      </c>
      <c r="E327" s="12">
        <f t="shared" si="10"/>
        <v>45737</v>
      </c>
      <c r="F327">
        <f t="shared" si="11"/>
        <v>42</v>
      </c>
    </row>
    <row r="328" spans="1:6">
      <c r="A328">
        <v>327</v>
      </c>
      <c r="B328" t="s">
        <v>100</v>
      </c>
      <c r="C328" s="11">
        <v>23</v>
      </c>
      <c r="D328" s="12">
        <v>45707</v>
      </c>
      <c r="E328" s="12">
        <f t="shared" si="10"/>
        <v>45749</v>
      </c>
      <c r="F328">
        <f t="shared" si="11"/>
        <v>42</v>
      </c>
    </row>
    <row r="329" spans="1:6">
      <c r="A329">
        <v>328</v>
      </c>
      <c r="B329" t="s">
        <v>65</v>
      </c>
      <c r="C329" s="11">
        <v>38</v>
      </c>
      <c r="D329" s="12">
        <v>45728</v>
      </c>
      <c r="E329" s="12">
        <f t="shared" si="10"/>
        <v>45770</v>
      </c>
      <c r="F329">
        <f t="shared" si="11"/>
        <v>42</v>
      </c>
    </row>
    <row r="330" spans="1:6">
      <c r="A330">
        <v>329</v>
      </c>
      <c r="B330" t="s">
        <v>64</v>
      </c>
      <c r="C330" s="11">
        <v>111</v>
      </c>
      <c r="D330" s="12">
        <v>45763</v>
      </c>
      <c r="E330" s="12">
        <f t="shared" si="10"/>
        <v>45805</v>
      </c>
      <c r="F330">
        <f t="shared" si="11"/>
        <v>42</v>
      </c>
    </row>
    <row r="331" spans="1:6">
      <c r="A331">
        <v>330</v>
      </c>
      <c r="B331" t="s">
        <v>99</v>
      </c>
      <c r="C331" s="11">
        <v>238</v>
      </c>
      <c r="D331" s="12">
        <v>45755</v>
      </c>
      <c r="E331" s="12">
        <f t="shared" si="10"/>
        <v>45797</v>
      </c>
      <c r="F331">
        <f t="shared" si="11"/>
        <v>42</v>
      </c>
    </row>
    <row r="332" spans="1:6">
      <c r="A332">
        <v>331</v>
      </c>
      <c r="B332" t="s">
        <v>108</v>
      </c>
      <c r="C332" s="11">
        <v>108</v>
      </c>
      <c r="D332" s="12">
        <v>45709</v>
      </c>
      <c r="E332" s="12">
        <f t="shared" si="10"/>
        <v>45751</v>
      </c>
      <c r="F332">
        <f t="shared" si="11"/>
        <v>42</v>
      </c>
    </row>
    <row r="333" spans="1:6">
      <c r="A333">
        <v>332</v>
      </c>
      <c r="B333" t="s">
        <v>66</v>
      </c>
      <c r="C333" s="11">
        <v>108</v>
      </c>
      <c r="D333" s="12">
        <v>45748</v>
      </c>
      <c r="E333" s="12">
        <f t="shared" si="10"/>
        <v>45790</v>
      </c>
      <c r="F333">
        <f t="shared" si="11"/>
        <v>42</v>
      </c>
    </row>
    <row r="334" spans="1:6">
      <c r="A334">
        <v>333</v>
      </c>
      <c r="B334" t="s">
        <v>66</v>
      </c>
      <c r="C334" s="11">
        <v>108</v>
      </c>
      <c r="D334" s="12">
        <v>45748</v>
      </c>
      <c r="E334" s="12">
        <f t="shared" si="10"/>
        <v>45790</v>
      </c>
      <c r="F334">
        <f t="shared" si="11"/>
        <v>42</v>
      </c>
    </row>
    <row r="335" spans="1:6">
      <c r="A335">
        <v>334</v>
      </c>
      <c r="B335" t="s">
        <v>108</v>
      </c>
      <c r="C335" s="11">
        <v>108</v>
      </c>
      <c r="D335" s="12">
        <v>45709</v>
      </c>
      <c r="E335" s="12">
        <f t="shared" si="10"/>
        <v>45751</v>
      </c>
      <c r="F335">
        <f t="shared" si="11"/>
        <v>42</v>
      </c>
    </row>
    <row r="336" spans="1:6">
      <c r="A336">
        <v>335</v>
      </c>
      <c r="B336" t="s">
        <v>108</v>
      </c>
      <c r="C336" s="11">
        <v>108</v>
      </c>
      <c r="D336" s="12">
        <v>45709</v>
      </c>
      <c r="E336" s="12">
        <f t="shared" si="10"/>
        <v>45751</v>
      </c>
      <c r="F336">
        <f t="shared" si="11"/>
        <v>42</v>
      </c>
    </row>
    <row r="337" spans="1:6">
      <c r="A337">
        <v>336</v>
      </c>
      <c r="B337" t="s">
        <v>65</v>
      </c>
      <c r="C337" s="11">
        <v>38</v>
      </c>
      <c r="D337" s="12">
        <v>45728</v>
      </c>
      <c r="E337" s="12">
        <f t="shared" si="10"/>
        <v>45770</v>
      </c>
      <c r="F337">
        <f t="shared" si="11"/>
        <v>42</v>
      </c>
    </row>
    <row r="338" spans="1:6">
      <c r="A338">
        <v>337</v>
      </c>
      <c r="B338" t="s">
        <v>64</v>
      </c>
      <c r="C338" s="11">
        <v>74</v>
      </c>
      <c r="D338" s="12">
        <v>45763</v>
      </c>
      <c r="E338" s="12">
        <f t="shared" si="10"/>
        <v>45805</v>
      </c>
      <c r="F338">
        <f t="shared" si="11"/>
        <v>42</v>
      </c>
    </row>
    <row r="339" spans="1:6">
      <c r="A339">
        <v>338</v>
      </c>
      <c r="B339" t="s">
        <v>77</v>
      </c>
      <c r="C339" s="11">
        <v>18</v>
      </c>
      <c r="D339" s="12">
        <v>45671</v>
      </c>
      <c r="E339" s="12">
        <f t="shared" si="10"/>
        <v>45713</v>
      </c>
      <c r="F339">
        <f t="shared" si="11"/>
        <v>42</v>
      </c>
    </row>
    <row r="340" spans="1:6">
      <c r="A340">
        <v>339</v>
      </c>
      <c r="B340" t="s">
        <v>106</v>
      </c>
      <c r="C340" s="11">
        <v>19</v>
      </c>
      <c r="D340" s="12">
        <v>45702</v>
      </c>
      <c r="E340" s="12">
        <f t="shared" si="10"/>
        <v>45744</v>
      </c>
      <c r="F340">
        <f t="shared" si="11"/>
        <v>42</v>
      </c>
    </row>
    <row r="341" spans="1:6">
      <c r="A341">
        <v>340</v>
      </c>
      <c r="B341" t="s">
        <v>67</v>
      </c>
      <c r="C341" s="11">
        <v>78</v>
      </c>
      <c r="D341" s="12">
        <v>45757</v>
      </c>
      <c r="E341" s="12">
        <f t="shared" si="10"/>
        <v>45799</v>
      </c>
      <c r="F341">
        <f t="shared" si="11"/>
        <v>42</v>
      </c>
    </row>
    <row r="342" spans="1:6">
      <c r="A342">
        <v>341</v>
      </c>
      <c r="B342" t="s">
        <v>67</v>
      </c>
      <c r="C342" s="11">
        <v>39</v>
      </c>
      <c r="D342" s="12">
        <v>45757</v>
      </c>
      <c r="E342" s="12">
        <f t="shared" si="10"/>
        <v>45799</v>
      </c>
      <c r="F342">
        <f t="shared" si="11"/>
        <v>42</v>
      </c>
    </row>
    <row r="343" spans="1:6">
      <c r="A343">
        <v>342</v>
      </c>
      <c r="B343" t="s">
        <v>70</v>
      </c>
      <c r="C343" s="11">
        <v>198</v>
      </c>
      <c r="D343" s="12">
        <v>45718</v>
      </c>
      <c r="E343" s="12">
        <f t="shared" si="10"/>
        <v>45760</v>
      </c>
      <c r="F343">
        <f t="shared" si="11"/>
        <v>42</v>
      </c>
    </row>
    <row r="344" spans="1:6">
      <c r="A344">
        <v>343</v>
      </c>
      <c r="B344" t="s">
        <v>65</v>
      </c>
      <c r="C344" s="11">
        <v>19</v>
      </c>
      <c r="D344" s="12">
        <v>45728</v>
      </c>
      <c r="E344" s="12">
        <f t="shared" si="10"/>
        <v>45770</v>
      </c>
      <c r="F344">
        <f t="shared" si="11"/>
        <v>42</v>
      </c>
    </row>
    <row r="345" spans="1:6">
      <c r="A345">
        <v>344</v>
      </c>
      <c r="B345" t="s">
        <v>77</v>
      </c>
      <c r="C345" s="11">
        <v>18</v>
      </c>
      <c r="D345" s="12">
        <v>45665</v>
      </c>
      <c r="E345" s="12">
        <f t="shared" si="10"/>
        <v>45707</v>
      </c>
      <c r="F345">
        <f t="shared" si="11"/>
        <v>42</v>
      </c>
    </row>
    <row r="346" spans="1:6">
      <c r="A346">
        <v>345</v>
      </c>
      <c r="B346" t="s">
        <v>77</v>
      </c>
      <c r="C346" s="11">
        <v>18</v>
      </c>
      <c r="D346" s="12">
        <v>45671</v>
      </c>
      <c r="E346" s="12">
        <f t="shared" si="10"/>
        <v>45713</v>
      </c>
      <c r="F346">
        <f t="shared" si="11"/>
        <v>42</v>
      </c>
    </row>
    <row r="347" spans="1:6">
      <c r="A347">
        <v>346</v>
      </c>
      <c r="B347" t="s">
        <v>85</v>
      </c>
      <c r="C347" s="11">
        <v>19</v>
      </c>
      <c r="D347" s="12">
        <v>45674</v>
      </c>
      <c r="E347" s="12">
        <f t="shared" si="10"/>
        <v>45716</v>
      </c>
      <c r="F347">
        <f t="shared" si="11"/>
        <v>42</v>
      </c>
    </row>
    <row r="348" spans="1:6">
      <c r="A348">
        <v>347</v>
      </c>
      <c r="B348" t="s">
        <v>85</v>
      </c>
      <c r="C348" s="11">
        <v>19</v>
      </c>
      <c r="D348" s="12">
        <v>45674</v>
      </c>
      <c r="E348" s="12">
        <f t="shared" si="10"/>
        <v>45716</v>
      </c>
      <c r="F348">
        <f t="shared" si="11"/>
        <v>42</v>
      </c>
    </row>
    <row r="349" spans="1:6">
      <c r="A349">
        <v>348</v>
      </c>
      <c r="B349" t="s">
        <v>108</v>
      </c>
      <c r="C349" s="11">
        <v>108</v>
      </c>
      <c r="D349" s="12">
        <v>45709</v>
      </c>
      <c r="E349" s="12">
        <f t="shared" si="10"/>
        <v>45751</v>
      </c>
      <c r="F349">
        <f t="shared" si="11"/>
        <v>42</v>
      </c>
    </row>
    <row r="350" spans="1:6">
      <c r="A350">
        <v>349</v>
      </c>
      <c r="B350" t="s">
        <v>108</v>
      </c>
      <c r="C350" s="11">
        <v>108</v>
      </c>
      <c r="D350" s="12">
        <v>45709</v>
      </c>
      <c r="E350" s="12">
        <f t="shared" si="10"/>
        <v>45751</v>
      </c>
      <c r="F350">
        <f t="shared" si="11"/>
        <v>42</v>
      </c>
    </row>
    <row r="351" spans="1:6">
      <c r="A351">
        <v>350</v>
      </c>
      <c r="B351" t="s">
        <v>108</v>
      </c>
      <c r="C351" s="11">
        <v>108</v>
      </c>
      <c r="D351" s="12">
        <v>45709</v>
      </c>
      <c r="E351" s="12">
        <f t="shared" si="10"/>
        <v>45751</v>
      </c>
      <c r="F351">
        <f t="shared" si="11"/>
        <v>42</v>
      </c>
    </row>
    <row r="352" spans="1:6">
      <c r="A352">
        <v>351</v>
      </c>
      <c r="B352" t="s">
        <v>66</v>
      </c>
      <c r="C352" s="11">
        <v>108</v>
      </c>
      <c r="D352" s="12">
        <v>45709</v>
      </c>
      <c r="E352" s="12">
        <f t="shared" si="10"/>
        <v>45751</v>
      </c>
      <c r="F352">
        <f t="shared" si="11"/>
        <v>42</v>
      </c>
    </row>
    <row r="353" spans="1:6">
      <c r="A353">
        <v>352</v>
      </c>
      <c r="B353" t="s">
        <v>66</v>
      </c>
      <c r="C353" s="11">
        <v>54</v>
      </c>
      <c r="D353" s="12">
        <v>45709</v>
      </c>
      <c r="E353" s="12">
        <f t="shared" si="10"/>
        <v>45751</v>
      </c>
      <c r="F353">
        <f t="shared" si="11"/>
        <v>42</v>
      </c>
    </row>
    <row r="354" spans="1:6">
      <c r="A354">
        <v>353</v>
      </c>
      <c r="B354" t="s">
        <v>85</v>
      </c>
      <c r="C354" s="11">
        <v>19</v>
      </c>
      <c r="D354" s="12">
        <v>45669</v>
      </c>
      <c r="E354" s="12">
        <f t="shared" si="10"/>
        <v>45711</v>
      </c>
      <c r="F354">
        <f t="shared" si="11"/>
        <v>42</v>
      </c>
    </row>
    <row r="355" spans="1:6">
      <c r="A355">
        <v>354</v>
      </c>
      <c r="B355" t="s">
        <v>65</v>
      </c>
      <c r="C355" s="11">
        <v>38</v>
      </c>
      <c r="D355" s="12">
        <v>45728</v>
      </c>
      <c r="E355" s="12">
        <f t="shared" si="10"/>
        <v>45770</v>
      </c>
      <c r="F355">
        <f t="shared" si="11"/>
        <v>42</v>
      </c>
    </row>
    <row r="356" spans="1:6">
      <c r="A356">
        <v>355</v>
      </c>
      <c r="B356" t="s">
        <v>66</v>
      </c>
      <c r="C356" s="11">
        <v>108</v>
      </c>
      <c r="D356" s="12">
        <v>45748</v>
      </c>
      <c r="E356" s="12">
        <f t="shared" si="10"/>
        <v>45790</v>
      </c>
      <c r="F356">
        <f t="shared" si="11"/>
        <v>42</v>
      </c>
    </row>
    <row r="357" spans="1:6">
      <c r="A357">
        <v>356</v>
      </c>
      <c r="B357" t="s">
        <v>66</v>
      </c>
      <c r="C357" s="11">
        <v>108</v>
      </c>
      <c r="D357" s="12">
        <v>45748</v>
      </c>
      <c r="E357" s="12">
        <f t="shared" si="10"/>
        <v>45790</v>
      </c>
      <c r="F357">
        <f t="shared" si="11"/>
        <v>42</v>
      </c>
    </row>
    <row r="358" spans="1:6">
      <c r="A358">
        <v>357</v>
      </c>
      <c r="B358" t="s">
        <v>108</v>
      </c>
      <c r="C358" s="11">
        <v>108</v>
      </c>
      <c r="D358" s="12">
        <v>45748</v>
      </c>
      <c r="E358" s="12">
        <f t="shared" si="10"/>
        <v>45790</v>
      </c>
      <c r="F358">
        <f t="shared" si="11"/>
        <v>42</v>
      </c>
    </row>
    <row r="359" spans="1:6">
      <c r="A359">
        <v>358</v>
      </c>
      <c r="B359" t="s">
        <v>108</v>
      </c>
      <c r="C359" s="11">
        <v>108</v>
      </c>
      <c r="D359" s="12">
        <v>45748</v>
      </c>
      <c r="E359" s="12">
        <f t="shared" si="10"/>
        <v>45790</v>
      </c>
      <c r="F359">
        <f t="shared" si="11"/>
        <v>42</v>
      </c>
    </row>
    <row r="360" spans="1:6">
      <c r="A360">
        <v>359</v>
      </c>
      <c r="B360" t="s">
        <v>108</v>
      </c>
      <c r="C360" s="11">
        <v>108</v>
      </c>
      <c r="D360" s="12">
        <v>45748</v>
      </c>
      <c r="E360" s="12">
        <f t="shared" si="10"/>
        <v>45790</v>
      </c>
      <c r="F360">
        <f t="shared" si="11"/>
        <v>42</v>
      </c>
    </row>
    <row r="361" spans="1:6">
      <c r="A361">
        <v>360</v>
      </c>
      <c r="B361" t="s">
        <v>85</v>
      </c>
      <c r="C361" s="11">
        <v>19</v>
      </c>
      <c r="D361" s="12">
        <v>45669</v>
      </c>
      <c r="E361" s="12">
        <f t="shared" si="10"/>
        <v>45711</v>
      </c>
      <c r="F361">
        <f t="shared" si="11"/>
        <v>42</v>
      </c>
    </row>
    <row r="362" spans="1:6">
      <c r="A362">
        <v>361</v>
      </c>
      <c r="B362" t="s">
        <v>79</v>
      </c>
      <c r="C362" s="11">
        <v>25</v>
      </c>
      <c r="D362" s="12">
        <v>45698</v>
      </c>
      <c r="E362" s="12">
        <f t="shared" si="10"/>
        <v>45740</v>
      </c>
      <c r="F362">
        <f t="shared" si="11"/>
        <v>42</v>
      </c>
    </row>
    <row r="363" spans="1:6">
      <c r="A363">
        <v>362</v>
      </c>
      <c r="B363" t="s">
        <v>106</v>
      </c>
      <c r="C363" s="11">
        <v>19</v>
      </c>
      <c r="D363" s="12">
        <v>45701</v>
      </c>
      <c r="E363" s="12">
        <f t="shared" si="10"/>
        <v>45743</v>
      </c>
      <c r="F363">
        <f t="shared" si="11"/>
        <v>42</v>
      </c>
    </row>
    <row r="364" spans="1:6">
      <c r="A364">
        <v>363</v>
      </c>
      <c r="B364" t="s">
        <v>106</v>
      </c>
      <c r="C364" s="11">
        <v>18.760000000000002</v>
      </c>
      <c r="D364" s="12">
        <v>45770</v>
      </c>
      <c r="E364" s="12">
        <f t="shared" si="10"/>
        <v>45812</v>
      </c>
      <c r="F364">
        <f t="shared" si="11"/>
        <v>42</v>
      </c>
    </row>
    <row r="365" spans="1:6">
      <c r="A365">
        <v>364</v>
      </c>
      <c r="B365" t="s">
        <v>65</v>
      </c>
      <c r="C365" s="11">
        <v>38</v>
      </c>
      <c r="D365" s="12">
        <v>45728</v>
      </c>
      <c r="E365" s="12">
        <f t="shared" si="10"/>
        <v>45770</v>
      </c>
      <c r="F365">
        <f t="shared" si="11"/>
        <v>42</v>
      </c>
    </row>
    <row r="366" spans="1:6">
      <c r="A366">
        <v>365</v>
      </c>
      <c r="B366" t="s">
        <v>64</v>
      </c>
      <c r="C366" s="11">
        <v>111</v>
      </c>
      <c r="D366" s="12">
        <v>45763</v>
      </c>
      <c r="E366" s="12">
        <f t="shared" si="10"/>
        <v>45805</v>
      </c>
      <c r="F366">
        <f t="shared" si="11"/>
        <v>42</v>
      </c>
    </row>
    <row r="367" spans="1:6">
      <c r="A367">
        <v>366</v>
      </c>
      <c r="B367" t="s">
        <v>77</v>
      </c>
      <c r="C367" s="11">
        <v>18</v>
      </c>
      <c r="D367" s="12">
        <v>45671</v>
      </c>
      <c r="E367" s="12">
        <f t="shared" si="10"/>
        <v>45713</v>
      </c>
      <c r="F367">
        <f t="shared" si="11"/>
        <v>42</v>
      </c>
    </row>
    <row r="368" spans="1:6">
      <c r="A368">
        <v>367</v>
      </c>
      <c r="B368" t="s">
        <v>106</v>
      </c>
      <c r="C368" s="11">
        <v>18.442</v>
      </c>
      <c r="D368" s="12">
        <v>45770</v>
      </c>
      <c r="E368" s="12">
        <f t="shared" si="10"/>
        <v>45812</v>
      </c>
      <c r="F368">
        <f t="shared" si="11"/>
        <v>42</v>
      </c>
    </row>
    <row r="369" spans="1:6">
      <c r="A369">
        <v>368</v>
      </c>
      <c r="B369" t="s">
        <v>106</v>
      </c>
      <c r="C369" s="11">
        <v>19</v>
      </c>
      <c r="D369" s="12">
        <v>45730</v>
      </c>
      <c r="E369" s="12">
        <f t="shared" si="10"/>
        <v>45772</v>
      </c>
      <c r="F369">
        <f t="shared" si="11"/>
        <v>42</v>
      </c>
    </row>
    <row r="370" spans="1:6">
      <c r="A370">
        <v>369</v>
      </c>
      <c r="B370" t="s">
        <v>87</v>
      </c>
      <c r="C370" s="11">
        <v>18</v>
      </c>
      <c r="D370" s="12">
        <v>45750</v>
      </c>
      <c r="E370" s="12">
        <f t="shared" si="10"/>
        <v>45792</v>
      </c>
      <c r="F370">
        <f t="shared" si="11"/>
        <v>42</v>
      </c>
    </row>
    <row r="371" spans="1:6">
      <c r="A371">
        <v>370</v>
      </c>
      <c r="B371" t="s">
        <v>102</v>
      </c>
      <c r="C371" s="11">
        <v>45</v>
      </c>
      <c r="D371" s="12">
        <v>45694</v>
      </c>
      <c r="E371" s="12">
        <f t="shared" si="10"/>
        <v>45736</v>
      </c>
      <c r="F371">
        <f t="shared" si="11"/>
        <v>42</v>
      </c>
    </row>
    <row r="372" spans="1:6">
      <c r="A372">
        <v>371</v>
      </c>
      <c r="B372" t="s">
        <v>105</v>
      </c>
      <c r="C372" s="11">
        <v>358</v>
      </c>
      <c r="D372" s="12">
        <v>45709</v>
      </c>
      <c r="E372" s="12">
        <f t="shared" si="10"/>
        <v>45751</v>
      </c>
      <c r="F372">
        <f t="shared" si="11"/>
        <v>42</v>
      </c>
    </row>
    <row r="373" spans="1:6">
      <c r="A373">
        <v>372</v>
      </c>
      <c r="B373" t="s">
        <v>106</v>
      </c>
      <c r="C373" s="11">
        <v>18.425999999999998</v>
      </c>
      <c r="D373" s="12">
        <v>45770</v>
      </c>
      <c r="E373" s="12">
        <f t="shared" si="10"/>
        <v>45812</v>
      </c>
      <c r="F373">
        <f t="shared" si="11"/>
        <v>42</v>
      </c>
    </row>
    <row r="374" spans="1:6">
      <c r="A374">
        <v>373</v>
      </c>
      <c r="B374" t="s">
        <v>71</v>
      </c>
      <c r="C374" s="11">
        <v>391</v>
      </c>
      <c r="D374" s="12">
        <v>45722</v>
      </c>
      <c r="E374" s="12">
        <f t="shared" si="10"/>
        <v>45764</v>
      </c>
      <c r="F374">
        <f t="shared" si="11"/>
        <v>42</v>
      </c>
    </row>
    <row r="375" spans="1:6">
      <c r="A375">
        <v>374</v>
      </c>
      <c r="B375" t="s">
        <v>80</v>
      </c>
      <c r="C375" s="11">
        <v>19</v>
      </c>
      <c r="D375" s="12">
        <v>45722</v>
      </c>
      <c r="E375" s="12">
        <f t="shared" si="10"/>
        <v>45764</v>
      </c>
      <c r="F375">
        <f t="shared" si="11"/>
        <v>42</v>
      </c>
    </row>
    <row r="376" spans="1:6">
      <c r="A376">
        <v>375</v>
      </c>
      <c r="B376" t="s">
        <v>69</v>
      </c>
      <c r="C376" s="11">
        <v>19</v>
      </c>
      <c r="D376" s="12">
        <v>45730</v>
      </c>
      <c r="E376" s="12">
        <f t="shared" si="10"/>
        <v>45772</v>
      </c>
      <c r="F376">
        <f t="shared" si="11"/>
        <v>42</v>
      </c>
    </row>
    <row r="377" spans="1:6">
      <c r="A377">
        <v>376</v>
      </c>
      <c r="B377" t="s">
        <v>106</v>
      </c>
      <c r="C377" s="11">
        <v>18.544</v>
      </c>
      <c r="D377" s="12">
        <v>45770</v>
      </c>
      <c r="E377" s="12">
        <f t="shared" si="10"/>
        <v>45812</v>
      </c>
      <c r="F377">
        <f t="shared" si="11"/>
        <v>42</v>
      </c>
    </row>
    <row r="378" spans="1:6">
      <c r="A378">
        <v>377</v>
      </c>
      <c r="B378" t="s">
        <v>64</v>
      </c>
      <c r="C378" s="11">
        <v>111</v>
      </c>
      <c r="D378" s="12">
        <v>45763</v>
      </c>
      <c r="E378" s="12">
        <f t="shared" si="10"/>
        <v>45805</v>
      </c>
      <c r="F378">
        <f t="shared" si="11"/>
        <v>42</v>
      </c>
    </row>
    <row r="379" spans="1:6">
      <c r="A379">
        <v>378</v>
      </c>
      <c r="B379" t="s">
        <v>64</v>
      </c>
      <c r="C379" s="11">
        <v>111</v>
      </c>
      <c r="D379" s="12">
        <v>45763</v>
      </c>
      <c r="E379" s="12">
        <f t="shared" si="10"/>
        <v>45805</v>
      </c>
      <c r="F379">
        <f t="shared" si="11"/>
        <v>42</v>
      </c>
    </row>
    <row r="380" spans="1:6">
      <c r="A380">
        <v>379</v>
      </c>
      <c r="B380" t="s">
        <v>65</v>
      </c>
      <c r="C380" s="11">
        <v>19</v>
      </c>
      <c r="D380" s="12">
        <v>45728</v>
      </c>
      <c r="E380" s="12">
        <f t="shared" si="10"/>
        <v>45770</v>
      </c>
      <c r="F380">
        <f t="shared" si="11"/>
        <v>42</v>
      </c>
    </row>
    <row r="381" spans="1:6">
      <c r="A381">
        <v>380</v>
      </c>
      <c r="B381" t="s">
        <v>77</v>
      </c>
      <c r="C381" s="11">
        <v>18</v>
      </c>
      <c r="D381" s="12">
        <v>45671</v>
      </c>
      <c r="E381" s="12">
        <f t="shared" si="10"/>
        <v>45713</v>
      </c>
      <c r="F381">
        <f t="shared" si="11"/>
        <v>42</v>
      </c>
    </row>
    <row r="382" spans="1:6">
      <c r="A382">
        <v>381</v>
      </c>
      <c r="B382" t="s">
        <v>106</v>
      </c>
      <c r="C382" s="11">
        <v>19</v>
      </c>
      <c r="D382" s="12">
        <v>45701</v>
      </c>
      <c r="E382" s="12">
        <f t="shared" si="10"/>
        <v>45743</v>
      </c>
      <c r="F382">
        <f t="shared" si="11"/>
        <v>42</v>
      </c>
    </row>
    <row r="383" spans="1:6">
      <c r="A383">
        <v>382</v>
      </c>
      <c r="B383" t="s">
        <v>106</v>
      </c>
      <c r="C383" s="11">
        <v>18.477</v>
      </c>
      <c r="D383" s="12">
        <v>45770</v>
      </c>
      <c r="E383" s="12">
        <f t="shared" si="10"/>
        <v>45812</v>
      </c>
      <c r="F383">
        <f t="shared" si="11"/>
        <v>42</v>
      </c>
    </row>
    <row r="384" spans="1:6">
      <c r="A384">
        <v>383</v>
      </c>
      <c r="B384" t="s">
        <v>69</v>
      </c>
      <c r="C384" s="11">
        <v>19</v>
      </c>
      <c r="D384" s="12">
        <v>45730</v>
      </c>
      <c r="E384" s="12">
        <f t="shared" si="10"/>
        <v>45772</v>
      </c>
      <c r="F384">
        <f t="shared" si="11"/>
        <v>42</v>
      </c>
    </row>
    <row r="385" spans="1:6">
      <c r="A385">
        <v>384</v>
      </c>
      <c r="B385" t="s">
        <v>69</v>
      </c>
      <c r="C385" s="11">
        <v>19</v>
      </c>
      <c r="D385" s="12">
        <v>45730</v>
      </c>
      <c r="E385" s="12">
        <f t="shared" si="10"/>
        <v>45772</v>
      </c>
      <c r="F385">
        <f t="shared" si="11"/>
        <v>42</v>
      </c>
    </row>
    <row r="386" spans="1:6">
      <c r="A386">
        <v>385</v>
      </c>
      <c r="B386" t="s">
        <v>108</v>
      </c>
      <c r="C386" s="11">
        <v>108</v>
      </c>
      <c r="D386" s="12">
        <v>45748</v>
      </c>
      <c r="E386" s="12">
        <f t="shared" ref="E386:E449" si="12">D386+6*7</f>
        <v>45790</v>
      </c>
      <c r="F386">
        <f t="shared" ref="F386:F449" si="13">E386-D386</f>
        <v>42</v>
      </c>
    </row>
    <row r="387" spans="1:6">
      <c r="A387">
        <v>386</v>
      </c>
      <c r="B387" t="s">
        <v>65</v>
      </c>
      <c r="C387" s="11">
        <v>19</v>
      </c>
      <c r="D387" s="12">
        <v>45755</v>
      </c>
      <c r="E387" s="12">
        <f t="shared" si="12"/>
        <v>45797</v>
      </c>
      <c r="F387">
        <f t="shared" si="13"/>
        <v>42</v>
      </c>
    </row>
    <row r="388" spans="1:6">
      <c r="A388">
        <v>387</v>
      </c>
      <c r="B388" t="s">
        <v>64</v>
      </c>
      <c r="C388" s="11">
        <v>93</v>
      </c>
      <c r="D388" s="12">
        <v>45763</v>
      </c>
      <c r="E388" s="12">
        <f t="shared" si="12"/>
        <v>45805</v>
      </c>
      <c r="F388">
        <f t="shared" si="13"/>
        <v>42</v>
      </c>
    </row>
    <row r="389" spans="1:6">
      <c r="A389">
        <v>388</v>
      </c>
      <c r="B389" t="s">
        <v>64</v>
      </c>
      <c r="C389" s="11">
        <v>111</v>
      </c>
      <c r="D389" s="12">
        <v>45763</v>
      </c>
      <c r="E389" s="12">
        <f t="shared" si="12"/>
        <v>45805</v>
      </c>
      <c r="F389">
        <f t="shared" si="13"/>
        <v>42</v>
      </c>
    </row>
    <row r="390" spans="1:6">
      <c r="A390">
        <v>389</v>
      </c>
      <c r="B390" t="s">
        <v>108</v>
      </c>
      <c r="C390" s="11">
        <v>108</v>
      </c>
      <c r="D390" s="12">
        <v>45748</v>
      </c>
      <c r="E390" s="12">
        <f t="shared" si="12"/>
        <v>45790</v>
      </c>
      <c r="F390">
        <f t="shared" si="13"/>
        <v>42</v>
      </c>
    </row>
    <row r="391" spans="1:6">
      <c r="A391">
        <v>390</v>
      </c>
      <c r="B391" t="s">
        <v>77</v>
      </c>
      <c r="C391" s="11">
        <v>18</v>
      </c>
      <c r="D391" s="12">
        <v>45671</v>
      </c>
      <c r="E391" s="12">
        <f t="shared" si="12"/>
        <v>45713</v>
      </c>
      <c r="F391">
        <f t="shared" si="13"/>
        <v>42</v>
      </c>
    </row>
    <row r="392" spans="1:6">
      <c r="A392">
        <v>391</v>
      </c>
      <c r="B392" t="s">
        <v>106</v>
      </c>
      <c r="C392" s="11">
        <v>19</v>
      </c>
      <c r="D392" s="12">
        <v>45748</v>
      </c>
      <c r="E392" s="12">
        <f t="shared" si="12"/>
        <v>45790</v>
      </c>
      <c r="F392">
        <f t="shared" si="13"/>
        <v>42</v>
      </c>
    </row>
    <row r="393" spans="1:6">
      <c r="A393">
        <v>392</v>
      </c>
      <c r="B393" t="s">
        <v>65</v>
      </c>
      <c r="C393" s="11">
        <v>19</v>
      </c>
      <c r="D393" s="12">
        <v>45755</v>
      </c>
      <c r="E393" s="12">
        <f t="shared" si="12"/>
        <v>45797</v>
      </c>
      <c r="F393">
        <f t="shared" si="13"/>
        <v>42</v>
      </c>
    </row>
    <row r="394" spans="1:6">
      <c r="A394">
        <v>393</v>
      </c>
      <c r="B394" t="s">
        <v>106</v>
      </c>
      <c r="C394" s="11">
        <v>19</v>
      </c>
      <c r="D394" s="12">
        <v>45730</v>
      </c>
      <c r="E394" s="12">
        <f t="shared" si="12"/>
        <v>45772</v>
      </c>
      <c r="F394">
        <f t="shared" si="13"/>
        <v>42</v>
      </c>
    </row>
    <row r="395" spans="1:6">
      <c r="A395">
        <v>394</v>
      </c>
      <c r="B395" t="s">
        <v>106</v>
      </c>
      <c r="C395" s="11">
        <v>19</v>
      </c>
      <c r="D395" s="12">
        <v>45730</v>
      </c>
      <c r="E395" s="12">
        <f t="shared" si="12"/>
        <v>45772</v>
      </c>
      <c r="F395">
        <f t="shared" si="13"/>
        <v>42</v>
      </c>
    </row>
    <row r="396" spans="1:6">
      <c r="A396">
        <v>395</v>
      </c>
      <c r="B396" t="s">
        <v>103</v>
      </c>
      <c r="C396" s="11">
        <v>195</v>
      </c>
      <c r="D396" s="12">
        <v>45741</v>
      </c>
      <c r="E396" s="12">
        <f t="shared" si="12"/>
        <v>45783</v>
      </c>
      <c r="F396">
        <f t="shared" si="13"/>
        <v>42</v>
      </c>
    </row>
    <row r="397" spans="1:6">
      <c r="A397">
        <v>396</v>
      </c>
      <c r="B397" t="s">
        <v>87</v>
      </c>
      <c r="C397" s="11">
        <v>19.780999999999999</v>
      </c>
      <c r="D397" s="12">
        <v>45750</v>
      </c>
      <c r="E397" s="12">
        <f t="shared" si="12"/>
        <v>45792</v>
      </c>
      <c r="F397">
        <f t="shared" si="13"/>
        <v>42</v>
      </c>
    </row>
    <row r="398" spans="1:6">
      <c r="A398">
        <v>397</v>
      </c>
      <c r="B398" t="s">
        <v>65</v>
      </c>
      <c r="C398" s="11">
        <v>19</v>
      </c>
      <c r="D398" s="12">
        <v>45755</v>
      </c>
      <c r="E398" s="12">
        <f t="shared" si="12"/>
        <v>45797</v>
      </c>
      <c r="F398">
        <f t="shared" si="13"/>
        <v>42</v>
      </c>
    </row>
    <row r="399" spans="1:6">
      <c r="A399">
        <v>398</v>
      </c>
      <c r="B399" t="s">
        <v>64</v>
      </c>
      <c r="C399" s="11">
        <v>111</v>
      </c>
      <c r="D399" s="12">
        <v>45768</v>
      </c>
      <c r="E399" s="12">
        <f t="shared" si="12"/>
        <v>45810</v>
      </c>
      <c r="F399">
        <f t="shared" si="13"/>
        <v>42</v>
      </c>
    </row>
    <row r="400" spans="1:6">
      <c r="A400">
        <v>399</v>
      </c>
      <c r="B400" t="s">
        <v>106</v>
      </c>
      <c r="C400" s="11">
        <v>19</v>
      </c>
      <c r="D400" s="12">
        <v>45701</v>
      </c>
      <c r="E400" s="12">
        <f t="shared" si="12"/>
        <v>45743</v>
      </c>
      <c r="F400">
        <f t="shared" si="13"/>
        <v>42</v>
      </c>
    </row>
    <row r="401" spans="1:6">
      <c r="A401">
        <v>400</v>
      </c>
      <c r="B401" t="s">
        <v>106</v>
      </c>
      <c r="C401" s="11">
        <v>19</v>
      </c>
      <c r="D401" s="12">
        <v>45730</v>
      </c>
      <c r="E401" s="12">
        <f t="shared" si="12"/>
        <v>45772</v>
      </c>
      <c r="F401">
        <f t="shared" si="13"/>
        <v>42</v>
      </c>
    </row>
    <row r="402" spans="1:6">
      <c r="A402">
        <v>401</v>
      </c>
      <c r="B402" t="s">
        <v>106</v>
      </c>
      <c r="C402" s="11">
        <v>19</v>
      </c>
      <c r="D402" s="12">
        <v>45730</v>
      </c>
      <c r="E402" s="12">
        <f t="shared" si="12"/>
        <v>45772</v>
      </c>
      <c r="F402">
        <f t="shared" si="13"/>
        <v>42</v>
      </c>
    </row>
    <row r="403" spans="1:6">
      <c r="A403">
        <v>402</v>
      </c>
      <c r="B403" t="s">
        <v>65</v>
      </c>
      <c r="C403" s="11">
        <v>19</v>
      </c>
      <c r="D403" s="12">
        <v>45755</v>
      </c>
      <c r="E403" s="12">
        <f t="shared" si="12"/>
        <v>45797</v>
      </c>
      <c r="F403">
        <f t="shared" si="13"/>
        <v>42</v>
      </c>
    </row>
    <row r="404" spans="1:6">
      <c r="A404">
        <v>403</v>
      </c>
      <c r="B404" t="s">
        <v>65</v>
      </c>
      <c r="C404" s="11">
        <v>19</v>
      </c>
      <c r="D404" s="12">
        <v>45755</v>
      </c>
      <c r="E404" s="12">
        <f t="shared" si="12"/>
        <v>45797</v>
      </c>
      <c r="F404">
        <f t="shared" si="13"/>
        <v>42</v>
      </c>
    </row>
    <row r="405" spans="1:6">
      <c r="A405">
        <v>404</v>
      </c>
      <c r="B405" t="s">
        <v>64</v>
      </c>
      <c r="C405" s="11">
        <v>111</v>
      </c>
      <c r="D405" s="12">
        <v>45763</v>
      </c>
      <c r="E405" s="12">
        <f t="shared" si="12"/>
        <v>45805</v>
      </c>
      <c r="F405">
        <f t="shared" si="13"/>
        <v>42</v>
      </c>
    </row>
    <row r="406" spans="1:6">
      <c r="A406">
        <v>405</v>
      </c>
      <c r="B406" t="s">
        <v>106</v>
      </c>
      <c r="C406" s="11">
        <v>19</v>
      </c>
      <c r="D406" s="12">
        <v>45730</v>
      </c>
      <c r="E406" s="12">
        <f t="shared" si="12"/>
        <v>45772</v>
      </c>
      <c r="F406">
        <f t="shared" si="13"/>
        <v>42</v>
      </c>
    </row>
    <row r="407" spans="1:6">
      <c r="A407">
        <v>406</v>
      </c>
      <c r="B407" t="s">
        <v>106</v>
      </c>
      <c r="C407" s="11">
        <v>19</v>
      </c>
      <c r="D407" s="12">
        <v>45730</v>
      </c>
      <c r="E407" s="12">
        <f t="shared" si="12"/>
        <v>45772</v>
      </c>
      <c r="F407">
        <f t="shared" si="13"/>
        <v>42</v>
      </c>
    </row>
    <row r="408" spans="1:6">
      <c r="A408">
        <v>407</v>
      </c>
      <c r="B408" t="s">
        <v>65</v>
      </c>
      <c r="C408" s="11">
        <v>19</v>
      </c>
      <c r="D408" s="12">
        <v>45755</v>
      </c>
      <c r="E408" s="12">
        <f t="shared" si="12"/>
        <v>45797</v>
      </c>
      <c r="F408">
        <f t="shared" si="13"/>
        <v>42</v>
      </c>
    </row>
    <row r="409" spans="1:6">
      <c r="A409">
        <v>408</v>
      </c>
      <c r="B409" t="s">
        <v>64</v>
      </c>
      <c r="C409" s="11">
        <v>111</v>
      </c>
      <c r="D409" s="12">
        <v>45763</v>
      </c>
      <c r="E409" s="12">
        <f t="shared" si="12"/>
        <v>45805</v>
      </c>
      <c r="F409">
        <f t="shared" si="13"/>
        <v>42</v>
      </c>
    </row>
    <row r="410" spans="1:6">
      <c r="A410">
        <v>409</v>
      </c>
      <c r="B410" t="s">
        <v>94</v>
      </c>
      <c r="C410" s="11">
        <v>99</v>
      </c>
      <c r="D410" s="12">
        <v>45677</v>
      </c>
      <c r="E410" s="12">
        <f t="shared" si="12"/>
        <v>45719</v>
      </c>
      <c r="F410">
        <f t="shared" si="13"/>
        <v>42</v>
      </c>
    </row>
    <row r="411" spans="1:6">
      <c r="A411">
        <v>410</v>
      </c>
      <c r="B411" t="s">
        <v>86</v>
      </c>
      <c r="C411" s="11">
        <v>63</v>
      </c>
      <c r="D411" s="12">
        <v>45700</v>
      </c>
      <c r="E411" s="12">
        <f t="shared" si="12"/>
        <v>45742</v>
      </c>
      <c r="F411">
        <f t="shared" si="13"/>
        <v>42</v>
      </c>
    </row>
    <row r="412" spans="1:6">
      <c r="A412">
        <v>411</v>
      </c>
      <c r="B412" t="s">
        <v>81</v>
      </c>
      <c r="C412" s="11">
        <v>98</v>
      </c>
      <c r="D412" s="12">
        <v>45679</v>
      </c>
      <c r="E412" s="12">
        <f t="shared" si="12"/>
        <v>45721</v>
      </c>
      <c r="F412">
        <f t="shared" si="13"/>
        <v>42</v>
      </c>
    </row>
    <row r="413" spans="1:6">
      <c r="A413">
        <v>412</v>
      </c>
      <c r="B413" t="s">
        <v>80</v>
      </c>
      <c r="C413" s="11">
        <v>19</v>
      </c>
      <c r="D413" s="12">
        <v>45722</v>
      </c>
      <c r="E413" s="12">
        <f t="shared" si="12"/>
        <v>45764</v>
      </c>
      <c r="F413">
        <f t="shared" si="13"/>
        <v>42</v>
      </c>
    </row>
    <row r="414" spans="1:6">
      <c r="A414">
        <v>413</v>
      </c>
      <c r="B414" t="s">
        <v>82</v>
      </c>
      <c r="C414" s="11">
        <v>19</v>
      </c>
      <c r="D414" s="12">
        <v>45722</v>
      </c>
      <c r="E414" s="12">
        <f t="shared" si="12"/>
        <v>45764</v>
      </c>
      <c r="F414">
        <f t="shared" si="13"/>
        <v>42</v>
      </c>
    </row>
    <row r="415" spans="1:6">
      <c r="A415">
        <v>414</v>
      </c>
      <c r="B415" t="s">
        <v>99</v>
      </c>
      <c r="C415" s="11">
        <v>190</v>
      </c>
      <c r="D415" s="12">
        <v>45727</v>
      </c>
      <c r="E415" s="12">
        <f t="shared" si="12"/>
        <v>45769</v>
      </c>
      <c r="F415">
        <f t="shared" si="13"/>
        <v>42</v>
      </c>
    </row>
    <row r="416" spans="1:6">
      <c r="A416">
        <v>415</v>
      </c>
      <c r="B416" t="s">
        <v>78</v>
      </c>
      <c r="C416" s="11">
        <v>92</v>
      </c>
      <c r="D416" s="12">
        <v>45723</v>
      </c>
      <c r="E416" s="12">
        <f t="shared" si="12"/>
        <v>45765</v>
      </c>
      <c r="F416">
        <f t="shared" si="13"/>
        <v>42</v>
      </c>
    </row>
    <row r="417" spans="1:6">
      <c r="A417">
        <v>416</v>
      </c>
      <c r="B417" t="s">
        <v>100</v>
      </c>
      <c r="C417" s="11">
        <v>23</v>
      </c>
      <c r="D417" s="12">
        <v>45734</v>
      </c>
      <c r="E417" s="12">
        <f t="shared" si="12"/>
        <v>45776</v>
      </c>
      <c r="F417">
        <f t="shared" si="13"/>
        <v>42</v>
      </c>
    </row>
    <row r="418" spans="1:6">
      <c r="A418">
        <v>417</v>
      </c>
      <c r="B418" t="s">
        <v>114</v>
      </c>
      <c r="C418" s="11">
        <v>21</v>
      </c>
      <c r="D418" s="12">
        <v>45743</v>
      </c>
      <c r="E418" s="12">
        <f t="shared" si="12"/>
        <v>45785</v>
      </c>
      <c r="F418">
        <f t="shared" si="13"/>
        <v>42</v>
      </c>
    </row>
    <row r="419" spans="1:6">
      <c r="A419">
        <v>418</v>
      </c>
      <c r="B419" t="s">
        <v>99</v>
      </c>
      <c r="C419" s="11">
        <v>238</v>
      </c>
      <c r="D419" s="12">
        <v>45755</v>
      </c>
      <c r="E419" s="12">
        <f t="shared" si="12"/>
        <v>45797</v>
      </c>
      <c r="F419">
        <f t="shared" si="13"/>
        <v>42</v>
      </c>
    </row>
    <row r="420" spans="1:6">
      <c r="A420">
        <v>419</v>
      </c>
      <c r="B420" t="s">
        <v>66</v>
      </c>
      <c r="C420" s="11">
        <v>54</v>
      </c>
      <c r="D420" s="12">
        <v>45748</v>
      </c>
      <c r="E420" s="12">
        <f t="shared" si="12"/>
        <v>45790</v>
      </c>
      <c r="F420">
        <f t="shared" si="13"/>
        <v>42</v>
      </c>
    </row>
    <row r="421" spans="1:6">
      <c r="A421">
        <v>420</v>
      </c>
      <c r="B421" t="s">
        <v>66</v>
      </c>
      <c r="C421" s="11">
        <v>54</v>
      </c>
      <c r="D421" s="12">
        <v>45778</v>
      </c>
      <c r="E421" s="12">
        <f t="shared" si="12"/>
        <v>45820</v>
      </c>
      <c r="F421">
        <f t="shared" si="13"/>
        <v>42</v>
      </c>
    </row>
    <row r="422" spans="1:6">
      <c r="A422">
        <v>421</v>
      </c>
      <c r="B422" t="s">
        <v>66</v>
      </c>
      <c r="C422" s="11">
        <v>54</v>
      </c>
      <c r="D422" s="12">
        <v>45778</v>
      </c>
      <c r="E422" s="12">
        <f t="shared" si="12"/>
        <v>45820</v>
      </c>
      <c r="F422">
        <f t="shared" si="13"/>
        <v>42</v>
      </c>
    </row>
    <row r="423" spans="1:6">
      <c r="A423">
        <v>422</v>
      </c>
      <c r="B423" t="s">
        <v>106</v>
      </c>
      <c r="C423" s="11">
        <v>19</v>
      </c>
      <c r="D423" s="12">
        <v>45730</v>
      </c>
      <c r="E423" s="12">
        <f t="shared" si="12"/>
        <v>45772</v>
      </c>
      <c r="F423">
        <f t="shared" si="13"/>
        <v>42</v>
      </c>
    </row>
    <row r="424" spans="1:6">
      <c r="A424">
        <v>423</v>
      </c>
      <c r="B424" t="s">
        <v>65</v>
      </c>
      <c r="C424" s="11">
        <v>19</v>
      </c>
      <c r="D424" s="12">
        <v>45755</v>
      </c>
      <c r="E424" s="12">
        <f t="shared" si="12"/>
        <v>45797</v>
      </c>
      <c r="F424">
        <f t="shared" si="13"/>
        <v>42</v>
      </c>
    </row>
    <row r="425" spans="1:6">
      <c r="A425">
        <v>424</v>
      </c>
      <c r="B425" t="s">
        <v>70</v>
      </c>
      <c r="C425" s="11">
        <v>10</v>
      </c>
      <c r="D425" s="12">
        <v>45764</v>
      </c>
      <c r="E425" s="12">
        <f t="shared" si="12"/>
        <v>45806</v>
      </c>
      <c r="F425">
        <f t="shared" si="13"/>
        <v>42</v>
      </c>
    </row>
    <row r="426" spans="1:6">
      <c r="A426">
        <v>425</v>
      </c>
      <c r="B426" t="s">
        <v>71</v>
      </c>
      <c r="C426" s="11">
        <v>391</v>
      </c>
      <c r="D426" s="12">
        <v>45722</v>
      </c>
      <c r="E426" s="12">
        <f t="shared" si="12"/>
        <v>45764</v>
      </c>
      <c r="F426">
        <f t="shared" si="13"/>
        <v>42</v>
      </c>
    </row>
    <row r="427" spans="1:6">
      <c r="A427">
        <v>426</v>
      </c>
      <c r="B427" t="s">
        <v>108</v>
      </c>
      <c r="C427" s="11">
        <v>108</v>
      </c>
      <c r="D427" s="12">
        <v>45748</v>
      </c>
      <c r="E427" s="12">
        <f t="shared" si="12"/>
        <v>45790</v>
      </c>
      <c r="F427">
        <f t="shared" si="13"/>
        <v>42</v>
      </c>
    </row>
    <row r="428" spans="1:6">
      <c r="A428">
        <v>427</v>
      </c>
      <c r="B428" t="s">
        <v>66</v>
      </c>
      <c r="C428" s="11">
        <v>54</v>
      </c>
      <c r="D428" s="12">
        <v>45748</v>
      </c>
      <c r="E428" s="12">
        <f t="shared" si="12"/>
        <v>45790</v>
      </c>
      <c r="F428">
        <f t="shared" si="13"/>
        <v>42</v>
      </c>
    </row>
    <row r="429" spans="1:6">
      <c r="A429">
        <v>428</v>
      </c>
      <c r="B429" t="s">
        <v>77</v>
      </c>
      <c r="C429" s="11">
        <v>18</v>
      </c>
      <c r="D429" s="12">
        <v>45671</v>
      </c>
      <c r="E429" s="12">
        <f t="shared" si="12"/>
        <v>45713</v>
      </c>
      <c r="F429">
        <f t="shared" si="13"/>
        <v>42</v>
      </c>
    </row>
    <row r="430" spans="1:6">
      <c r="A430">
        <v>429</v>
      </c>
      <c r="B430" t="s">
        <v>98</v>
      </c>
      <c r="C430" s="11">
        <v>19</v>
      </c>
      <c r="D430" s="12">
        <v>45706</v>
      </c>
      <c r="E430" s="12">
        <f t="shared" si="12"/>
        <v>45748</v>
      </c>
      <c r="F430">
        <f t="shared" si="13"/>
        <v>42</v>
      </c>
    </row>
    <row r="431" spans="1:6">
      <c r="A431">
        <v>430</v>
      </c>
      <c r="B431" t="s">
        <v>98</v>
      </c>
      <c r="C431" s="11">
        <v>19</v>
      </c>
      <c r="D431" s="12">
        <v>45706</v>
      </c>
      <c r="E431" s="12">
        <f t="shared" si="12"/>
        <v>45748</v>
      </c>
      <c r="F431">
        <f t="shared" si="13"/>
        <v>42</v>
      </c>
    </row>
    <row r="432" spans="1:6">
      <c r="A432">
        <v>431</v>
      </c>
      <c r="B432" t="s">
        <v>65</v>
      </c>
      <c r="C432" s="11">
        <v>19</v>
      </c>
      <c r="D432" s="12">
        <v>45755</v>
      </c>
      <c r="E432" s="12">
        <f t="shared" si="12"/>
        <v>45797</v>
      </c>
      <c r="F432">
        <f t="shared" si="13"/>
        <v>42</v>
      </c>
    </row>
    <row r="433" spans="1:6">
      <c r="A433">
        <v>432</v>
      </c>
      <c r="B433" t="s">
        <v>112</v>
      </c>
      <c r="C433" s="11">
        <v>70</v>
      </c>
      <c r="D433" s="12">
        <v>45690</v>
      </c>
      <c r="E433" s="12">
        <f t="shared" si="12"/>
        <v>45732</v>
      </c>
      <c r="F433">
        <f t="shared" si="13"/>
        <v>42</v>
      </c>
    </row>
    <row r="434" spans="1:6">
      <c r="A434">
        <v>433</v>
      </c>
      <c r="B434" t="s">
        <v>98</v>
      </c>
      <c r="C434" s="11">
        <v>19</v>
      </c>
      <c r="D434" s="12">
        <v>45706</v>
      </c>
      <c r="E434" s="12">
        <f t="shared" si="12"/>
        <v>45748</v>
      </c>
      <c r="F434">
        <f t="shared" si="13"/>
        <v>42</v>
      </c>
    </row>
    <row r="435" spans="1:6">
      <c r="A435">
        <v>434</v>
      </c>
      <c r="B435" t="s">
        <v>106</v>
      </c>
      <c r="C435" s="11">
        <v>19</v>
      </c>
      <c r="D435" s="12">
        <v>45743</v>
      </c>
      <c r="E435" s="12">
        <f t="shared" si="12"/>
        <v>45785</v>
      </c>
      <c r="F435">
        <f t="shared" si="13"/>
        <v>42</v>
      </c>
    </row>
    <row r="436" spans="1:6">
      <c r="A436">
        <v>435</v>
      </c>
      <c r="B436" t="s">
        <v>66</v>
      </c>
      <c r="C436" s="11">
        <v>54</v>
      </c>
      <c r="D436" s="12">
        <v>45783</v>
      </c>
      <c r="E436" s="12">
        <f t="shared" si="12"/>
        <v>45825</v>
      </c>
      <c r="F436">
        <f t="shared" si="13"/>
        <v>42</v>
      </c>
    </row>
    <row r="437" spans="1:6">
      <c r="A437">
        <v>436</v>
      </c>
      <c r="B437" t="s">
        <v>66</v>
      </c>
      <c r="C437" s="11">
        <v>54</v>
      </c>
      <c r="D437" s="12">
        <v>45748</v>
      </c>
      <c r="E437" s="12">
        <f t="shared" si="12"/>
        <v>45790</v>
      </c>
      <c r="F437">
        <f t="shared" si="13"/>
        <v>42</v>
      </c>
    </row>
    <row r="438" spans="1:6">
      <c r="A438">
        <v>437</v>
      </c>
      <c r="B438" t="s">
        <v>112</v>
      </c>
      <c r="C438" s="11">
        <v>70</v>
      </c>
      <c r="D438" s="12">
        <v>45690</v>
      </c>
      <c r="E438" s="12">
        <f t="shared" si="12"/>
        <v>45732</v>
      </c>
      <c r="F438">
        <f t="shared" si="13"/>
        <v>42</v>
      </c>
    </row>
    <row r="439" spans="1:6">
      <c r="A439">
        <v>438</v>
      </c>
      <c r="B439" t="s">
        <v>98</v>
      </c>
      <c r="C439" s="11">
        <v>19</v>
      </c>
      <c r="D439" s="12">
        <v>45706</v>
      </c>
      <c r="E439" s="12">
        <f t="shared" si="12"/>
        <v>45748</v>
      </c>
      <c r="F439">
        <f t="shared" si="13"/>
        <v>42</v>
      </c>
    </row>
    <row r="440" spans="1:6">
      <c r="A440">
        <v>439</v>
      </c>
      <c r="B440" t="s">
        <v>98</v>
      </c>
      <c r="C440" s="11">
        <v>19</v>
      </c>
      <c r="D440" s="12">
        <v>45706</v>
      </c>
      <c r="E440" s="12">
        <f t="shared" si="12"/>
        <v>45748</v>
      </c>
      <c r="F440">
        <f t="shared" si="13"/>
        <v>42</v>
      </c>
    </row>
    <row r="441" spans="1:6">
      <c r="A441">
        <v>440</v>
      </c>
      <c r="B441" t="s">
        <v>106</v>
      </c>
      <c r="C441" s="11">
        <v>19</v>
      </c>
      <c r="D441" s="12">
        <v>45730</v>
      </c>
      <c r="E441" s="12">
        <f t="shared" si="12"/>
        <v>45772</v>
      </c>
      <c r="F441">
        <f t="shared" si="13"/>
        <v>42</v>
      </c>
    </row>
    <row r="442" spans="1:6">
      <c r="A442">
        <v>441</v>
      </c>
      <c r="B442" t="s">
        <v>106</v>
      </c>
      <c r="C442" s="11">
        <v>19</v>
      </c>
      <c r="D442" s="12">
        <v>45743</v>
      </c>
      <c r="E442" s="12">
        <f t="shared" si="12"/>
        <v>45785</v>
      </c>
      <c r="F442">
        <f t="shared" si="13"/>
        <v>42</v>
      </c>
    </row>
    <row r="443" spans="1:6">
      <c r="A443">
        <v>442</v>
      </c>
      <c r="B443" t="s">
        <v>111</v>
      </c>
      <c r="C443" s="11">
        <v>22</v>
      </c>
      <c r="D443" s="12">
        <v>45736</v>
      </c>
      <c r="E443" s="12">
        <f t="shared" si="12"/>
        <v>45778</v>
      </c>
      <c r="F443">
        <f t="shared" si="13"/>
        <v>42</v>
      </c>
    </row>
    <row r="444" spans="1:6">
      <c r="A444">
        <v>443</v>
      </c>
      <c r="B444" t="s">
        <v>111</v>
      </c>
      <c r="C444" s="11">
        <v>67</v>
      </c>
      <c r="D444" s="12">
        <v>45699</v>
      </c>
      <c r="E444" s="12">
        <f t="shared" si="12"/>
        <v>45741</v>
      </c>
      <c r="F444">
        <f t="shared" si="13"/>
        <v>42</v>
      </c>
    </row>
    <row r="445" spans="1:6">
      <c r="A445">
        <v>444</v>
      </c>
      <c r="B445" t="s">
        <v>111</v>
      </c>
      <c r="C445" s="11">
        <v>67</v>
      </c>
      <c r="D445" s="12">
        <v>45699</v>
      </c>
      <c r="E445" s="12">
        <f t="shared" si="12"/>
        <v>45741</v>
      </c>
      <c r="F445">
        <f t="shared" si="13"/>
        <v>42</v>
      </c>
    </row>
    <row r="446" spans="1:6">
      <c r="A446">
        <v>445</v>
      </c>
      <c r="B446" t="s">
        <v>111</v>
      </c>
      <c r="C446" s="11">
        <v>67</v>
      </c>
      <c r="D446" s="12">
        <v>45699</v>
      </c>
      <c r="E446" s="12">
        <f t="shared" si="12"/>
        <v>45741</v>
      </c>
      <c r="F446">
        <f t="shared" si="13"/>
        <v>42</v>
      </c>
    </row>
    <row r="447" spans="1:6">
      <c r="A447">
        <v>446</v>
      </c>
      <c r="B447" t="s">
        <v>111</v>
      </c>
      <c r="C447" s="11">
        <v>67</v>
      </c>
      <c r="D447" s="12">
        <v>45699</v>
      </c>
      <c r="E447" s="12">
        <f t="shared" si="12"/>
        <v>45741</v>
      </c>
      <c r="F447">
        <f t="shared" si="13"/>
        <v>42</v>
      </c>
    </row>
    <row r="448" spans="1:6">
      <c r="A448">
        <v>447</v>
      </c>
      <c r="B448" t="s">
        <v>77</v>
      </c>
      <c r="C448" s="11">
        <v>18</v>
      </c>
      <c r="D448" s="12">
        <v>45671</v>
      </c>
      <c r="E448" s="12">
        <f t="shared" si="12"/>
        <v>45713</v>
      </c>
      <c r="F448">
        <f t="shared" si="13"/>
        <v>42</v>
      </c>
    </row>
    <row r="449" spans="1:6">
      <c r="A449">
        <v>448</v>
      </c>
      <c r="B449" t="s">
        <v>98</v>
      </c>
      <c r="C449" s="11">
        <v>19</v>
      </c>
      <c r="D449" s="12">
        <v>45706</v>
      </c>
      <c r="E449" s="12">
        <f t="shared" si="12"/>
        <v>45748</v>
      </c>
      <c r="F449">
        <f t="shared" si="13"/>
        <v>42</v>
      </c>
    </row>
    <row r="450" spans="1:6">
      <c r="A450">
        <v>449</v>
      </c>
      <c r="B450" t="s">
        <v>65</v>
      </c>
      <c r="C450" s="11">
        <v>19</v>
      </c>
      <c r="D450" s="12">
        <v>45755</v>
      </c>
      <c r="E450" s="12">
        <f t="shared" ref="E450:E513" si="14">D450+6*7</f>
        <v>45797</v>
      </c>
      <c r="F450">
        <f t="shared" ref="F450:F513" si="15">E450-D450</f>
        <v>42</v>
      </c>
    </row>
    <row r="451" spans="1:6">
      <c r="A451">
        <v>450</v>
      </c>
      <c r="B451" t="s">
        <v>65</v>
      </c>
      <c r="C451" s="11">
        <v>19</v>
      </c>
      <c r="D451" s="12">
        <v>45755</v>
      </c>
      <c r="E451" s="12">
        <f t="shared" si="14"/>
        <v>45797</v>
      </c>
      <c r="F451">
        <f t="shared" si="15"/>
        <v>42</v>
      </c>
    </row>
    <row r="452" spans="1:6">
      <c r="A452">
        <v>451</v>
      </c>
      <c r="B452" t="s">
        <v>65</v>
      </c>
      <c r="C452" s="11">
        <v>19</v>
      </c>
      <c r="D452" s="12">
        <v>45755</v>
      </c>
      <c r="E452" s="12">
        <f t="shared" si="14"/>
        <v>45797</v>
      </c>
      <c r="F452">
        <f t="shared" si="15"/>
        <v>42</v>
      </c>
    </row>
    <row r="453" spans="1:6">
      <c r="A453">
        <v>452</v>
      </c>
      <c r="B453" t="s">
        <v>65</v>
      </c>
      <c r="C453" s="11">
        <v>19</v>
      </c>
      <c r="D453" s="12">
        <v>45755</v>
      </c>
      <c r="E453" s="12">
        <f t="shared" si="14"/>
        <v>45797</v>
      </c>
      <c r="F453">
        <f t="shared" si="15"/>
        <v>42</v>
      </c>
    </row>
    <row r="454" spans="1:6">
      <c r="A454">
        <v>453</v>
      </c>
      <c r="B454" t="s">
        <v>98</v>
      </c>
      <c r="C454" s="11">
        <v>19</v>
      </c>
      <c r="D454" s="12">
        <v>45706</v>
      </c>
      <c r="E454" s="12">
        <f t="shared" si="14"/>
        <v>45748</v>
      </c>
      <c r="F454">
        <f t="shared" si="15"/>
        <v>42</v>
      </c>
    </row>
    <row r="455" spans="1:6">
      <c r="A455">
        <v>454</v>
      </c>
      <c r="B455" t="s">
        <v>98</v>
      </c>
      <c r="C455" s="11">
        <v>19</v>
      </c>
      <c r="D455" s="12">
        <v>45706</v>
      </c>
      <c r="E455" s="12">
        <f t="shared" si="14"/>
        <v>45748</v>
      </c>
      <c r="F455">
        <f t="shared" si="15"/>
        <v>42</v>
      </c>
    </row>
    <row r="456" spans="1:6">
      <c r="A456">
        <v>455</v>
      </c>
      <c r="B456" t="s">
        <v>108</v>
      </c>
      <c r="C456" s="11">
        <v>108</v>
      </c>
      <c r="D456" s="12">
        <v>45748</v>
      </c>
      <c r="E456" s="12">
        <f t="shared" si="14"/>
        <v>45790</v>
      </c>
      <c r="F456">
        <f t="shared" si="15"/>
        <v>42</v>
      </c>
    </row>
    <row r="457" spans="1:6">
      <c r="A457">
        <v>456</v>
      </c>
      <c r="B457" t="s">
        <v>108</v>
      </c>
      <c r="C457" s="11">
        <v>108</v>
      </c>
      <c r="D457" s="12">
        <v>45748</v>
      </c>
      <c r="E457" s="12">
        <f t="shared" si="14"/>
        <v>45790</v>
      </c>
      <c r="F457">
        <f t="shared" si="15"/>
        <v>42</v>
      </c>
    </row>
    <row r="458" spans="1:6">
      <c r="A458">
        <v>457</v>
      </c>
      <c r="B458" t="s">
        <v>65</v>
      </c>
      <c r="C458" s="11">
        <v>19</v>
      </c>
      <c r="D458" s="12">
        <v>45755</v>
      </c>
      <c r="E458" s="12">
        <f t="shared" si="14"/>
        <v>45797</v>
      </c>
      <c r="F458">
        <f t="shared" si="15"/>
        <v>42</v>
      </c>
    </row>
    <row r="459" spans="1:6">
      <c r="A459">
        <v>458</v>
      </c>
      <c r="B459" t="s">
        <v>112</v>
      </c>
      <c r="C459" s="11">
        <v>70</v>
      </c>
      <c r="D459" s="12">
        <v>45690</v>
      </c>
      <c r="E459" s="12">
        <f t="shared" si="14"/>
        <v>45732</v>
      </c>
      <c r="F459">
        <f t="shared" si="15"/>
        <v>42</v>
      </c>
    </row>
    <row r="460" spans="1:6">
      <c r="A460">
        <v>459</v>
      </c>
      <c r="B460" t="s">
        <v>98</v>
      </c>
      <c r="C460" s="11">
        <v>19</v>
      </c>
      <c r="D460" s="12">
        <v>45706</v>
      </c>
      <c r="E460" s="12">
        <f t="shared" si="14"/>
        <v>45748</v>
      </c>
      <c r="F460">
        <f t="shared" si="15"/>
        <v>42</v>
      </c>
    </row>
    <row r="461" spans="1:6">
      <c r="A461">
        <v>460</v>
      </c>
      <c r="B461" t="s">
        <v>94</v>
      </c>
      <c r="C461" s="11">
        <v>99</v>
      </c>
      <c r="D461" s="12">
        <v>45718</v>
      </c>
      <c r="E461" s="12">
        <f t="shared" si="14"/>
        <v>45760</v>
      </c>
      <c r="F461">
        <f t="shared" si="15"/>
        <v>42</v>
      </c>
    </row>
    <row r="462" spans="1:6">
      <c r="A462">
        <v>461</v>
      </c>
      <c r="B462" t="s">
        <v>106</v>
      </c>
      <c r="C462" s="11">
        <v>19</v>
      </c>
      <c r="D462" s="12">
        <v>45743</v>
      </c>
      <c r="E462" s="12">
        <f t="shared" si="14"/>
        <v>45785</v>
      </c>
      <c r="F462">
        <f t="shared" si="15"/>
        <v>42</v>
      </c>
    </row>
    <row r="463" spans="1:6">
      <c r="A463">
        <v>462</v>
      </c>
      <c r="B463" t="s">
        <v>108</v>
      </c>
      <c r="C463" s="11">
        <v>108</v>
      </c>
      <c r="D463" s="12">
        <v>45748</v>
      </c>
      <c r="E463" s="12">
        <f t="shared" si="14"/>
        <v>45790</v>
      </c>
      <c r="F463">
        <f t="shared" si="15"/>
        <v>42</v>
      </c>
    </row>
    <row r="464" spans="1:6">
      <c r="A464">
        <v>463</v>
      </c>
      <c r="B464" t="s">
        <v>65</v>
      </c>
      <c r="C464" s="11">
        <v>19</v>
      </c>
      <c r="D464" s="12">
        <v>45755</v>
      </c>
      <c r="E464" s="12">
        <f t="shared" si="14"/>
        <v>45797</v>
      </c>
      <c r="F464">
        <f t="shared" si="15"/>
        <v>42</v>
      </c>
    </row>
    <row r="465" spans="1:6">
      <c r="A465">
        <v>464</v>
      </c>
      <c r="B465" t="s">
        <v>77</v>
      </c>
      <c r="C465" s="11">
        <v>18</v>
      </c>
      <c r="D465" s="12">
        <v>45671</v>
      </c>
      <c r="E465" s="12">
        <f t="shared" si="14"/>
        <v>45713</v>
      </c>
      <c r="F465">
        <f t="shared" si="15"/>
        <v>42</v>
      </c>
    </row>
    <row r="466" spans="1:6">
      <c r="A466">
        <v>465</v>
      </c>
      <c r="B466" t="s">
        <v>98</v>
      </c>
      <c r="C466" s="11">
        <v>19</v>
      </c>
      <c r="D466" s="12">
        <v>45706</v>
      </c>
      <c r="E466" s="12">
        <f t="shared" si="14"/>
        <v>45748</v>
      </c>
      <c r="F466">
        <f t="shared" si="15"/>
        <v>42</v>
      </c>
    </row>
    <row r="467" spans="1:6">
      <c r="A467">
        <v>466</v>
      </c>
      <c r="B467" t="s">
        <v>98</v>
      </c>
      <c r="C467" s="11">
        <v>19</v>
      </c>
      <c r="D467" s="12">
        <v>45706</v>
      </c>
      <c r="E467" s="12">
        <f t="shared" si="14"/>
        <v>45748</v>
      </c>
      <c r="F467">
        <f t="shared" si="15"/>
        <v>42</v>
      </c>
    </row>
    <row r="468" spans="1:6">
      <c r="A468">
        <v>467</v>
      </c>
      <c r="B468" t="s">
        <v>106</v>
      </c>
      <c r="C468" s="11">
        <v>19</v>
      </c>
      <c r="D468" s="12">
        <v>45743</v>
      </c>
      <c r="E468" s="12">
        <f t="shared" si="14"/>
        <v>45785</v>
      </c>
      <c r="F468">
        <f t="shared" si="15"/>
        <v>42</v>
      </c>
    </row>
    <row r="469" spans="1:6">
      <c r="A469">
        <v>468</v>
      </c>
      <c r="B469" t="s">
        <v>106</v>
      </c>
      <c r="C469" s="11">
        <v>19</v>
      </c>
      <c r="D469" s="12">
        <v>45743</v>
      </c>
      <c r="E469" s="12">
        <f t="shared" si="14"/>
        <v>45785</v>
      </c>
      <c r="F469">
        <f t="shared" si="15"/>
        <v>42</v>
      </c>
    </row>
    <row r="470" spans="1:6">
      <c r="A470">
        <v>469</v>
      </c>
      <c r="B470" t="s">
        <v>106</v>
      </c>
      <c r="C470" s="11">
        <v>19</v>
      </c>
      <c r="D470" s="12">
        <v>45743</v>
      </c>
      <c r="E470" s="12">
        <f t="shared" si="14"/>
        <v>45785</v>
      </c>
      <c r="F470">
        <f t="shared" si="15"/>
        <v>42</v>
      </c>
    </row>
    <row r="471" spans="1:6">
      <c r="A471">
        <v>470</v>
      </c>
      <c r="B471" t="s">
        <v>65</v>
      </c>
      <c r="C471" s="11">
        <v>19</v>
      </c>
      <c r="D471" s="12">
        <v>45755</v>
      </c>
      <c r="E471" s="12">
        <f t="shared" si="14"/>
        <v>45797</v>
      </c>
      <c r="F471">
        <f t="shared" si="15"/>
        <v>42</v>
      </c>
    </row>
    <row r="472" spans="1:6">
      <c r="A472">
        <v>471</v>
      </c>
      <c r="B472" t="s">
        <v>65</v>
      </c>
      <c r="C472" s="11">
        <v>19</v>
      </c>
      <c r="D472" s="12">
        <v>45755</v>
      </c>
      <c r="E472" s="12">
        <f t="shared" si="14"/>
        <v>45797</v>
      </c>
      <c r="F472">
        <f t="shared" si="15"/>
        <v>42</v>
      </c>
    </row>
    <row r="473" spans="1:6">
      <c r="A473">
        <v>472</v>
      </c>
      <c r="B473" t="s">
        <v>65</v>
      </c>
      <c r="C473" s="11">
        <v>19</v>
      </c>
      <c r="D473" s="12">
        <v>45755</v>
      </c>
      <c r="E473" s="12">
        <f t="shared" si="14"/>
        <v>45797</v>
      </c>
      <c r="F473">
        <f t="shared" si="15"/>
        <v>42</v>
      </c>
    </row>
    <row r="474" spans="1:6">
      <c r="A474">
        <v>473</v>
      </c>
      <c r="B474" t="s">
        <v>85</v>
      </c>
      <c r="C474" s="11">
        <v>19</v>
      </c>
      <c r="D474" s="12">
        <v>45761</v>
      </c>
      <c r="E474" s="12">
        <f t="shared" si="14"/>
        <v>45803</v>
      </c>
      <c r="F474">
        <f t="shared" si="15"/>
        <v>42</v>
      </c>
    </row>
    <row r="475" spans="1:6">
      <c r="A475">
        <v>474</v>
      </c>
      <c r="B475" t="s">
        <v>80</v>
      </c>
      <c r="C475" s="11">
        <v>19</v>
      </c>
      <c r="D475" s="12">
        <v>45722</v>
      </c>
      <c r="E475" s="12">
        <f t="shared" si="14"/>
        <v>45764</v>
      </c>
      <c r="F475">
        <f t="shared" si="15"/>
        <v>42</v>
      </c>
    </row>
    <row r="476" spans="1:6">
      <c r="A476">
        <v>475</v>
      </c>
      <c r="B476" t="s">
        <v>99</v>
      </c>
      <c r="C476" s="11">
        <v>238</v>
      </c>
      <c r="D476" s="12">
        <v>45755</v>
      </c>
      <c r="E476" s="12">
        <f t="shared" si="14"/>
        <v>45797</v>
      </c>
      <c r="F476">
        <f t="shared" si="15"/>
        <v>42</v>
      </c>
    </row>
    <row r="477" spans="1:6">
      <c r="A477">
        <v>476</v>
      </c>
      <c r="B477" t="s">
        <v>77</v>
      </c>
      <c r="C477" s="11">
        <v>18</v>
      </c>
      <c r="D477" s="12">
        <v>45671</v>
      </c>
      <c r="E477" s="12">
        <f t="shared" si="14"/>
        <v>45713</v>
      </c>
      <c r="F477">
        <f t="shared" si="15"/>
        <v>42</v>
      </c>
    </row>
    <row r="478" spans="1:6">
      <c r="A478">
        <v>477</v>
      </c>
      <c r="B478" t="s">
        <v>98</v>
      </c>
      <c r="C478" s="11">
        <v>19</v>
      </c>
      <c r="D478" s="12">
        <v>45706</v>
      </c>
      <c r="E478" s="12">
        <f t="shared" si="14"/>
        <v>45748</v>
      </c>
      <c r="F478">
        <f t="shared" si="15"/>
        <v>42</v>
      </c>
    </row>
    <row r="479" spans="1:6">
      <c r="A479">
        <v>478</v>
      </c>
      <c r="B479" t="s">
        <v>98</v>
      </c>
      <c r="C479" s="11">
        <v>19</v>
      </c>
      <c r="D479" s="12">
        <v>45706</v>
      </c>
      <c r="E479" s="12">
        <f t="shared" si="14"/>
        <v>45748</v>
      </c>
      <c r="F479">
        <f t="shared" si="15"/>
        <v>42</v>
      </c>
    </row>
    <row r="480" spans="1:6">
      <c r="A480">
        <v>479</v>
      </c>
      <c r="B480" t="s">
        <v>98</v>
      </c>
      <c r="C480" s="11">
        <v>19</v>
      </c>
      <c r="D480" s="12">
        <v>45706</v>
      </c>
      <c r="E480" s="12">
        <f t="shared" si="14"/>
        <v>45748</v>
      </c>
      <c r="F480">
        <f t="shared" si="15"/>
        <v>42</v>
      </c>
    </row>
    <row r="481" spans="1:6">
      <c r="A481">
        <v>480</v>
      </c>
      <c r="B481" t="s">
        <v>106</v>
      </c>
      <c r="C481" s="11">
        <v>18.524000000000001</v>
      </c>
      <c r="D481" s="12">
        <v>45770</v>
      </c>
      <c r="E481" s="12">
        <f t="shared" si="14"/>
        <v>45812</v>
      </c>
      <c r="F481">
        <f t="shared" si="15"/>
        <v>42</v>
      </c>
    </row>
    <row r="482" spans="1:6">
      <c r="A482">
        <v>481</v>
      </c>
      <c r="B482" t="s">
        <v>77</v>
      </c>
      <c r="C482" s="11">
        <v>18</v>
      </c>
      <c r="D482" s="12">
        <v>45754</v>
      </c>
      <c r="E482" s="12">
        <f t="shared" si="14"/>
        <v>45796</v>
      </c>
      <c r="F482">
        <f t="shared" si="15"/>
        <v>42</v>
      </c>
    </row>
    <row r="483" spans="1:6">
      <c r="A483">
        <v>482</v>
      </c>
      <c r="B483" t="s">
        <v>65</v>
      </c>
      <c r="C483" s="11">
        <v>38</v>
      </c>
      <c r="D483" s="12">
        <v>45790</v>
      </c>
      <c r="E483" s="12">
        <f t="shared" si="14"/>
        <v>45832</v>
      </c>
      <c r="F483">
        <f t="shared" si="15"/>
        <v>42</v>
      </c>
    </row>
    <row r="484" spans="1:6">
      <c r="A484">
        <v>483</v>
      </c>
      <c r="B484" t="s">
        <v>65</v>
      </c>
      <c r="C484" s="11">
        <v>19</v>
      </c>
      <c r="D484" s="12">
        <v>45755</v>
      </c>
      <c r="E484" s="12">
        <f t="shared" si="14"/>
        <v>45797</v>
      </c>
      <c r="F484">
        <f t="shared" si="15"/>
        <v>42</v>
      </c>
    </row>
    <row r="485" spans="1:6">
      <c r="A485">
        <v>484</v>
      </c>
      <c r="B485" t="s">
        <v>85</v>
      </c>
      <c r="C485" s="11">
        <v>19</v>
      </c>
      <c r="D485" s="12">
        <v>45761</v>
      </c>
      <c r="E485" s="12">
        <f t="shared" si="14"/>
        <v>45803</v>
      </c>
      <c r="F485">
        <f t="shared" si="15"/>
        <v>42</v>
      </c>
    </row>
    <row r="486" spans="1:6">
      <c r="A486">
        <v>485</v>
      </c>
      <c r="B486" t="s">
        <v>64</v>
      </c>
      <c r="C486" s="11">
        <v>37</v>
      </c>
      <c r="D486" s="12">
        <v>45793</v>
      </c>
      <c r="E486" s="12">
        <f t="shared" si="14"/>
        <v>45835</v>
      </c>
      <c r="F486">
        <f t="shared" si="15"/>
        <v>42</v>
      </c>
    </row>
    <row r="487" spans="1:6">
      <c r="A487">
        <v>486</v>
      </c>
      <c r="B487" t="s">
        <v>77</v>
      </c>
      <c r="C487" s="11">
        <v>18</v>
      </c>
      <c r="D487" s="12">
        <v>45671</v>
      </c>
      <c r="E487" s="12">
        <f t="shared" si="14"/>
        <v>45713</v>
      </c>
      <c r="F487">
        <f t="shared" si="15"/>
        <v>42</v>
      </c>
    </row>
    <row r="488" spans="1:6">
      <c r="A488">
        <v>487</v>
      </c>
      <c r="B488" t="s">
        <v>106</v>
      </c>
      <c r="C488" s="11">
        <v>19</v>
      </c>
      <c r="D488" s="12">
        <v>45743</v>
      </c>
      <c r="E488" s="12">
        <f t="shared" si="14"/>
        <v>45785</v>
      </c>
      <c r="F488">
        <f t="shared" si="15"/>
        <v>42</v>
      </c>
    </row>
    <row r="489" spans="1:6">
      <c r="A489">
        <v>488</v>
      </c>
      <c r="B489" t="s">
        <v>85</v>
      </c>
      <c r="C489" s="11">
        <v>19</v>
      </c>
      <c r="D489" s="12">
        <v>45761</v>
      </c>
      <c r="E489" s="12">
        <f t="shared" si="14"/>
        <v>45803</v>
      </c>
      <c r="F489">
        <f t="shared" si="15"/>
        <v>42</v>
      </c>
    </row>
    <row r="490" spans="1:6">
      <c r="A490">
        <v>489</v>
      </c>
      <c r="B490" t="s">
        <v>64</v>
      </c>
      <c r="C490" s="11">
        <v>37</v>
      </c>
      <c r="D490" s="12">
        <v>45793</v>
      </c>
      <c r="E490" s="12">
        <f t="shared" si="14"/>
        <v>45835</v>
      </c>
      <c r="F490">
        <f t="shared" si="15"/>
        <v>42</v>
      </c>
    </row>
    <row r="491" spans="1:6">
      <c r="A491">
        <v>490</v>
      </c>
      <c r="B491" t="s">
        <v>106</v>
      </c>
      <c r="C491" s="11">
        <v>19</v>
      </c>
      <c r="D491" s="12">
        <v>45743</v>
      </c>
      <c r="E491" s="12">
        <f t="shared" si="14"/>
        <v>45785</v>
      </c>
      <c r="F491">
        <f t="shared" si="15"/>
        <v>42</v>
      </c>
    </row>
    <row r="492" spans="1:6">
      <c r="A492">
        <v>491</v>
      </c>
      <c r="B492" t="s">
        <v>71</v>
      </c>
      <c r="C492" s="11">
        <v>391</v>
      </c>
      <c r="D492" s="12">
        <v>45722</v>
      </c>
      <c r="E492" s="12">
        <f t="shared" si="14"/>
        <v>45764</v>
      </c>
      <c r="F492">
        <f t="shared" si="15"/>
        <v>42</v>
      </c>
    </row>
    <row r="493" spans="1:6">
      <c r="A493">
        <v>492</v>
      </c>
      <c r="B493" t="s">
        <v>112</v>
      </c>
      <c r="C493" s="11">
        <v>70</v>
      </c>
      <c r="D493" s="12">
        <v>45690</v>
      </c>
      <c r="E493" s="12">
        <f t="shared" si="14"/>
        <v>45732</v>
      </c>
      <c r="F493">
        <f t="shared" si="15"/>
        <v>42</v>
      </c>
    </row>
    <row r="494" spans="1:6">
      <c r="A494">
        <v>493</v>
      </c>
      <c r="B494" t="s">
        <v>111</v>
      </c>
      <c r="C494" s="11">
        <v>67</v>
      </c>
      <c r="D494" s="12">
        <v>45699</v>
      </c>
      <c r="E494" s="12">
        <f t="shared" si="14"/>
        <v>45741</v>
      </c>
      <c r="F494">
        <f t="shared" si="15"/>
        <v>42</v>
      </c>
    </row>
    <row r="495" spans="1:6">
      <c r="A495">
        <v>494</v>
      </c>
      <c r="B495" t="s">
        <v>98</v>
      </c>
      <c r="C495" s="11">
        <v>19</v>
      </c>
      <c r="D495" s="12">
        <v>45706</v>
      </c>
      <c r="E495" s="12">
        <f t="shared" si="14"/>
        <v>45748</v>
      </c>
      <c r="F495">
        <f t="shared" si="15"/>
        <v>42</v>
      </c>
    </row>
    <row r="496" spans="1:6">
      <c r="A496">
        <v>495</v>
      </c>
      <c r="B496" t="s">
        <v>89</v>
      </c>
      <c r="C496" s="11">
        <v>25</v>
      </c>
      <c r="D496" s="12">
        <v>45708</v>
      </c>
      <c r="E496" s="12">
        <f t="shared" si="14"/>
        <v>45750</v>
      </c>
      <c r="F496">
        <f t="shared" si="15"/>
        <v>42</v>
      </c>
    </row>
    <row r="497" spans="1:6">
      <c r="A497">
        <v>496</v>
      </c>
      <c r="B497" t="s">
        <v>106</v>
      </c>
      <c r="C497" s="11">
        <v>19</v>
      </c>
      <c r="D497" s="12">
        <v>45743</v>
      </c>
      <c r="E497" s="12">
        <f t="shared" si="14"/>
        <v>45785</v>
      </c>
      <c r="F497">
        <f t="shared" si="15"/>
        <v>42</v>
      </c>
    </row>
    <row r="498" spans="1:6">
      <c r="A498">
        <v>497</v>
      </c>
      <c r="B498" t="s">
        <v>69</v>
      </c>
      <c r="C498" s="11">
        <v>19</v>
      </c>
      <c r="D498" s="12">
        <v>45730</v>
      </c>
      <c r="E498" s="12">
        <f t="shared" si="14"/>
        <v>45772</v>
      </c>
      <c r="F498">
        <f t="shared" si="15"/>
        <v>42</v>
      </c>
    </row>
    <row r="499" spans="1:6">
      <c r="A499">
        <v>498</v>
      </c>
      <c r="B499" t="s">
        <v>69</v>
      </c>
      <c r="C499" s="11">
        <v>19</v>
      </c>
      <c r="D499" s="12">
        <v>45730</v>
      </c>
      <c r="E499" s="12">
        <f t="shared" si="14"/>
        <v>45772</v>
      </c>
      <c r="F499">
        <f t="shared" si="15"/>
        <v>42</v>
      </c>
    </row>
    <row r="500" spans="1:6">
      <c r="A500">
        <v>499</v>
      </c>
      <c r="B500" t="s">
        <v>83</v>
      </c>
      <c r="C500" s="11">
        <v>148</v>
      </c>
      <c r="D500" s="12">
        <v>45742</v>
      </c>
      <c r="E500" s="12">
        <f t="shared" si="14"/>
        <v>45784</v>
      </c>
      <c r="F500">
        <f t="shared" si="15"/>
        <v>42</v>
      </c>
    </row>
    <row r="501" spans="1:6">
      <c r="A501">
        <v>500</v>
      </c>
      <c r="B501" t="s">
        <v>65</v>
      </c>
      <c r="C501" s="11">
        <v>19</v>
      </c>
      <c r="D501" s="12">
        <v>45755</v>
      </c>
      <c r="E501" s="12">
        <f t="shared" si="14"/>
        <v>45797</v>
      </c>
      <c r="F501">
        <f t="shared" si="15"/>
        <v>42</v>
      </c>
    </row>
    <row r="502" spans="1:6">
      <c r="A502">
        <v>501</v>
      </c>
      <c r="B502" t="s">
        <v>85</v>
      </c>
      <c r="C502" s="11">
        <v>19</v>
      </c>
      <c r="D502" s="12">
        <v>45761</v>
      </c>
      <c r="E502" s="12">
        <f t="shared" si="14"/>
        <v>45803</v>
      </c>
      <c r="F502">
        <f t="shared" si="15"/>
        <v>42</v>
      </c>
    </row>
    <row r="503" spans="1:6">
      <c r="A503">
        <v>502</v>
      </c>
      <c r="B503" t="s">
        <v>64</v>
      </c>
      <c r="C503" s="11">
        <v>37</v>
      </c>
      <c r="D503" s="12">
        <v>45793</v>
      </c>
      <c r="E503" s="12">
        <f t="shared" si="14"/>
        <v>45835</v>
      </c>
      <c r="F503">
        <f t="shared" si="15"/>
        <v>42</v>
      </c>
    </row>
    <row r="504" spans="1:6">
      <c r="A504">
        <v>503</v>
      </c>
      <c r="B504" t="s">
        <v>101</v>
      </c>
      <c r="C504" s="11">
        <v>198</v>
      </c>
      <c r="D504" s="12">
        <v>45723</v>
      </c>
      <c r="E504" s="12">
        <f t="shared" si="14"/>
        <v>45765</v>
      </c>
      <c r="F504">
        <f t="shared" si="15"/>
        <v>42</v>
      </c>
    </row>
    <row r="505" spans="1:6">
      <c r="A505">
        <v>504</v>
      </c>
      <c r="B505" t="s">
        <v>99</v>
      </c>
      <c r="C505" s="11">
        <v>143</v>
      </c>
      <c r="D505" s="12">
        <v>45791</v>
      </c>
      <c r="E505" s="12">
        <f t="shared" si="14"/>
        <v>45833</v>
      </c>
      <c r="F505">
        <f t="shared" si="15"/>
        <v>42</v>
      </c>
    </row>
    <row r="506" spans="1:6">
      <c r="A506">
        <v>505</v>
      </c>
      <c r="B506" t="s">
        <v>98</v>
      </c>
      <c r="C506" s="11">
        <v>19</v>
      </c>
      <c r="D506" s="12">
        <v>45706</v>
      </c>
      <c r="E506" s="12">
        <f t="shared" si="14"/>
        <v>45748</v>
      </c>
      <c r="F506">
        <f t="shared" si="15"/>
        <v>42</v>
      </c>
    </row>
    <row r="507" spans="1:6">
      <c r="A507">
        <v>506</v>
      </c>
      <c r="B507" t="s">
        <v>98</v>
      </c>
      <c r="C507" s="11">
        <v>19</v>
      </c>
      <c r="D507" s="12">
        <v>45706</v>
      </c>
      <c r="E507" s="12">
        <f t="shared" si="14"/>
        <v>45748</v>
      </c>
      <c r="F507">
        <f t="shared" si="15"/>
        <v>42</v>
      </c>
    </row>
    <row r="508" spans="1:6">
      <c r="A508">
        <v>507</v>
      </c>
      <c r="B508" t="s">
        <v>106</v>
      </c>
      <c r="C508" s="11">
        <v>19</v>
      </c>
      <c r="D508" s="12">
        <v>45743</v>
      </c>
      <c r="E508" s="12">
        <f t="shared" si="14"/>
        <v>45785</v>
      </c>
      <c r="F508">
        <f t="shared" si="15"/>
        <v>42</v>
      </c>
    </row>
    <row r="509" spans="1:6">
      <c r="A509">
        <v>508</v>
      </c>
      <c r="B509" t="s">
        <v>106</v>
      </c>
      <c r="C509" s="11">
        <v>19</v>
      </c>
      <c r="D509" s="12">
        <v>45743</v>
      </c>
      <c r="E509" s="12">
        <f t="shared" si="14"/>
        <v>45785</v>
      </c>
      <c r="F509">
        <f t="shared" si="15"/>
        <v>42</v>
      </c>
    </row>
    <row r="510" spans="1:6">
      <c r="A510">
        <v>509</v>
      </c>
      <c r="B510" t="s">
        <v>71</v>
      </c>
      <c r="C510" s="11">
        <v>391</v>
      </c>
      <c r="D510" s="12">
        <v>45722</v>
      </c>
      <c r="E510" s="12">
        <f t="shared" si="14"/>
        <v>45764</v>
      </c>
      <c r="F510">
        <f t="shared" si="15"/>
        <v>42</v>
      </c>
    </row>
    <row r="511" spans="1:6">
      <c r="A511">
        <v>510</v>
      </c>
      <c r="B511" t="s">
        <v>90</v>
      </c>
      <c r="C511" s="11">
        <v>18</v>
      </c>
      <c r="D511" s="12">
        <v>45722</v>
      </c>
      <c r="E511" s="12">
        <f t="shared" si="14"/>
        <v>45764</v>
      </c>
      <c r="F511">
        <f t="shared" si="15"/>
        <v>42</v>
      </c>
    </row>
    <row r="512" spans="1:6">
      <c r="A512">
        <v>511</v>
      </c>
      <c r="B512" t="s">
        <v>69</v>
      </c>
      <c r="C512" s="11">
        <v>19</v>
      </c>
      <c r="D512" s="12">
        <v>45730</v>
      </c>
      <c r="E512" s="12">
        <f t="shared" si="14"/>
        <v>45772</v>
      </c>
      <c r="F512">
        <f t="shared" si="15"/>
        <v>42</v>
      </c>
    </row>
    <row r="513" spans="1:6">
      <c r="A513">
        <v>512</v>
      </c>
      <c r="B513" t="s">
        <v>69</v>
      </c>
      <c r="C513" s="11">
        <v>19</v>
      </c>
      <c r="D513" s="12">
        <v>45730</v>
      </c>
      <c r="E513" s="12">
        <f t="shared" si="14"/>
        <v>45772</v>
      </c>
      <c r="F513">
        <f t="shared" si="15"/>
        <v>42</v>
      </c>
    </row>
    <row r="514" spans="1:6">
      <c r="A514">
        <v>513</v>
      </c>
      <c r="B514" t="s">
        <v>69</v>
      </c>
      <c r="C514" s="11">
        <v>19</v>
      </c>
      <c r="D514" s="12">
        <v>45730</v>
      </c>
      <c r="E514" s="12">
        <f t="shared" ref="E514:E577" si="16">D514+6*7</f>
        <v>45772</v>
      </c>
      <c r="F514">
        <f t="shared" ref="F514:F577" si="17">E514-D514</f>
        <v>42</v>
      </c>
    </row>
    <row r="515" spans="1:6">
      <c r="A515">
        <v>514</v>
      </c>
      <c r="B515" t="s">
        <v>69</v>
      </c>
      <c r="C515" s="11">
        <v>19</v>
      </c>
      <c r="D515" s="12">
        <v>45751</v>
      </c>
      <c r="E515" s="12">
        <f t="shared" si="16"/>
        <v>45793</v>
      </c>
      <c r="F515">
        <f t="shared" si="17"/>
        <v>42</v>
      </c>
    </row>
    <row r="516" spans="1:6">
      <c r="A516">
        <v>515</v>
      </c>
      <c r="B516" t="s">
        <v>69</v>
      </c>
      <c r="C516" s="11">
        <v>19</v>
      </c>
      <c r="D516" s="12">
        <v>45751</v>
      </c>
      <c r="E516" s="12">
        <f t="shared" si="16"/>
        <v>45793</v>
      </c>
      <c r="F516">
        <f t="shared" si="17"/>
        <v>42</v>
      </c>
    </row>
    <row r="517" spans="1:6">
      <c r="A517">
        <v>516</v>
      </c>
      <c r="B517" t="s">
        <v>69</v>
      </c>
      <c r="C517" s="11">
        <v>19</v>
      </c>
      <c r="D517" s="12">
        <v>45751</v>
      </c>
      <c r="E517" s="12">
        <f t="shared" si="16"/>
        <v>45793</v>
      </c>
      <c r="F517">
        <f t="shared" si="17"/>
        <v>42</v>
      </c>
    </row>
    <row r="518" spans="1:6">
      <c r="A518">
        <v>517</v>
      </c>
      <c r="B518" t="s">
        <v>95</v>
      </c>
      <c r="C518" s="11">
        <v>17</v>
      </c>
      <c r="D518" s="12">
        <v>45769</v>
      </c>
      <c r="E518" s="12">
        <f t="shared" si="16"/>
        <v>45811</v>
      </c>
      <c r="F518">
        <f t="shared" si="17"/>
        <v>42</v>
      </c>
    </row>
    <row r="519" spans="1:6">
      <c r="A519">
        <v>518</v>
      </c>
      <c r="B519" t="s">
        <v>110</v>
      </c>
      <c r="C519" s="11">
        <v>36</v>
      </c>
      <c r="D519" s="12">
        <v>45805</v>
      </c>
      <c r="E519" s="12">
        <f t="shared" si="16"/>
        <v>45847</v>
      </c>
      <c r="F519">
        <f t="shared" si="17"/>
        <v>42</v>
      </c>
    </row>
    <row r="520" spans="1:6">
      <c r="A520">
        <v>519</v>
      </c>
      <c r="B520" t="s">
        <v>65</v>
      </c>
      <c r="C520" s="11">
        <v>19</v>
      </c>
      <c r="D520" s="12">
        <v>45792</v>
      </c>
      <c r="E520" s="12">
        <f t="shared" si="16"/>
        <v>45834</v>
      </c>
      <c r="F520">
        <f t="shared" si="17"/>
        <v>42</v>
      </c>
    </row>
    <row r="521" spans="1:6">
      <c r="A521">
        <v>520</v>
      </c>
      <c r="B521" t="s">
        <v>64</v>
      </c>
      <c r="C521" s="11">
        <v>111</v>
      </c>
      <c r="D521" s="12">
        <v>45793</v>
      </c>
      <c r="E521" s="12">
        <f t="shared" si="16"/>
        <v>45835</v>
      </c>
      <c r="F521">
        <f t="shared" si="17"/>
        <v>42</v>
      </c>
    </row>
    <row r="522" spans="1:6">
      <c r="A522">
        <v>521</v>
      </c>
      <c r="B522" t="s">
        <v>64</v>
      </c>
      <c r="C522" s="11">
        <v>111</v>
      </c>
      <c r="D522" s="12">
        <v>45799</v>
      </c>
      <c r="E522" s="12">
        <f t="shared" si="16"/>
        <v>45841</v>
      </c>
      <c r="F522">
        <f t="shared" si="17"/>
        <v>42</v>
      </c>
    </row>
    <row r="523" spans="1:6">
      <c r="A523">
        <v>522</v>
      </c>
      <c r="B523" t="s">
        <v>112</v>
      </c>
      <c r="C523" s="11">
        <v>70</v>
      </c>
      <c r="D523" s="12">
        <v>45690</v>
      </c>
      <c r="E523" s="12">
        <f t="shared" si="16"/>
        <v>45732</v>
      </c>
      <c r="F523">
        <f t="shared" si="17"/>
        <v>42</v>
      </c>
    </row>
    <row r="524" spans="1:6">
      <c r="A524">
        <v>523</v>
      </c>
      <c r="B524" t="s">
        <v>111</v>
      </c>
      <c r="C524" s="11">
        <v>67</v>
      </c>
      <c r="D524" s="12">
        <v>45699</v>
      </c>
      <c r="E524" s="12">
        <f t="shared" si="16"/>
        <v>45741</v>
      </c>
      <c r="F524">
        <f t="shared" si="17"/>
        <v>42</v>
      </c>
    </row>
    <row r="525" spans="1:6">
      <c r="A525">
        <v>524</v>
      </c>
      <c r="B525" t="s">
        <v>106</v>
      </c>
      <c r="C525" s="11">
        <v>19</v>
      </c>
      <c r="D525" s="12">
        <v>45743</v>
      </c>
      <c r="E525" s="12">
        <f t="shared" si="16"/>
        <v>45785</v>
      </c>
      <c r="F525">
        <f t="shared" si="17"/>
        <v>42</v>
      </c>
    </row>
    <row r="526" spans="1:6">
      <c r="A526">
        <v>525</v>
      </c>
      <c r="B526" t="s">
        <v>69</v>
      </c>
      <c r="C526" s="11">
        <v>19</v>
      </c>
      <c r="D526" s="12">
        <v>45730</v>
      </c>
      <c r="E526" s="12">
        <f t="shared" si="16"/>
        <v>45772</v>
      </c>
      <c r="F526">
        <f t="shared" si="17"/>
        <v>42</v>
      </c>
    </row>
    <row r="527" spans="1:6">
      <c r="A527">
        <v>526</v>
      </c>
      <c r="B527" t="s">
        <v>108</v>
      </c>
      <c r="C527" s="11">
        <v>108</v>
      </c>
      <c r="D527" s="12">
        <v>45748</v>
      </c>
      <c r="E527" s="12">
        <f t="shared" si="16"/>
        <v>45790</v>
      </c>
      <c r="F527">
        <f t="shared" si="17"/>
        <v>42</v>
      </c>
    </row>
    <row r="528" spans="1:6">
      <c r="A528">
        <v>527</v>
      </c>
      <c r="B528" t="s">
        <v>108</v>
      </c>
      <c r="C528" s="11">
        <v>108</v>
      </c>
      <c r="D528" s="12">
        <v>45748</v>
      </c>
      <c r="E528" s="12">
        <f t="shared" si="16"/>
        <v>45790</v>
      </c>
      <c r="F528">
        <f t="shared" si="17"/>
        <v>42</v>
      </c>
    </row>
    <row r="529" spans="1:6">
      <c r="A529">
        <v>528</v>
      </c>
      <c r="B529" t="s">
        <v>108</v>
      </c>
      <c r="C529" s="11">
        <v>108</v>
      </c>
      <c r="D529" s="12">
        <v>45748</v>
      </c>
      <c r="E529" s="12">
        <f t="shared" si="16"/>
        <v>45790</v>
      </c>
      <c r="F529">
        <f t="shared" si="17"/>
        <v>42</v>
      </c>
    </row>
    <row r="530" spans="1:6">
      <c r="A530">
        <v>529</v>
      </c>
      <c r="B530" t="s">
        <v>77</v>
      </c>
      <c r="C530" s="11">
        <v>18</v>
      </c>
      <c r="D530" s="12">
        <v>45754</v>
      </c>
      <c r="E530" s="12">
        <f t="shared" si="16"/>
        <v>45796</v>
      </c>
      <c r="F530">
        <f t="shared" si="17"/>
        <v>42</v>
      </c>
    </row>
    <row r="531" spans="1:6">
      <c r="A531">
        <v>530</v>
      </c>
      <c r="B531" t="s">
        <v>85</v>
      </c>
      <c r="C531" s="11">
        <v>19</v>
      </c>
      <c r="D531" s="12">
        <v>45761</v>
      </c>
      <c r="E531" s="12">
        <f t="shared" si="16"/>
        <v>45803</v>
      </c>
      <c r="F531">
        <f t="shared" si="17"/>
        <v>42</v>
      </c>
    </row>
    <row r="532" spans="1:6">
      <c r="A532">
        <v>531</v>
      </c>
      <c r="B532" t="s">
        <v>85</v>
      </c>
      <c r="C532" s="11">
        <v>19</v>
      </c>
      <c r="D532" s="12">
        <v>45761</v>
      </c>
      <c r="E532" s="12">
        <f t="shared" si="16"/>
        <v>45803</v>
      </c>
      <c r="F532">
        <f t="shared" si="17"/>
        <v>42</v>
      </c>
    </row>
    <row r="533" spans="1:6">
      <c r="A533">
        <v>532</v>
      </c>
      <c r="B533" t="s">
        <v>66</v>
      </c>
      <c r="C533" s="11">
        <v>54</v>
      </c>
      <c r="D533" s="12">
        <v>45807</v>
      </c>
      <c r="E533" s="12">
        <f t="shared" si="16"/>
        <v>45849</v>
      </c>
      <c r="F533">
        <f t="shared" si="17"/>
        <v>42</v>
      </c>
    </row>
    <row r="534" spans="1:6">
      <c r="A534">
        <v>533</v>
      </c>
      <c r="B534" t="s">
        <v>66</v>
      </c>
      <c r="C534" s="11">
        <v>54</v>
      </c>
      <c r="D534" s="12">
        <v>45811</v>
      </c>
      <c r="E534" s="12">
        <f t="shared" si="16"/>
        <v>45853</v>
      </c>
      <c r="F534">
        <f t="shared" si="17"/>
        <v>42</v>
      </c>
    </row>
    <row r="535" spans="1:6">
      <c r="A535">
        <v>534</v>
      </c>
      <c r="B535" t="s">
        <v>66</v>
      </c>
      <c r="C535" s="11">
        <v>54</v>
      </c>
      <c r="D535" s="12">
        <v>45807</v>
      </c>
      <c r="E535" s="12">
        <f t="shared" si="16"/>
        <v>45849</v>
      </c>
      <c r="F535">
        <f t="shared" si="17"/>
        <v>42</v>
      </c>
    </row>
    <row r="536" spans="1:6">
      <c r="A536">
        <v>535</v>
      </c>
      <c r="B536" t="s">
        <v>66</v>
      </c>
      <c r="C536" s="11">
        <v>54</v>
      </c>
      <c r="D536" s="12">
        <v>45807</v>
      </c>
      <c r="E536" s="12">
        <f t="shared" si="16"/>
        <v>45849</v>
      </c>
      <c r="F536">
        <f t="shared" si="17"/>
        <v>42</v>
      </c>
    </row>
    <row r="537" spans="1:6">
      <c r="A537">
        <v>536</v>
      </c>
      <c r="B537" t="s">
        <v>106</v>
      </c>
      <c r="C537" s="11">
        <v>19</v>
      </c>
      <c r="D537" s="12">
        <v>45743</v>
      </c>
      <c r="E537" s="12">
        <f t="shared" si="16"/>
        <v>45785</v>
      </c>
      <c r="F537">
        <f t="shared" si="17"/>
        <v>42</v>
      </c>
    </row>
    <row r="538" spans="1:6">
      <c r="A538">
        <v>537</v>
      </c>
      <c r="B538" t="s">
        <v>106</v>
      </c>
      <c r="C538" s="11">
        <v>19</v>
      </c>
      <c r="D538" s="12">
        <v>45743</v>
      </c>
      <c r="E538" s="12">
        <f t="shared" si="16"/>
        <v>45785</v>
      </c>
      <c r="F538">
        <f t="shared" si="17"/>
        <v>42</v>
      </c>
    </row>
    <row r="539" spans="1:6">
      <c r="A539">
        <v>538</v>
      </c>
      <c r="B539" t="s">
        <v>69</v>
      </c>
      <c r="C539" s="11">
        <v>19</v>
      </c>
      <c r="D539" s="12">
        <v>45730</v>
      </c>
      <c r="E539" s="12">
        <f t="shared" si="16"/>
        <v>45772</v>
      </c>
      <c r="F539">
        <f t="shared" si="17"/>
        <v>42</v>
      </c>
    </row>
    <row r="540" spans="1:6">
      <c r="A540">
        <v>539</v>
      </c>
      <c r="B540" t="s">
        <v>69</v>
      </c>
      <c r="C540" s="11">
        <v>19</v>
      </c>
      <c r="D540" s="12">
        <v>45730</v>
      </c>
      <c r="E540" s="12">
        <f t="shared" si="16"/>
        <v>45772</v>
      </c>
      <c r="F540">
        <f t="shared" si="17"/>
        <v>42</v>
      </c>
    </row>
    <row r="541" spans="1:6">
      <c r="A541">
        <v>540</v>
      </c>
      <c r="B541" t="s">
        <v>65</v>
      </c>
      <c r="C541" s="11">
        <v>19</v>
      </c>
      <c r="D541" s="12">
        <v>45755</v>
      </c>
      <c r="E541" s="12">
        <f t="shared" si="16"/>
        <v>45797</v>
      </c>
      <c r="F541">
        <f t="shared" si="17"/>
        <v>42</v>
      </c>
    </row>
    <row r="542" spans="1:6">
      <c r="A542">
        <v>541</v>
      </c>
      <c r="B542" t="s">
        <v>65</v>
      </c>
      <c r="C542" s="11">
        <v>19</v>
      </c>
      <c r="D542" s="12">
        <v>45792</v>
      </c>
      <c r="E542" s="12">
        <f t="shared" si="16"/>
        <v>45834</v>
      </c>
      <c r="F542">
        <f t="shared" si="17"/>
        <v>42</v>
      </c>
    </row>
    <row r="543" spans="1:6">
      <c r="A543">
        <v>542</v>
      </c>
      <c r="B543" t="s">
        <v>64</v>
      </c>
      <c r="C543" s="11">
        <v>111</v>
      </c>
      <c r="D543" s="12">
        <v>45799</v>
      </c>
      <c r="E543" s="12">
        <f t="shared" si="16"/>
        <v>45841</v>
      </c>
      <c r="F543">
        <f t="shared" si="17"/>
        <v>42</v>
      </c>
    </row>
    <row r="544" spans="1:6">
      <c r="A544">
        <v>543</v>
      </c>
      <c r="B544" t="s">
        <v>70</v>
      </c>
      <c r="C544" s="11">
        <v>19</v>
      </c>
      <c r="D544" s="12">
        <v>45772</v>
      </c>
      <c r="E544" s="12">
        <f t="shared" si="16"/>
        <v>45814</v>
      </c>
      <c r="F544">
        <f t="shared" si="17"/>
        <v>42</v>
      </c>
    </row>
    <row r="545" spans="1:6">
      <c r="A545">
        <v>544</v>
      </c>
      <c r="B545" t="s">
        <v>70</v>
      </c>
      <c r="C545" s="11">
        <v>198</v>
      </c>
      <c r="D545" s="12">
        <v>45718</v>
      </c>
      <c r="E545" s="12">
        <f t="shared" si="16"/>
        <v>45760</v>
      </c>
      <c r="F545">
        <f t="shared" si="17"/>
        <v>42</v>
      </c>
    </row>
    <row r="546" spans="1:6">
      <c r="A546">
        <v>545</v>
      </c>
      <c r="B546" t="s">
        <v>71</v>
      </c>
      <c r="C546" s="11">
        <v>391</v>
      </c>
      <c r="D546" s="12">
        <v>45722</v>
      </c>
      <c r="E546" s="12">
        <f t="shared" si="16"/>
        <v>45764</v>
      </c>
      <c r="F546">
        <f t="shared" si="17"/>
        <v>42</v>
      </c>
    </row>
    <row r="547" spans="1:6">
      <c r="A547">
        <v>546</v>
      </c>
      <c r="B547" t="s">
        <v>65</v>
      </c>
      <c r="C547" s="11">
        <v>19</v>
      </c>
      <c r="D547" s="12">
        <v>45792</v>
      </c>
      <c r="E547" s="12">
        <f t="shared" si="16"/>
        <v>45834</v>
      </c>
      <c r="F547">
        <f t="shared" si="17"/>
        <v>42</v>
      </c>
    </row>
    <row r="548" spans="1:6">
      <c r="A548">
        <v>547</v>
      </c>
      <c r="B548" t="s">
        <v>65</v>
      </c>
      <c r="C548" s="11">
        <v>19</v>
      </c>
      <c r="D548" s="12">
        <v>45792</v>
      </c>
      <c r="E548" s="12">
        <f t="shared" si="16"/>
        <v>45834</v>
      </c>
      <c r="F548">
        <f t="shared" si="17"/>
        <v>42</v>
      </c>
    </row>
    <row r="549" spans="1:6">
      <c r="A549">
        <v>548</v>
      </c>
      <c r="B549" t="s">
        <v>64</v>
      </c>
      <c r="C549" s="11">
        <v>111</v>
      </c>
      <c r="D549" s="12">
        <v>45799</v>
      </c>
      <c r="E549" s="12">
        <f t="shared" si="16"/>
        <v>45841</v>
      </c>
      <c r="F549">
        <f t="shared" si="17"/>
        <v>42</v>
      </c>
    </row>
    <row r="550" spans="1:6">
      <c r="A550">
        <v>549</v>
      </c>
      <c r="B550" t="s">
        <v>106</v>
      </c>
      <c r="C550" s="11">
        <v>19</v>
      </c>
      <c r="D550" s="12">
        <v>45743</v>
      </c>
      <c r="E550" s="12">
        <f t="shared" si="16"/>
        <v>45785</v>
      </c>
      <c r="F550">
        <f t="shared" si="17"/>
        <v>42</v>
      </c>
    </row>
    <row r="551" spans="1:6">
      <c r="A551">
        <v>550</v>
      </c>
      <c r="B551" t="s">
        <v>77</v>
      </c>
      <c r="C551" s="11">
        <v>18</v>
      </c>
      <c r="D551" s="12">
        <v>45743</v>
      </c>
      <c r="E551" s="12">
        <f t="shared" si="16"/>
        <v>45785</v>
      </c>
      <c r="F551">
        <f t="shared" si="17"/>
        <v>42</v>
      </c>
    </row>
    <row r="552" spans="1:6">
      <c r="A552">
        <v>551</v>
      </c>
      <c r="B552" t="s">
        <v>77</v>
      </c>
      <c r="C552" s="11">
        <v>18</v>
      </c>
      <c r="D552" s="12">
        <v>45754</v>
      </c>
      <c r="E552" s="12">
        <f t="shared" si="16"/>
        <v>45796</v>
      </c>
      <c r="F552">
        <f t="shared" si="17"/>
        <v>42</v>
      </c>
    </row>
    <row r="553" spans="1:6">
      <c r="A553">
        <v>552</v>
      </c>
      <c r="B553" t="s">
        <v>91</v>
      </c>
      <c r="C553" s="11">
        <v>18</v>
      </c>
      <c r="D553" s="12">
        <v>45754</v>
      </c>
      <c r="E553" s="12">
        <f t="shared" si="16"/>
        <v>45796</v>
      </c>
      <c r="F553">
        <f t="shared" si="17"/>
        <v>42</v>
      </c>
    </row>
    <row r="554" spans="1:6">
      <c r="A554">
        <v>553</v>
      </c>
      <c r="B554" t="s">
        <v>80</v>
      </c>
      <c r="C554" s="11">
        <v>19</v>
      </c>
      <c r="D554" s="12">
        <v>45754</v>
      </c>
      <c r="E554" s="12">
        <f t="shared" si="16"/>
        <v>45796</v>
      </c>
      <c r="F554">
        <f t="shared" si="17"/>
        <v>42</v>
      </c>
    </row>
    <row r="555" spans="1:6">
      <c r="A555">
        <v>554</v>
      </c>
      <c r="B555" t="s">
        <v>80</v>
      </c>
      <c r="C555" s="11">
        <v>19</v>
      </c>
      <c r="D555" s="12">
        <v>45754</v>
      </c>
      <c r="E555" s="12">
        <f t="shared" si="16"/>
        <v>45796</v>
      </c>
      <c r="F555">
        <f t="shared" si="17"/>
        <v>42</v>
      </c>
    </row>
    <row r="556" spans="1:6">
      <c r="A556">
        <v>555</v>
      </c>
      <c r="B556" t="s">
        <v>80</v>
      </c>
      <c r="C556" s="11">
        <v>19</v>
      </c>
      <c r="D556" s="12">
        <v>45754</v>
      </c>
      <c r="E556" s="12">
        <f t="shared" si="16"/>
        <v>45796</v>
      </c>
      <c r="F556">
        <f t="shared" si="17"/>
        <v>42</v>
      </c>
    </row>
    <row r="557" spans="1:6">
      <c r="A557">
        <v>556</v>
      </c>
      <c r="B557" t="s">
        <v>100</v>
      </c>
      <c r="C557" s="11">
        <v>23</v>
      </c>
      <c r="D557" s="12">
        <v>45764</v>
      </c>
      <c r="E557" s="12">
        <f t="shared" si="16"/>
        <v>45806</v>
      </c>
      <c r="F557">
        <f t="shared" si="17"/>
        <v>42</v>
      </c>
    </row>
    <row r="558" spans="1:6">
      <c r="A558">
        <v>557</v>
      </c>
      <c r="B558" t="s">
        <v>99</v>
      </c>
      <c r="C558" s="11">
        <v>238</v>
      </c>
      <c r="D558" s="12">
        <v>45791</v>
      </c>
      <c r="E558" s="12">
        <f t="shared" si="16"/>
        <v>45833</v>
      </c>
      <c r="F558">
        <f t="shared" si="17"/>
        <v>42</v>
      </c>
    </row>
    <row r="559" spans="1:6">
      <c r="A559">
        <v>558</v>
      </c>
      <c r="B559" t="s">
        <v>100</v>
      </c>
      <c r="C559" s="11">
        <v>398</v>
      </c>
      <c r="D559" s="12">
        <v>45803</v>
      </c>
      <c r="E559" s="12">
        <f t="shared" si="16"/>
        <v>45845</v>
      </c>
      <c r="F559">
        <f t="shared" si="17"/>
        <v>42</v>
      </c>
    </row>
    <row r="560" spans="1:6">
      <c r="A560">
        <v>559</v>
      </c>
      <c r="B560" t="s">
        <v>98</v>
      </c>
      <c r="C560" s="11">
        <v>19</v>
      </c>
      <c r="D560" s="12">
        <v>45706</v>
      </c>
      <c r="E560" s="12">
        <f t="shared" si="16"/>
        <v>45748</v>
      </c>
      <c r="F560">
        <f t="shared" si="17"/>
        <v>42</v>
      </c>
    </row>
    <row r="561" spans="1:6">
      <c r="A561">
        <v>560</v>
      </c>
      <c r="B561" t="s">
        <v>106</v>
      </c>
      <c r="C561" s="11">
        <v>19</v>
      </c>
      <c r="D561" s="12">
        <v>45743</v>
      </c>
      <c r="E561" s="12">
        <f t="shared" si="16"/>
        <v>45785</v>
      </c>
      <c r="F561">
        <f t="shared" si="17"/>
        <v>42</v>
      </c>
    </row>
    <row r="562" spans="1:6">
      <c r="A562">
        <v>561</v>
      </c>
      <c r="B562" t="s">
        <v>65</v>
      </c>
      <c r="C562" s="11">
        <v>19</v>
      </c>
      <c r="D562" s="12">
        <v>45792</v>
      </c>
      <c r="E562" s="12">
        <f t="shared" si="16"/>
        <v>45834</v>
      </c>
      <c r="F562">
        <f t="shared" si="17"/>
        <v>42</v>
      </c>
    </row>
    <row r="563" spans="1:6">
      <c r="A563">
        <v>562</v>
      </c>
      <c r="B563" t="s">
        <v>65</v>
      </c>
      <c r="C563" s="11">
        <v>19</v>
      </c>
      <c r="D563" s="12">
        <v>45792</v>
      </c>
      <c r="E563" s="12">
        <f t="shared" si="16"/>
        <v>45834</v>
      </c>
      <c r="F563">
        <f t="shared" si="17"/>
        <v>42</v>
      </c>
    </row>
    <row r="564" spans="1:6">
      <c r="A564">
        <v>563</v>
      </c>
      <c r="B564" t="s">
        <v>87</v>
      </c>
      <c r="C564" s="11">
        <v>18</v>
      </c>
      <c r="D564" s="12">
        <v>45785</v>
      </c>
      <c r="E564" s="12">
        <f t="shared" si="16"/>
        <v>45827</v>
      </c>
      <c r="F564">
        <f t="shared" si="17"/>
        <v>42</v>
      </c>
    </row>
    <row r="565" spans="1:6">
      <c r="A565">
        <v>564</v>
      </c>
      <c r="B565" t="s">
        <v>64</v>
      </c>
      <c r="C565" s="11">
        <v>111</v>
      </c>
      <c r="D565" s="12">
        <v>45799</v>
      </c>
      <c r="E565" s="12">
        <f t="shared" si="16"/>
        <v>45841</v>
      </c>
      <c r="F565">
        <f t="shared" si="17"/>
        <v>42</v>
      </c>
    </row>
    <row r="566" spans="1:6">
      <c r="A566">
        <v>565</v>
      </c>
      <c r="B566" t="s">
        <v>106</v>
      </c>
      <c r="C566" s="11">
        <v>19</v>
      </c>
      <c r="D566" s="12">
        <v>45743</v>
      </c>
      <c r="E566" s="12">
        <f t="shared" si="16"/>
        <v>45785</v>
      </c>
      <c r="F566">
        <f t="shared" si="17"/>
        <v>42</v>
      </c>
    </row>
    <row r="567" spans="1:6">
      <c r="A567">
        <v>566</v>
      </c>
      <c r="B567" t="s">
        <v>77</v>
      </c>
      <c r="C567" s="11">
        <v>18</v>
      </c>
      <c r="D567" s="12">
        <v>45743</v>
      </c>
      <c r="E567" s="12">
        <f t="shared" si="16"/>
        <v>45785</v>
      </c>
      <c r="F567">
        <f t="shared" si="17"/>
        <v>42</v>
      </c>
    </row>
    <row r="568" spans="1:6">
      <c r="A568">
        <v>567</v>
      </c>
      <c r="B568" t="s">
        <v>65</v>
      </c>
      <c r="C568" s="11">
        <v>19</v>
      </c>
      <c r="D568" s="12">
        <v>45792</v>
      </c>
      <c r="E568" s="12">
        <f t="shared" si="16"/>
        <v>45834</v>
      </c>
      <c r="F568">
        <f t="shared" si="17"/>
        <v>42</v>
      </c>
    </row>
    <row r="569" spans="1:6">
      <c r="A569">
        <v>568</v>
      </c>
      <c r="B569" t="s">
        <v>65</v>
      </c>
      <c r="C569" s="11">
        <v>19</v>
      </c>
      <c r="D569" s="12">
        <v>45792</v>
      </c>
      <c r="E569" s="12">
        <f t="shared" si="16"/>
        <v>45834</v>
      </c>
      <c r="F569">
        <f t="shared" si="17"/>
        <v>42</v>
      </c>
    </row>
    <row r="570" spans="1:6">
      <c r="A570">
        <v>569</v>
      </c>
      <c r="B570" t="s">
        <v>106</v>
      </c>
      <c r="C570" s="11">
        <v>19</v>
      </c>
      <c r="D570" s="12">
        <v>45743</v>
      </c>
      <c r="E570" s="12">
        <f t="shared" si="16"/>
        <v>45785</v>
      </c>
      <c r="F570">
        <f t="shared" si="17"/>
        <v>42</v>
      </c>
    </row>
    <row r="571" spans="1:6">
      <c r="A571">
        <v>570</v>
      </c>
      <c r="B571" t="s">
        <v>106</v>
      </c>
      <c r="C571" s="11">
        <v>19</v>
      </c>
      <c r="D571" s="12">
        <v>45743</v>
      </c>
      <c r="E571" s="12">
        <f t="shared" si="16"/>
        <v>45785</v>
      </c>
      <c r="F571">
        <f t="shared" si="17"/>
        <v>42</v>
      </c>
    </row>
    <row r="572" spans="1:6">
      <c r="A572">
        <v>571</v>
      </c>
      <c r="B572" t="s">
        <v>65</v>
      </c>
      <c r="C572" s="11">
        <v>19</v>
      </c>
      <c r="D572" s="12">
        <v>45792</v>
      </c>
      <c r="E572" s="12">
        <f t="shared" si="16"/>
        <v>45834</v>
      </c>
      <c r="F572">
        <f t="shared" si="17"/>
        <v>42</v>
      </c>
    </row>
    <row r="573" spans="1:6">
      <c r="A573">
        <v>572</v>
      </c>
      <c r="B573" t="s">
        <v>94</v>
      </c>
      <c r="C573" s="11">
        <v>1</v>
      </c>
      <c r="D573" s="12">
        <v>45819</v>
      </c>
      <c r="E573" s="12">
        <f t="shared" si="16"/>
        <v>45861</v>
      </c>
      <c r="F573">
        <f t="shared" si="17"/>
        <v>42</v>
      </c>
    </row>
    <row r="574" spans="1:6">
      <c r="A574">
        <v>573</v>
      </c>
      <c r="B574" t="s">
        <v>65</v>
      </c>
      <c r="C574" s="11">
        <v>19</v>
      </c>
      <c r="D574" s="12">
        <v>45792</v>
      </c>
      <c r="E574" s="12">
        <f t="shared" si="16"/>
        <v>45834</v>
      </c>
      <c r="F574">
        <f t="shared" si="17"/>
        <v>42</v>
      </c>
    </row>
    <row r="575" spans="1:6">
      <c r="A575">
        <v>574</v>
      </c>
      <c r="B575" t="s">
        <v>108</v>
      </c>
      <c r="C575" s="11">
        <v>130</v>
      </c>
      <c r="D575" s="12">
        <v>45786</v>
      </c>
      <c r="E575" s="12">
        <f t="shared" si="16"/>
        <v>45828</v>
      </c>
      <c r="F575">
        <f t="shared" si="17"/>
        <v>42</v>
      </c>
    </row>
    <row r="576" spans="1:6">
      <c r="A576">
        <v>575</v>
      </c>
      <c r="B576" t="s">
        <v>108</v>
      </c>
      <c r="C576" s="11">
        <v>130</v>
      </c>
      <c r="D576" s="12">
        <v>45786</v>
      </c>
      <c r="E576" s="12">
        <f t="shared" si="16"/>
        <v>45828</v>
      </c>
      <c r="F576">
        <f t="shared" si="17"/>
        <v>42</v>
      </c>
    </row>
    <row r="577" spans="1:6">
      <c r="A577">
        <v>576</v>
      </c>
      <c r="B577" t="s">
        <v>108</v>
      </c>
      <c r="C577" s="11">
        <v>65</v>
      </c>
      <c r="D577" s="12">
        <v>45786</v>
      </c>
      <c r="E577" s="12">
        <f t="shared" si="16"/>
        <v>45828</v>
      </c>
      <c r="F577">
        <f t="shared" si="17"/>
        <v>42</v>
      </c>
    </row>
    <row r="578" spans="1:6">
      <c r="A578">
        <v>577</v>
      </c>
      <c r="B578" t="s">
        <v>64</v>
      </c>
      <c r="C578" s="11">
        <v>111</v>
      </c>
      <c r="D578" s="12">
        <v>45812</v>
      </c>
      <c r="E578" s="12">
        <f t="shared" ref="E578:E641" si="18">D578+6*7</f>
        <v>45854</v>
      </c>
      <c r="F578">
        <f t="shared" ref="F578:F641" si="19">E578-D578</f>
        <v>42</v>
      </c>
    </row>
    <row r="579" spans="1:6">
      <c r="A579">
        <v>578</v>
      </c>
      <c r="B579" t="s">
        <v>66</v>
      </c>
      <c r="C579" s="11">
        <v>65</v>
      </c>
      <c r="D579" s="12">
        <v>45807</v>
      </c>
      <c r="E579" s="12">
        <f t="shared" si="18"/>
        <v>45849</v>
      </c>
      <c r="F579">
        <f t="shared" si="19"/>
        <v>42</v>
      </c>
    </row>
    <row r="580" spans="1:6">
      <c r="A580">
        <v>579</v>
      </c>
      <c r="B580" t="s">
        <v>66</v>
      </c>
      <c r="C580" s="11">
        <v>65</v>
      </c>
      <c r="D580" s="12">
        <v>45807</v>
      </c>
      <c r="E580" s="12">
        <f t="shared" si="18"/>
        <v>45849</v>
      </c>
      <c r="F580">
        <f t="shared" si="19"/>
        <v>42</v>
      </c>
    </row>
    <row r="581" spans="1:6">
      <c r="A581">
        <v>580</v>
      </c>
      <c r="B581" t="s">
        <v>106</v>
      </c>
      <c r="C581" s="11">
        <v>19</v>
      </c>
      <c r="D581" s="12">
        <v>45743</v>
      </c>
      <c r="E581" s="12">
        <f t="shared" si="18"/>
        <v>45785</v>
      </c>
      <c r="F581">
        <f t="shared" si="19"/>
        <v>42</v>
      </c>
    </row>
    <row r="582" spans="1:6">
      <c r="A582">
        <v>581</v>
      </c>
      <c r="B582" t="s">
        <v>65</v>
      </c>
      <c r="C582" s="11">
        <v>19</v>
      </c>
      <c r="D582" s="12">
        <v>45792</v>
      </c>
      <c r="E582" s="12">
        <f t="shared" si="18"/>
        <v>45834</v>
      </c>
      <c r="F582">
        <f t="shared" si="19"/>
        <v>42</v>
      </c>
    </row>
    <row r="583" spans="1:6">
      <c r="A583">
        <v>582</v>
      </c>
      <c r="B583" t="s">
        <v>64</v>
      </c>
      <c r="C583" s="11">
        <v>111</v>
      </c>
      <c r="D583" s="12">
        <v>45793</v>
      </c>
      <c r="E583" s="12">
        <f t="shared" si="18"/>
        <v>45835</v>
      </c>
      <c r="F583">
        <f t="shared" si="19"/>
        <v>42</v>
      </c>
    </row>
    <row r="584" spans="1:6">
      <c r="A584">
        <v>583</v>
      </c>
      <c r="B584" t="s">
        <v>99</v>
      </c>
      <c r="C584" s="11">
        <v>238</v>
      </c>
      <c r="D584" s="12">
        <v>45791</v>
      </c>
      <c r="E584" s="12">
        <f t="shared" si="18"/>
        <v>45833</v>
      </c>
      <c r="F584">
        <f t="shared" si="19"/>
        <v>42</v>
      </c>
    </row>
    <row r="585" spans="1:6">
      <c r="A585">
        <v>584</v>
      </c>
      <c r="B585" t="s">
        <v>108</v>
      </c>
      <c r="C585" s="11">
        <v>54</v>
      </c>
      <c r="D585" s="12">
        <v>45824</v>
      </c>
      <c r="E585" s="12">
        <f t="shared" si="18"/>
        <v>45866</v>
      </c>
      <c r="F585">
        <f t="shared" si="19"/>
        <v>42</v>
      </c>
    </row>
    <row r="586" spans="1:6">
      <c r="A586">
        <v>585</v>
      </c>
      <c r="B586" t="s">
        <v>70</v>
      </c>
      <c r="C586" s="11">
        <v>198</v>
      </c>
      <c r="D586" s="12">
        <v>45718</v>
      </c>
      <c r="E586" s="12">
        <f t="shared" si="18"/>
        <v>45760</v>
      </c>
      <c r="F586">
        <f t="shared" si="19"/>
        <v>42</v>
      </c>
    </row>
    <row r="587" spans="1:6">
      <c r="A587">
        <v>586</v>
      </c>
      <c r="B587" t="s">
        <v>80</v>
      </c>
      <c r="C587" s="11">
        <v>19</v>
      </c>
      <c r="D587" s="12">
        <v>45722</v>
      </c>
      <c r="E587" s="12">
        <f t="shared" si="18"/>
        <v>45764</v>
      </c>
      <c r="F587">
        <f t="shared" si="19"/>
        <v>42</v>
      </c>
    </row>
    <row r="588" spans="1:6">
      <c r="A588">
        <v>587</v>
      </c>
      <c r="B588" t="s">
        <v>77</v>
      </c>
      <c r="C588" s="11">
        <v>18</v>
      </c>
      <c r="D588" s="12">
        <v>45778</v>
      </c>
      <c r="E588" s="12">
        <f t="shared" si="18"/>
        <v>45820</v>
      </c>
      <c r="F588">
        <f t="shared" si="19"/>
        <v>42</v>
      </c>
    </row>
    <row r="589" spans="1:6">
      <c r="A589">
        <v>588</v>
      </c>
      <c r="B589" t="s">
        <v>113</v>
      </c>
      <c r="C589" s="11">
        <v>121</v>
      </c>
      <c r="D589" s="12">
        <v>45727</v>
      </c>
      <c r="E589" s="12">
        <f t="shared" si="18"/>
        <v>45769</v>
      </c>
      <c r="F589">
        <f t="shared" si="19"/>
        <v>42</v>
      </c>
    </row>
    <row r="590" spans="1:6">
      <c r="A590">
        <v>589</v>
      </c>
      <c r="B590" t="s">
        <v>80</v>
      </c>
      <c r="C590" s="11">
        <v>19</v>
      </c>
      <c r="D590" s="12">
        <v>45754</v>
      </c>
      <c r="E590" s="12">
        <f t="shared" si="18"/>
        <v>45796</v>
      </c>
      <c r="F590">
        <f t="shared" si="19"/>
        <v>42</v>
      </c>
    </row>
    <row r="591" spans="1:6">
      <c r="A591">
        <v>590</v>
      </c>
      <c r="B591" t="s">
        <v>65</v>
      </c>
      <c r="C591" s="11">
        <v>19</v>
      </c>
      <c r="D591" s="12">
        <v>45792</v>
      </c>
      <c r="E591" s="12">
        <f t="shared" si="18"/>
        <v>45834</v>
      </c>
      <c r="F591">
        <f t="shared" si="19"/>
        <v>42</v>
      </c>
    </row>
    <row r="592" spans="1:6">
      <c r="A592">
        <v>591</v>
      </c>
      <c r="B592" t="s">
        <v>87</v>
      </c>
      <c r="C592" s="11">
        <v>18</v>
      </c>
      <c r="D592" s="12">
        <v>45785</v>
      </c>
      <c r="E592" s="12">
        <f t="shared" si="18"/>
        <v>45827</v>
      </c>
      <c r="F592">
        <f t="shared" si="19"/>
        <v>42</v>
      </c>
    </row>
    <row r="593" spans="1:6">
      <c r="A593">
        <v>592</v>
      </c>
      <c r="B593" t="s">
        <v>72</v>
      </c>
      <c r="C593" s="11">
        <v>24</v>
      </c>
      <c r="D593" s="12">
        <v>45786</v>
      </c>
      <c r="E593" s="12">
        <f t="shared" si="18"/>
        <v>45828</v>
      </c>
      <c r="F593">
        <f t="shared" si="19"/>
        <v>42</v>
      </c>
    </row>
    <row r="594" spans="1:6">
      <c r="A594">
        <v>593</v>
      </c>
      <c r="B594" t="s">
        <v>64</v>
      </c>
      <c r="C594" s="11">
        <v>111</v>
      </c>
      <c r="D594" s="12">
        <v>45793</v>
      </c>
      <c r="E594" s="12">
        <f t="shared" si="18"/>
        <v>45835</v>
      </c>
      <c r="F594">
        <f t="shared" si="19"/>
        <v>42</v>
      </c>
    </row>
    <row r="595" spans="1:6">
      <c r="A595">
        <v>594</v>
      </c>
      <c r="B595" t="s">
        <v>104</v>
      </c>
      <c r="C595" s="11">
        <v>21</v>
      </c>
      <c r="D595" s="12">
        <v>45799</v>
      </c>
      <c r="E595" s="12">
        <f t="shared" si="18"/>
        <v>45841</v>
      </c>
      <c r="F595">
        <f t="shared" si="19"/>
        <v>42</v>
      </c>
    </row>
    <row r="596" spans="1:6">
      <c r="A596">
        <v>595</v>
      </c>
      <c r="B596" t="s">
        <v>65</v>
      </c>
      <c r="C596" s="11">
        <v>19</v>
      </c>
      <c r="D596" s="12">
        <v>45792</v>
      </c>
      <c r="E596" s="12">
        <f t="shared" si="18"/>
        <v>45834</v>
      </c>
      <c r="F596">
        <f t="shared" si="19"/>
        <v>42</v>
      </c>
    </row>
    <row r="597" spans="1:6">
      <c r="A597">
        <v>596</v>
      </c>
      <c r="B597" t="s">
        <v>105</v>
      </c>
      <c r="C597" s="11">
        <v>358</v>
      </c>
      <c r="D597" s="12">
        <v>45729</v>
      </c>
      <c r="E597" s="12">
        <f t="shared" si="18"/>
        <v>45771</v>
      </c>
      <c r="F597">
        <f t="shared" si="19"/>
        <v>42</v>
      </c>
    </row>
    <row r="598" spans="1:6">
      <c r="A598">
        <v>597</v>
      </c>
      <c r="B598" t="s">
        <v>65</v>
      </c>
      <c r="C598" s="11">
        <v>19</v>
      </c>
      <c r="D598" s="12">
        <v>45792</v>
      </c>
      <c r="E598" s="12">
        <f t="shared" si="18"/>
        <v>45834</v>
      </c>
      <c r="F598">
        <f t="shared" si="19"/>
        <v>42</v>
      </c>
    </row>
    <row r="599" spans="1:6">
      <c r="A599">
        <v>598</v>
      </c>
      <c r="B599" t="s">
        <v>64</v>
      </c>
      <c r="C599" s="11">
        <v>111</v>
      </c>
      <c r="D599" s="12">
        <v>45793</v>
      </c>
      <c r="E599" s="12">
        <f t="shared" si="18"/>
        <v>45835</v>
      </c>
      <c r="F599">
        <f t="shared" si="19"/>
        <v>42</v>
      </c>
    </row>
    <row r="600" spans="1:6">
      <c r="A600">
        <v>599</v>
      </c>
      <c r="B600" t="s">
        <v>66</v>
      </c>
      <c r="C600" s="11">
        <v>54</v>
      </c>
      <c r="D600" s="12">
        <v>45807</v>
      </c>
      <c r="E600" s="12">
        <f t="shared" si="18"/>
        <v>45849</v>
      </c>
      <c r="F600">
        <f t="shared" si="19"/>
        <v>42</v>
      </c>
    </row>
    <row r="601" spans="1:6">
      <c r="A601">
        <v>600</v>
      </c>
      <c r="B601" t="s">
        <v>66</v>
      </c>
      <c r="C601" s="11">
        <v>54</v>
      </c>
      <c r="D601" s="12">
        <v>45807</v>
      </c>
      <c r="E601" s="12">
        <f t="shared" si="18"/>
        <v>45849</v>
      </c>
      <c r="F601">
        <f t="shared" si="19"/>
        <v>42</v>
      </c>
    </row>
    <row r="602" spans="1:6">
      <c r="A602">
        <v>601</v>
      </c>
      <c r="B602" t="s">
        <v>66</v>
      </c>
      <c r="C602" s="11">
        <v>54</v>
      </c>
      <c r="D602" s="12">
        <v>45807</v>
      </c>
      <c r="E602" s="12">
        <f t="shared" si="18"/>
        <v>45849</v>
      </c>
      <c r="F602">
        <f t="shared" si="19"/>
        <v>42</v>
      </c>
    </row>
    <row r="603" spans="1:6">
      <c r="A603">
        <v>602</v>
      </c>
      <c r="B603" t="s">
        <v>108</v>
      </c>
      <c r="C603" s="11">
        <v>54</v>
      </c>
      <c r="D603" s="12">
        <v>45799</v>
      </c>
      <c r="E603" s="12">
        <f t="shared" si="18"/>
        <v>45841</v>
      </c>
      <c r="F603">
        <f t="shared" si="19"/>
        <v>42</v>
      </c>
    </row>
    <row r="604" spans="1:6">
      <c r="A604">
        <v>603</v>
      </c>
      <c r="B604" t="s">
        <v>108</v>
      </c>
      <c r="C604" s="11">
        <v>54</v>
      </c>
      <c r="D604" s="12">
        <v>45799</v>
      </c>
      <c r="E604" s="12">
        <f t="shared" si="18"/>
        <v>45841</v>
      </c>
      <c r="F604">
        <f t="shared" si="19"/>
        <v>42</v>
      </c>
    </row>
    <row r="605" spans="1:6">
      <c r="A605">
        <v>604</v>
      </c>
      <c r="B605" t="s">
        <v>107</v>
      </c>
      <c r="C605" s="11">
        <v>73</v>
      </c>
      <c r="D605" s="12">
        <v>45765</v>
      </c>
      <c r="E605" s="12">
        <f t="shared" si="18"/>
        <v>45807</v>
      </c>
      <c r="F605">
        <f t="shared" si="19"/>
        <v>42</v>
      </c>
    </row>
    <row r="606" spans="1:6">
      <c r="A606">
        <v>605</v>
      </c>
      <c r="B606" t="s">
        <v>65</v>
      </c>
      <c r="C606" s="11">
        <v>19</v>
      </c>
      <c r="D606" s="12">
        <v>45792</v>
      </c>
      <c r="E606" s="12">
        <f t="shared" si="18"/>
        <v>45834</v>
      </c>
      <c r="F606">
        <f t="shared" si="19"/>
        <v>42</v>
      </c>
    </row>
    <row r="607" spans="1:6">
      <c r="A607">
        <v>606</v>
      </c>
      <c r="B607" t="s">
        <v>64</v>
      </c>
      <c r="C607" s="11">
        <v>111</v>
      </c>
      <c r="D607" s="12">
        <v>45793</v>
      </c>
      <c r="E607" s="12">
        <f t="shared" si="18"/>
        <v>45835</v>
      </c>
      <c r="F607">
        <f t="shared" si="19"/>
        <v>42</v>
      </c>
    </row>
    <row r="608" spans="1:6">
      <c r="A608">
        <v>607</v>
      </c>
      <c r="B608" t="s">
        <v>94</v>
      </c>
      <c r="C608" s="11">
        <v>24</v>
      </c>
      <c r="D608" s="12">
        <v>45772</v>
      </c>
      <c r="E608" s="12">
        <f t="shared" si="18"/>
        <v>45814</v>
      </c>
      <c r="F608">
        <f t="shared" si="19"/>
        <v>42</v>
      </c>
    </row>
    <row r="609" spans="1:6">
      <c r="A609">
        <v>608</v>
      </c>
      <c r="B609" t="s">
        <v>106</v>
      </c>
      <c r="C609" s="11">
        <v>19</v>
      </c>
      <c r="D609" s="12">
        <v>45826</v>
      </c>
      <c r="E609" s="12">
        <f t="shared" si="18"/>
        <v>45868</v>
      </c>
      <c r="F609">
        <f t="shared" si="19"/>
        <v>42</v>
      </c>
    </row>
    <row r="610" spans="1:6">
      <c r="A610">
        <v>609</v>
      </c>
      <c r="B610" t="s">
        <v>77</v>
      </c>
      <c r="C610" s="11">
        <v>18</v>
      </c>
      <c r="D610" s="12">
        <v>45778</v>
      </c>
      <c r="E610" s="12">
        <f t="shared" si="18"/>
        <v>45820</v>
      </c>
      <c r="F610">
        <f t="shared" si="19"/>
        <v>42</v>
      </c>
    </row>
    <row r="611" spans="1:6">
      <c r="A611">
        <v>610</v>
      </c>
      <c r="B611" t="s">
        <v>94</v>
      </c>
      <c r="C611" s="11">
        <v>99</v>
      </c>
      <c r="D611" s="12">
        <v>45729</v>
      </c>
      <c r="E611" s="12">
        <f t="shared" si="18"/>
        <v>45771</v>
      </c>
      <c r="F611">
        <f t="shared" si="19"/>
        <v>42</v>
      </c>
    </row>
    <row r="612" spans="1:6">
      <c r="A612">
        <v>611</v>
      </c>
      <c r="B612" t="s">
        <v>65</v>
      </c>
      <c r="C612" s="11">
        <v>19</v>
      </c>
      <c r="D612" s="12">
        <v>45792</v>
      </c>
      <c r="E612" s="12">
        <f t="shared" si="18"/>
        <v>45834</v>
      </c>
      <c r="F612">
        <f t="shared" si="19"/>
        <v>42</v>
      </c>
    </row>
    <row r="613" spans="1:6">
      <c r="A613">
        <v>612</v>
      </c>
      <c r="B613" t="s">
        <v>64</v>
      </c>
      <c r="C613" s="11">
        <v>111</v>
      </c>
      <c r="D613" s="12">
        <v>45793</v>
      </c>
      <c r="E613" s="12">
        <f t="shared" si="18"/>
        <v>45835</v>
      </c>
      <c r="F613">
        <f t="shared" si="19"/>
        <v>42</v>
      </c>
    </row>
    <row r="614" spans="1:6">
      <c r="A614">
        <v>613</v>
      </c>
      <c r="B614" t="s">
        <v>108</v>
      </c>
      <c r="C614" s="11">
        <v>54</v>
      </c>
      <c r="D614" s="12">
        <v>45799</v>
      </c>
      <c r="E614" s="12">
        <f t="shared" si="18"/>
        <v>45841</v>
      </c>
      <c r="F614">
        <f t="shared" si="19"/>
        <v>42</v>
      </c>
    </row>
    <row r="615" spans="1:6">
      <c r="A615">
        <v>614</v>
      </c>
      <c r="B615" t="s">
        <v>108</v>
      </c>
      <c r="C615" s="11">
        <v>54</v>
      </c>
      <c r="D615" s="12">
        <v>45799</v>
      </c>
      <c r="E615" s="12">
        <f t="shared" si="18"/>
        <v>45841</v>
      </c>
      <c r="F615">
        <f t="shared" si="19"/>
        <v>42</v>
      </c>
    </row>
    <row r="616" spans="1:6">
      <c r="A616">
        <v>615</v>
      </c>
      <c r="B616" t="s">
        <v>108</v>
      </c>
      <c r="C616" s="11">
        <v>54</v>
      </c>
      <c r="D616" s="12">
        <v>45799</v>
      </c>
      <c r="E616" s="12">
        <f t="shared" si="18"/>
        <v>45841</v>
      </c>
      <c r="F616">
        <f t="shared" si="19"/>
        <v>42</v>
      </c>
    </row>
    <row r="617" spans="1:6">
      <c r="A617">
        <v>616</v>
      </c>
      <c r="B617" t="s">
        <v>86</v>
      </c>
      <c r="C617" s="11">
        <v>50</v>
      </c>
      <c r="D617" s="12">
        <v>45727</v>
      </c>
      <c r="E617" s="12">
        <f t="shared" si="18"/>
        <v>45769</v>
      </c>
      <c r="F617">
        <f t="shared" si="19"/>
        <v>42</v>
      </c>
    </row>
    <row r="618" spans="1:6">
      <c r="A618">
        <v>617</v>
      </c>
      <c r="B618" t="s">
        <v>73</v>
      </c>
      <c r="C618" s="11">
        <v>490</v>
      </c>
      <c r="D618" s="12">
        <v>45800</v>
      </c>
      <c r="E618" s="12">
        <f t="shared" si="18"/>
        <v>45842</v>
      </c>
      <c r="F618">
        <f t="shared" si="19"/>
        <v>42</v>
      </c>
    </row>
    <row r="619" spans="1:6">
      <c r="A619">
        <v>618</v>
      </c>
      <c r="B619" t="s">
        <v>77</v>
      </c>
      <c r="C619" s="11">
        <v>18</v>
      </c>
      <c r="D619" s="12">
        <v>45778</v>
      </c>
      <c r="E619" s="12">
        <f t="shared" si="18"/>
        <v>45820</v>
      </c>
      <c r="F619">
        <f t="shared" si="19"/>
        <v>42</v>
      </c>
    </row>
    <row r="620" spans="1:6">
      <c r="A620">
        <v>619</v>
      </c>
      <c r="B620" t="s">
        <v>65</v>
      </c>
      <c r="C620" s="11">
        <v>19</v>
      </c>
      <c r="D620" s="12">
        <v>45792</v>
      </c>
      <c r="E620" s="12">
        <f t="shared" si="18"/>
        <v>45834</v>
      </c>
      <c r="F620">
        <f t="shared" si="19"/>
        <v>42</v>
      </c>
    </row>
    <row r="621" spans="1:6">
      <c r="A621">
        <v>620</v>
      </c>
      <c r="B621" t="s">
        <v>65</v>
      </c>
      <c r="C621" s="11">
        <v>19</v>
      </c>
      <c r="D621" s="12">
        <v>45792</v>
      </c>
      <c r="E621" s="12">
        <f t="shared" si="18"/>
        <v>45834</v>
      </c>
      <c r="F621">
        <f t="shared" si="19"/>
        <v>42</v>
      </c>
    </row>
    <row r="622" spans="1:6">
      <c r="A622">
        <v>621</v>
      </c>
      <c r="B622" t="s">
        <v>95</v>
      </c>
      <c r="C622" s="11">
        <v>75</v>
      </c>
      <c r="D622" s="12">
        <v>45813</v>
      </c>
      <c r="E622" s="12">
        <f t="shared" si="18"/>
        <v>45855</v>
      </c>
      <c r="F622">
        <f t="shared" si="19"/>
        <v>42</v>
      </c>
    </row>
    <row r="623" spans="1:6">
      <c r="A623">
        <v>622</v>
      </c>
      <c r="B623" t="s">
        <v>64</v>
      </c>
      <c r="C623" s="11">
        <v>93</v>
      </c>
      <c r="D623" s="12">
        <v>45821</v>
      </c>
      <c r="E623" s="12">
        <f t="shared" si="18"/>
        <v>45863</v>
      </c>
      <c r="F623">
        <f t="shared" si="19"/>
        <v>42</v>
      </c>
    </row>
    <row r="624" spans="1:6">
      <c r="A624">
        <v>623</v>
      </c>
      <c r="B624" t="s">
        <v>93</v>
      </c>
      <c r="C624" s="11">
        <v>144</v>
      </c>
      <c r="D624" s="12">
        <v>45826</v>
      </c>
      <c r="E624" s="12">
        <f t="shared" si="18"/>
        <v>45868</v>
      </c>
      <c r="F624">
        <f t="shared" si="19"/>
        <v>42</v>
      </c>
    </row>
    <row r="625" spans="1:6">
      <c r="A625">
        <v>624</v>
      </c>
      <c r="B625" t="s">
        <v>112</v>
      </c>
      <c r="C625" s="11">
        <v>70</v>
      </c>
      <c r="D625" s="12">
        <v>45690</v>
      </c>
      <c r="E625" s="12">
        <f t="shared" si="18"/>
        <v>45732</v>
      </c>
      <c r="F625">
        <f t="shared" si="19"/>
        <v>42</v>
      </c>
    </row>
    <row r="626" spans="1:6">
      <c r="A626">
        <v>625</v>
      </c>
      <c r="B626" t="s">
        <v>77</v>
      </c>
      <c r="C626" s="11">
        <v>18</v>
      </c>
      <c r="D626" s="12">
        <v>45778</v>
      </c>
      <c r="E626" s="12">
        <f t="shared" si="18"/>
        <v>45820</v>
      </c>
      <c r="F626">
        <f t="shared" si="19"/>
        <v>42</v>
      </c>
    </row>
    <row r="627" spans="1:6">
      <c r="A627">
        <v>626</v>
      </c>
      <c r="B627" t="s">
        <v>100</v>
      </c>
      <c r="C627" s="11">
        <v>23</v>
      </c>
      <c r="D627" s="12">
        <v>45793</v>
      </c>
      <c r="E627" s="12">
        <f t="shared" si="18"/>
        <v>45835</v>
      </c>
      <c r="F627">
        <f t="shared" si="19"/>
        <v>42</v>
      </c>
    </row>
    <row r="628" spans="1:6">
      <c r="A628">
        <v>627</v>
      </c>
      <c r="B628" t="s">
        <v>64</v>
      </c>
      <c r="C628" s="11">
        <v>93</v>
      </c>
      <c r="D628" s="12">
        <v>45821</v>
      </c>
      <c r="E628" s="12">
        <f t="shared" si="18"/>
        <v>45863</v>
      </c>
      <c r="F628">
        <f t="shared" si="19"/>
        <v>42</v>
      </c>
    </row>
    <row r="629" spans="1:6">
      <c r="A629">
        <v>628</v>
      </c>
      <c r="B629" t="s">
        <v>66</v>
      </c>
      <c r="C629" s="11">
        <v>54</v>
      </c>
      <c r="D629" s="12">
        <v>45804</v>
      </c>
      <c r="E629" s="12">
        <f t="shared" si="18"/>
        <v>45846</v>
      </c>
      <c r="F629">
        <f t="shared" si="19"/>
        <v>42</v>
      </c>
    </row>
    <row r="630" spans="1:6">
      <c r="A630">
        <v>629</v>
      </c>
      <c r="B630" t="s">
        <v>66</v>
      </c>
      <c r="C630" s="11">
        <v>54</v>
      </c>
      <c r="D630" s="12">
        <v>45804</v>
      </c>
      <c r="E630" s="12">
        <f t="shared" si="18"/>
        <v>45846</v>
      </c>
      <c r="F630">
        <f t="shared" si="19"/>
        <v>42</v>
      </c>
    </row>
    <row r="631" spans="1:6">
      <c r="A631">
        <v>630</v>
      </c>
      <c r="B631" t="s">
        <v>66</v>
      </c>
      <c r="C631" s="11">
        <v>54</v>
      </c>
      <c r="D631" s="12">
        <v>45804</v>
      </c>
      <c r="E631" s="12">
        <f t="shared" si="18"/>
        <v>45846</v>
      </c>
      <c r="F631">
        <f t="shared" si="19"/>
        <v>42</v>
      </c>
    </row>
    <row r="632" spans="1:6">
      <c r="A632">
        <v>631</v>
      </c>
      <c r="B632" t="s">
        <v>108</v>
      </c>
      <c r="C632" s="11">
        <v>54</v>
      </c>
      <c r="D632" s="12">
        <v>45799</v>
      </c>
      <c r="E632" s="12">
        <f t="shared" si="18"/>
        <v>45841</v>
      </c>
      <c r="F632">
        <f t="shared" si="19"/>
        <v>42</v>
      </c>
    </row>
    <row r="633" spans="1:6">
      <c r="A633">
        <v>632</v>
      </c>
      <c r="B633" t="s">
        <v>108</v>
      </c>
      <c r="C633" s="11">
        <v>54</v>
      </c>
      <c r="D633" s="12">
        <v>45799</v>
      </c>
      <c r="E633" s="12">
        <f t="shared" si="18"/>
        <v>45841</v>
      </c>
      <c r="F633">
        <f t="shared" si="19"/>
        <v>42</v>
      </c>
    </row>
    <row r="634" spans="1:6">
      <c r="A634">
        <v>633</v>
      </c>
      <c r="B634" t="s">
        <v>108</v>
      </c>
      <c r="C634" s="11">
        <v>54</v>
      </c>
      <c r="D634" s="12">
        <v>45799</v>
      </c>
      <c r="E634" s="12">
        <f t="shared" si="18"/>
        <v>45841</v>
      </c>
      <c r="F634">
        <f t="shared" si="19"/>
        <v>42</v>
      </c>
    </row>
    <row r="635" spans="1:6">
      <c r="A635">
        <v>634</v>
      </c>
      <c r="B635" t="s">
        <v>108</v>
      </c>
      <c r="C635" s="11">
        <v>54</v>
      </c>
      <c r="D635" s="12">
        <v>45799</v>
      </c>
      <c r="E635" s="12">
        <f t="shared" si="18"/>
        <v>45841</v>
      </c>
      <c r="F635">
        <f t="shared" si="19"/>
        <v>42</v>
      </c>
    </row>
    <row r="636" spans="1:6">
      <c r="A636">
        <v>635</v>
      </c>
      <c r="B636" t="s">
        <v>108</v>
      </c>
      <c r="C636" s="11">
        <v>54</v>
      </c>
      <c r="D636" s="12">
        <v>45799</v>
      </c>
      <c r="E636" s="12">
        <f t="shared" si="18"/>
        <v>45841</v>
      </c>
      <c r="F636">
        <f t="shared" si="19"/>
        <v>42</v>
      </c>
    </row>
    <row r="637" spans="1:6">
      <c r="A637">
        <v>636</v>
      </c>
      <c r="B637" t="s">
        <v>93</v>
      </c>
      <c r="C637" s="11">
        <v>72</v>
      </c>
      <c r="D637" s="12">
        <v>45834</v>
      </c>
      <c r="E637" s="12">
        <f t="shared" si="18"/>
        <v>45876</v>
      </c>
      <c r="F637">
        <f t="shared" si="19"/>
        <v>42</v>
      </c>
    </row>
    <row r="638" spans="1:6">
      <c r="A638">
        <v>637</v>
      </c>
      <c r="B638" t="s">
        <v>65</v>
      </c>
      <c r="C638" s="11">
        <v>19</v>
      </c>
      <c r="D638" s="12">
        <v>45792</v>
      </c>
      <c r="E638" s="12">
        <f t="shared" si="18"/>
        <v>45834</v>
      </c>
      <c r="F638">
        <f t="shared" si="19"/>
        <v>42</v>
      </c>
    </row>
    <row r="639" spans="1:6">
      <c r="A639">
        <v>638</v>
      </c>
      <c r="B639" t="s">
        <v>64</v>
      </c>
      <c r="C639" s="11">
        <v>93</v>
      </c>
      <c r="D639" s="12">
        <v>45793</v>
      </c>
      <c r="E639" s="12">
        <f t="shared" si="18"/>
        <v>45835</v>
      </c>
      <c r="F639">
        <f t="shared" si="19"/>
        <v>42</v>
      </c>
    </row>
    <row r="640" spans="1:6">
      <c r="A640">
        <v>639</v>
      </c>
      <c r="B640" t="s">
        <v>85</v>
      </c>
      <c r="C640" s="11">
        <v>19</v>
      </c>
      <c r="D640" s="12">
        <v>45778</v>
      </c>
      <c r="E640" s="12">
        <f t="shared" si="18"/>
        <v>45820</v>
      </c>
      <c r="F640">
        <f t="shared" si="19"/>
        <v>42</v>
      </c>
    </row>
    <row r="641" spans="1:6">
      <c r="A641">
        <v>640</v>
      </c>
      <c r="B641" t="s">
        <v>111</v>
      </c>
      <c r="C641" s="11">
        <v>67</v>
      </c>
      <c r="D641" s="12">
        <v>45758</v>
      </c>
      <c r="E641" s="12">
        <f t="shared" si="18"/>
        <v>45800</v>
      </c>
      <c r="F641">
        <f t="shared" si="19"/>
        <v>42</v>
      </c>
    </row>
    <row r="642" spans="1:6">
      <c r="A642">
        <v>641</v>
      </c>
      <c r="B642" t="s">
        <v>87</v>
      </c>
      <c r="C642" s="11">
        <v>18</v>
      </c>
      <c r="D642" s="12">
        <v>45783</v>
      </c>
      <c r="E642" s="12">
        <f t="shared" ref="E642:E705" si="20">D642+6*7</f>
        <v>45825</v>
      </c>
      <c r="F642">
        <f t="shared" ref="F642:F705" si="21">E642-D642</f>
        <v>42</v>
      </c>
    </row>
    <row r="643" spans="1:6">
      <c r="A643">
        <v>642</v>
      </c>
      <c r="B643" t="s">
        <v>65</v>
      </c>
      <c r="C643" s="11">
        <v>19</v>
      </c>
      <c r="D643" s="12">
        <v>45792</v>
      </c>
      <c r="E643" s="12">
        <f t="shared" si="20"/>
        <v>45834</v>
      </c>
      <c r="F643">
        <f t="shared" si="21"/>
        <v>42</v>
      </c>
    </row>
    <row r="644" spans="1:6">
      <c r="A644">
        <v>643</v>
      </c>
      <c r="B644" t="s">
        <v>85</v>
      </c>
      <c r="C644" s="11">
        <v>19</v>
      </c>
      <c r="D644" s="12">
        <v>45826</v>
      </c>
      <c r="E644" s="12">
        <f t="shared" si="20"/>
        <v>45868</v>
      </c>
      <c r="F644">
        <f t="shared" si="21"/>
        <v>42</v>
      </c>
    </row>
    <row r="645" spans="1:6">
      <c r="A645">
        <v>644</v>
      </c>
      <c r="B645" t="s">
        <v>108</v>
      </c>
      <c r="C645" s="11">
        <v>20</v>
      </c>
      <c r="D645" s="12">
        <v>45832</v>
      </c>
      <c r="E645" s="12">
        <f t="shared" si="20"/>
        <v>45874</v>
      </c>
      <c r="F645">
        <f t="shared" si="21"/>
        <v>42</v>
      </c>
    </row>
    <row r="646" spans="1:6">
      <c r="A646">
        <v>645</v>
      </c>
      <c r="B646" t="s">
        <v>99</v>
      </c>
      <c r="C646" s="11">
        <v>190</v>
      </c>
      <c r="D646" s="12">
        <v>45813</v>
      </c>
      <c r="E646" s="12">
        <f t="shared" si="20"/>
        <v>45855</v>
      </c>
      <c r="F646">
        <f t="shared" si="21"/>
        <v>42</v>
      </c>
    </row>
    <row r="647" spans="1:6">
      <c r="A647">
        <v>646</v>
      </c>
      <c r="B647" t="s">
        <v>108</v>
      </c>
      <c r="C647" s="11">
        <v>10</v>
      </c>
      <c r="D647" s="12">
        <v>45832</v>
      </c>
      <c r="E647" s="12">
        <f t="shared" si="20"/>
        <v>45874</v>
      </c>
      <c r="F647">
        <f t="shared" si="21"/>
        <v>42</v>
      </c>
    </row>
    <row r="648" spans="1:6">
      <c r="A648">
        <v>647</v>
      </c>
      <c r="B648" t="s">
        <v>111</v>
      </c>
      <c r="C648" s="11">
        <v>67</v>
      </c>
      <c r="D648" s="12">
        <v>45758</v>
      </c>
      <c r="E648" s="12">
        <f t="shared" si="20"/>
        <v>45800</v>
      </c>
      <c r="F648">
        <f t="shared" si="21"/>
        <v>42</v>
      </c>
    </row>
    <row r="649" spans="1:6">
      <c r="A649">
        <v>648</v>
      </c>
      <c r="B649" t="s">
        <v>110</v>
      </c>
      <c r="C649" s="11">
        <v>16</v>
      </c>
      <c r="D649" s="12">
        <v>45818</v>
      </c>
      <c r="E649" s="12">
        <f t="shared" si="20"/>
        <v>45860</v>
      </c>
      <c r="F649">
        <f t="shared" si="21"/>
        <v>42</v>
      </c>
    </row>
    <row r="650" spans="1:6">
      <c r="A650">
        <v>649</v>
      </c>
      <c r="B650" t="s">
        <v>95</v>
      </c>
      <c r="C650" s="11">
        <v>24.146000000000001</v>
      </c>
      <c r="D650" s="12">
        <v>45832</v>
      </c>
      <c r="E650" s="12">
        <f t="shared" si="20"/>
        <v>45874</v>
      </c>
      <c r="F650">
        <f t="shared" si="21"/>
        <v>42</v>
      </c>
    </row>
    <row r="651" spans="1:6">
      <c r="A651">
        <v>650</v>
      </c>
      <c r="B651" t="s">
        <v>109</v>
      </c>
      <c r="C651" s="11">
        <v>450</v>
      </c>
      <c r="D651" s="12">
        <v>45803</v>
      </c>
      <c r="E651" s="12">
        <f t="shared" si="20"/>
        <v>45845</v>
      </c>
      <c r="F651">
        <f t="shared" si="21"/>
        <v>42</v>
      </c>
    </row>
    <row r="652" spans="1:6">
      <c r="A652">
        <v>651</v>
      </c>
      <c r="B652" t="s">
        <v>71</v>
      </c>
      <c r="C652" s="11">
        <v>391</v>
      </c>
      <c r="D652" s="12">
        <v>45722</v>
      </c>
      <c r="E652" s="12">
        <f t="shared" si="20"/>
        <v>45764</v>
      </c>
      <c r="F652">
        <f t="shared" si="21"/>
        <v>42</v>
      </c>
    </row>
    <row r="653" spans="1:6">
      <c r="A653">
        <v>652</v>
      </c>
      <c r="B653" t="s">
        <v>69</v>
      </c>
      <c r="C653" s="11">
        <v>19</v>
      </c>
      <c r="D653" s="12">
        <v>45751</v>
      </c>
      <c r="E653" s="12">
        <f t="shared" si="20"/>
        <v>45793</v>
      </c>
      <c r="F653">
        <f t="shared" si="21"/>
        <v>42</v>
      </c>
    </row>
    <row r="654" spans="1:6">
      <c r="A654">
        <v>653</v>
      </c>
      <c r="B654" t="s">
        <v>69</v>
      </c>
      <c r="C654" s="11">
        <v>19</v>
      </c>
      <c r="D654" s="12">
        <v>45751</v>
      </c>
      <c r="E654" s="12">
        <f t="shared" si="20"/>
        <v>45793</v>
      </c>
      <c r="F654">
        <f t="shared" si="21"/>
        <v>42</v>
      </c>
    </row>
    <row r="655" spans="1:6">
      <c r="A655">
        <v>654</v>
      </c>
      <c r="B655" t="s">
        <v>69</v>
      </c>
      <c r="C655" s="11">
        <v>19</v>
      </c>
      <c r="D655" s="12">
        <v>45751</v>
      </c>
      <c r="E655" s="12">
        <f t="shared" si="20"/>
        <v>45793</v>
      </c>
      <c r="F655">
        <f t="shared" si="21"/>
        <v>42</v>
      </c>
    </row>
    <row r="656" spans="1:6">
      <c r="A656">
        <v>655</v>
      </c>
      <c r="B656" t="s">
        <v>69</v>
      </c>
      <c r="C656" s="11">
        <v>19</v>
      </c>
      <c r="D656" s="12">
        <v>45751</v>
      </c>
      <c r="E656" s="12">
        <f t="shared" si="20"/>
        <v>45793</v>
      </c>
      <c r="F656">
        <f t="shared" si="21"/>
        <v>42</v>
      </c>
    </row>
    <row r="657" spans="1:6">
      <c r="A657">
        <v>656</v>
      </c>
      <c r="B657" t="s">
        <v>65</v>
      </c>
      <c r="C657" s="11">
        <v>19</v>
      </c>
      <c r="D657" s="12">
        <v>45792</v>
      </c>
      <c r="E657" s="12">
        <f t="shared" si="20"/>
        <v>45834</v>
      </c>
      <c r="F657">
        <f t="shared" si="21"/>
        <v>42</v>
      </c>
    </row>
    <row r="658" spans="1:6">
      <c r="A658">
        <v>657</v>
      </c>
      <c r="B658" t="s">
        <v>65</v>
      </c>
      <c r="C658" s="11">
        <v>19</v>
      </c>
      <c r="D658" s="12">
        <v>45792</v>
      </c>
      <c r="E658" s="12">
        <f t="shared" si="20"/>
        <v>45834</v>
      </c>
      <c r="F658">
        <f t="shared" si="21"/>
        <v>42</v>
      </c>
    </row>
    <row r="659" spans="1:6">
      <c r="A659">
        <v>658</v>
      </c>
      <c r="B659" t="s">
        <v>65</v>
      </c>
      <c r="C659" s="11">
        <v>19</v>
      </c>
      <c r="D659" s="12">
        <v>45792</v>
      </c>
      <c r="E659" s="12">
        <f t="shared" si="20"/>
        <v>45834</v>
      </c>
      <c r="F659">
        <f t="shared" si="21"/>
        <v>42</v>
      </c>
    </row>
    <row r="660" spans="1:6">
      <c r="A660">
        <v>659</v>
      </c>
      <c r="B660" t="s">
        <v>64</v>
      </c>
      <c r="C660" s="11">
        <v>111</v>
      </c>
      <c r="D660" s="12">
        <v>45793</v>
      </c>
      <c r="E660" s="12">
        <f t="shared" si="20"/>
        <v>45835</v>
      </c>
      <c r="F660">
        <f t="shared" si="21"/>
        <v>42</v>
      </c>
    </row>
    <row r="661" spans="1:6">
      <c r="A661">
        <v>660</v>
      </c>
      <c r="B661" t="s">
        <v>64</v>
      </c>
      <c r="C661" s="11">
        <v>93</v>
      </c>
      <c r="D661" s="12">
        <v>45793</v>
      </c>
      <c r="E661" s="12">
        <f t="shared" si="20"/>
        <v>45835</v>
      </c>
      <c r="F661">
        <f t="shared" si="21"/>
        <v>42</v>
      </c>
    </row>
    <row r="662" spans="1:6">
      <c r="A662">
        <v>661</v>
      </c>
      <c r="B662" t="s">
        <v>85</v>
      </c>
      <c r="C662" s="11">
        <v>19</v>
      </c>
      <c r="D662" s="12">
        <v>45835</v>
      </c>
      <c r="E662" s="12">
        <f t="shared" si="20"/>
        <v>45877</v>
      </c>
      <c r="F662">
        <f t="shared" si="21"/>
        <v>42</v>
      </c>
    </row>
    <row r="663" spans="1:6">
      <c r="A663">
        <v>662</v>
      </c>
      <c r="B663" t="s">
        <v>85</v>
      </c>
      <c r="C663" s="11">
        <v>19</v>
      </c>
      <c r="D663" s="12">
        <v>45835</v>
      </c>
      <c r="E663" s="12">
        <f t="shared" si="20"/>
        <v>45877</v>
      </c>
      <c r="F663">
        <f t="shared" si="21"/>
        <v>42</v>
      </c>
    </row>
    <row r="664" spans="1:6">
      <c r="A664">
        <v>663</v>
      </c>
      <c r="B664" t="s">
        <v>64</v>
      </c>
      <c r="C664" s="11">
        <v>111</v>
      </c>
      <c r="D664" s="12">
        <v>45833</v>
      </c>
      <c r="E664" s="12">
        <f t="shared" si="20"/>
        <v>45875</v>
      </c>
      <c r="F664">
        <f t="shared" si="21"/>
        <v>42</v>
      </c>
    </row>
    <row r="665" spans="1:6">
      <c r="A665">
        <v>664</v>
      </c>
      <c r="B665" t="s">
        <v>64</v>
      </c>
      <c r="C665" s="11">
        <v>111</v>
      </c>
      <c r="D665" s="12">
        <v>45835</v>
      </c>
      <c r="E665" s="12">
        <f t="shared" si="20"/>
        <v>45877</v>
      </c>
      <c r="F665">
        <f t="shared" si="21"/>
        <v>42</v>
      </c>
    </row>
    <row r="666" spans="1:6">
      <c r="A666">
        <v>665</v>
      </c>
      <c r="B666" t="s">
        <v>98</v>
      </c>
      <c r="C666" s="11">
        <v>19</v>
      </c>
      <c r="D666" s="12">
        <v>45706</v>
      </c>
      <c r="E666" s="12">
        <f t="shared" si="20"/>
        <v>45748</v>
      </c>
      <c r="F666">
        <f t="shared" si="21"/>
        <v>42</v>
      </c>
    </row>
    <row r="667" spans="1:6">
      <c r="A667">
        <v>666</v>
      </c>
      <c r="B667" t="s">
        <v>85</v>
      </c>
      <c r="C667" s="11">
        <v>19</v>
      </c>
      <c r="D667" s="12">
        <v>45761</v>
      </c>
      <c r="E667" s="12">
        <f t="shared" si="20"/>
        <v>45803</v>
      </c>
      <c r="F667">
        <f t="shared" si="21"/>
        <v>42</v>
      </c>
    </row>
    <row r="668" spans="1:6">
      <c r="A668">
        <v>667</v>
      </c>
      <c r="B668" t="s">
        <v>85</v>
      </c>
      <c r="C668" s="11">
        <v>19</v>
      </c>
      <c r="D668" s="12">
        <v>45833</v>
      </c>
      <c r="E668" s="12">
        <f t="shared" si="20"/>
        <v>45875</v>
      </c>
      <c r="F668">
        <f t="shared" si="21"/>
        <v>42</v>
      </c>
    </row>
    <row r="669" spans="1:6">
      <c r="A669">
        <v>668</v>
      </c>
      <c r="B669" t="s">
        <v>105</v>
      </c>
      <c r="C669" s="11">
        <v>406</v>
      </c>
      <c r="D669" s="12">
        <v>45786</v>
      </c>
      <c r="E669" s="12">
        <f t="shared" si="20"/>
        <v>45828</v>
      </c>
      <c r="F669">
        <f t="shared" si="21"/>
        <v>42</v>
      </c>
    </row>
    <row r="670" spans="1:6">
      <c r="A670">
        <v>669</v>
      </c>
      <c r="B670" t="s">
        <v>69</v>
      </c>
      <c r="C670" s="11">
        <v>19</v>
      </c>
      <c r="D670" s="12">
        <v>45751</v>
      </c>
      <c r="E670" s="12">
        <f t="shared" si="20"/>
        <v>45793</v>
      </c>
      <c r="F670">
        <f t="shared" si="21"/>
        <v>42</v>
      </c>
    </row>
    <row r="671" spans="1:6">
      <c r="A671">
        <v>670</v>
      </c>
      <c r="B671" t="s">
        <v>69</v>
      </c>
      <c r="C671" s="11">
        <v>19</v>
      </c>
      <c r="D671" s="12">
        <v>45751</v>
      </c>
      <c r="E671" s="12">
        <f t="shared" si="20"/>
        <v>45793</v>
      </c>
      <c r="F671">
        <f t="shared" si="21"/>
        <v>42</v>
      </c>
    </row>
    <row r="672" spans="1:6">
      <c r="A672">
        <v>671</v>
      </c>
      <c r="B672" t="s">
        <v>85</v>
      </c>
      <c r="C672" s="11">
        <v>19</v>
      </c>
      <c r="D672" s="12">
        <v>45761</v>
      </c>
      <c r="E672" s="12">
        <f t="shared" si="20"/>
        <v>45803</v>
      </c>
      <c r="F672">
        <f t="shared" si="21"/>
        <v>42</v>
      </c>
    </row>
    <row r="673" spans="1:6">
      <c r="A673">
        <v>672</v>
      </c>
      <c r="B673" t="s">
        <v>77</v>
      </c>
      <c r="C673" s="11">
        <v>18</v>
      </c>
      <c r="D673" s="12">
        <v>45761</v>
      </c>
      <c r="E673" s="12">
        <f t="shared" si="20"/>
        <v>45803</v>
      </c>
      <c r="F673">
        <f t="shared" si="21"/>
        <v>42</v>
      </c>
    </row>
    <row r="674" spans="1:6">
      <c r="A674">
        <v>673</v>
      </c>
      <c r="B674" t="s">
        <v>65</v>
      </c>
      <c r="C674" s="11">
        <v>19</v>
      </c>
      <c r="D674" s="12">
        <v>45792</v>
      </c>
      <c r="E674" s="12">
        <f t="shared" si="20"/>
        <v>45834</v>
      </c>
      <c r="F674">
        <f t="shared" si="21"/>
        <v>42</v>
      </c>
    </row>
    <row r="675" spans="1:6">
      <c r="A675">
        <v>674</v>
      </c>
      <c r="B675" t="s">
        <v>77</v>
      </c>
      <c r="C675" s="11">
        <v>18</v>
      </c>
      <c r="D675" s="12">
        <v>45790</v>
      </c>
      <c r="E675" s="12">
        <f t="shared" si="20"/>
        <v>45832</v>
      </c>
      <c r="F675">
        <f t="shared" si="21"/>
        <v>42</v>
      </c>
    </row>
    <row r="676" spans="1:6">
      <c r="A676">
        <v>675</v>
      </c>
      <c r="B676" t="s">
        <v>85</v>
      </c>
      <c r="C676" s="11">
        <v>19</v>
      </c>
      <c r="D676" s="12">
        <v>45835</v>
      </c>
      <c r="E676" s="12">
        <f t="shared" si="20"/>
        <v>45877</v>
      </c>
      <c r="F676">
        <f t="shared" si="21"/>
        <v>42</v>
      </c>
    </row>
    <row r="677" spans="1:6">
      <c r="A677">
        <v>676</v>
      </c>
      <c r="B677" t="s">
        <v>85</v>
      </c>
      <c r="C677" s="11">
        <v>19</v>
      </c>
      <c r="D677" s="12">
        <v>45835</v>
      </c>
      <c r="E677" s="12">
        <f t="shared" si="20"/>
        <v>45877</v>
      </c>
      <c r="F677">
        <f t="shared" si="21"/>
        <v>42</v>
      </c>
    </row>
    <row r="678" spans="1:6">
      <c r="A678">
        <v>677</v>
      </c>
      <c r="B678" t="s">
        <v>85</v>
      </c>
      <c r="C678" s="11">
        <v>19</v>
      </c>
      <c r="D678" s="12">
        <v>45835</v>
      </c>
      <c r="E678" s="12">
        <f t="shared" si="20"/>
        <v>45877</v>
      </c>
      <c r="F678">
        <f t="shared" si="21"/>
        <v>42</v>
      </c>
    </row>
    <row r="679" spans="1:6">
      <c r="A679">
        <v>678</v>
      </c>
      <c r="B679" t="s">
        <v>98</v>
      </c>
      <c r="C679" s="11">
        <v>19</v>
      </c>
      <c r="D679" s="12">
        <v>45706</v>
      </c>
      <c r="E679" s="12">
        <f t="shared" si="20"/>
        <v>45748</v>
      </c>
      <c r="F679">
        <f t="shared" si="21"/>
        <v>42</v>
      </c>
    </row>
    <row r="680" spans="1:6">
      <c r="A680">
        <v>679</v>
      </c>
      <c r="B680" t="s">
        <v>106</v>
      </c>
      <c r="C680" s="11">
        <v>19</v>
      </c>
      <c r="D680" s="12">
        <v>45799</v>
      </c>
      <c r="E680" s="12">
        <f t="shared" si="20"/>
        <v>45841</v>
      </c>
      <c r="F680">
        <f t="shared" si="21"/>
        <v>42</v>
      </c>
    </row>
    <row r="681" spans="1:6">
      <c r="A681">
        <v>680</v>
      </c>
      <c r="B681" t="s">
        <v>106</v>
      </c>
      <c r="C681" s="11">
        <v>19</v>
      </c>
      <c r="D681" s="12">
        <v>45799</v>
      </c>
      <c r="E681" s="12">
        <f t="shared" si="20"/>
        <v>45841</v>
      </c>
      <c r="F681">
        <f t="shared" si="21"/>
        <v>42</v>
      </c>
    </row>
    <row r="682" spans="1:6">
      <c r="A682">
        <v>681</v>
      </c>
      <c r="B682" t="s">
        <v>69</v>
      </c>
      <c r="C682" s="11">
        <v>19</v>
      </c>
      <c r="D682" s="12">
        <v>45751</v>
      </c>
      <c r="E682" s="12">
        <f t="shared" si="20"/>
        <v>45793</v>
      </c>
      <c r="F682">
        <f t="shared" si="21"/>
        <v>42</v>
      </c>
    </row>
    <row r="683" spans="1:6">
      <c r="A683">
        <v>682</v>
      </c>
      <c r="B683" t="s">
        <v>69</v>
      </c>
      <c r="C683" s="11">
        <v>19</v>
      </c>
      <c r="D683" s="12">
        <v>45751</v>
      </c>
      <c r="E683" s="12">
        <f t="shared" si="20"/>
        <v>45793</v>
      </c>
      <c r="F683">
        <f t="shared" si="21"/>
        <v>42</v>
      </c>
    </row>
    <row r="684" spans="1:6">
      <c r="A684">
        <v>683</v>
      </c>
      <c r="B684" t="s">
        <v>85</v>
      </c>
      <c r="C684" s="11">
        <v>19</v>
      </c>
      <c r="D684" s="12">
        <v>45761</v>
      </c>
      <c r="E684" s="12">
        <f t="shared" si="20"/>
        <v>45803</v>
      </c>
      <c r="F684">
        <f t="shared" si="21"/>
        <v>42</v>
      </c>
    </row>
    <row r="685" spans="1:6">
      <c r="A685">
        <v>684</v>
      </c>
      <c r="B685" t="s">
        <v>87</v>
      </c>
      <c r="C685" s="11">
        <v>18</v>
      </c>
      <c r="D685" s="12">
        <v>45811</v>
      </c>
      <c r="E685" s="12">
        <f t="shared" si="20"/>
        <v>45853</v>
      </c>
      <c r="F685">
        <f t="shared" si="21"/>
        <v>42</v>
      </c>
    </row>
    <row r="686" spans="1:6">
      <c r="A686">
        <v>685</v>
      </c>
      <c r="B686" t="s">
        <v>74</v>
      </c>
      <c r="C686" s="11">
        <v>152</v>
      </c>
      <c r="D686" s="12">
        <v>45805</v>
      </c>
      <c r="E686" s="12">
        <f t="shared" si="20"/>
        <v>45847</v>
      </c>
      <c r="F686">
        <f t="shared" si="21"/>
        <v>42</v>
      </c>
    </row>
    <row r="687" spans="1:6">
      <c r="A687">
        <v>686</v>
      </c>
      <c r="B687" t="s">
        <v>69</v>
      </c>
      <c r="C687" s="11">
        <v>312</v>
      </c>
      <c r="D687" s="12">
        <v>45820</v>
      </c>
      <c r="E687" s="12">
        <f t="shared" si="20"/>
        <v>45862</v>
      </c>
      <c r="F687">
        <f t="shared" si="21"/>
        <v>42</v>
      </c>
    </row>
    <row r="688" spans="1:6">
      <c r="A688">
        <v>687</v>
      </c>
      <c r="B688" t="s">
        <v>100</v>
      </c>
      <c r="C688" s="11">
        <v>304</v>
      </c>
      <c r="D688" s="12">
        <v>45820</v>
      </c>
      <c r="E688" s="12">
        <f t="shared" si="20"/>
        <v>45862</v>
      </c>
      <c r="F688">
        <f t="shared" si="21"/>
        <v>42</v>
      </c>
    </row>
    <row r="689" spans="1:6">
      <c r="A689">
        <v>688</v>
      </c>
      <c r="B689" t="s">
        <v>85</v>
      </c>
      <c r="C689" s="11">
        <v>19</v>
      </c>
      <c r="D689" s="12">
        <v>45835</v>
      </c>
      <c r="E689" s="12">
        <f t="shared" si="20"/>
        <v>45877</v>
      </c>
      <c r="F689">
        <f t="shared" si="21"/>
        <v>42</v>
      </c>
    </row>
    <row r="690" spans="1:6">
      <c r="A690">
        <v>689</v>
      </c>
      <c r="B690" t="s">
        <v>98</v>
      </c>
      <c r="C690" s="11">
        <v>19</v>
      </c>
      <c r="D690" s="12">
        <v>45706</v>
      </c>
      <c r="E690" s="12">
        <f t="shared" si="20"/>
        <v>45748</v>
      </c>
      <c r="F690">
        <f t="shared" si="21"/>
        <v>42</v>
      </c>
    </row>
    <row r="691" spans="1:6">
      <c r="A691">
        <v>690</v>
      </c>
      <c r="B691" t="s">
        <v>93</v>
      </c>
      <c r="C691" s="11">
        <v>500</v>
      </c>
      <c r="D691" s="12">
        <v>45748</v>
      </c>
      <c r="E691" s="12">
        <f t="shared" si="20"/>
        <v>45790</v>
      </c>
      <c r="F691">
        <f t="shared" si="21"/>
        <v>42</v>
      </c>
    </row>
    <row r="692" spans="1:6">
      <c r="A692">
        <v>691</v>
      </c>
      <c r="B692" t="s">
        <v>111</v>
      </c>
      <c r="C692" s="11">
        <v>67</v>
      </c>
      <c r="D692" s="12">
        <v>45758</v>
      </c>
      <c r="E692" s="12">
        <f t="shared" si="20"/>
        <v>45800</v>
      </c>
      <c r="F692">
        <f t="shared" si="21"/>
        <v>42</v>
      </c>
    </row>
    <row r="693" spans="1:6">
      <c r="A693">
        <v>692</v>
      </c>
      <c r="B693" t="s">
        <v>69</v>
      </c>
      <c r="C693" s="11">
        <v>19</v>
      </c>
      <c r="D693" s="12">
        <v>45751</v>
      </c>
      <c r="E693" s="12">
        <f t="shared" si="20"/>
        <v>45793</v>
      </c>
      <c r="F693">
        <f t="shared" si="21"/>
        <v>42</v>
      </c>
    </row>
    <row r="694" spans="1:6">
      <c r="A694">
        <v>693</v>
      </c>
      <c r="B694" t="s">
        <v>69</v>
      </c>
      <c r="C694" s="11">
        <v>19</v>
      </c>
      <c r="D694" s="12">
        <v>45751</v>
      </c>
      <c r="E694" s="12">
        <f t="shared" si="20"/>
        <v>45793</v>
      </c>
      <c r="F694">
        <f t="shared" si="21"/>
        <v>42</v>
      </c>
    </row>
    <row r="695" spans="1:6">
      <c r="A695">
        <v>694</v>
      </c>
      <c r="B695" t="s">
        <v>85</v>
      </c>
      <c r="C695" s="11">
        <v>19</v>
      </c>
      <c r="D695" s="12">
        <v>45761</v>
      </c>
      <c r="E695" s="12">
        <f t="shared" si="20"/>
        <v>45803</v>
      </c>
      <c r="F695">
        <f t="shared" si="21"/>
        <v>42</v>
      </c>
    </row>
    <row r="696" spans="1:6">
      <c r="A696">
        <v>695</v>
      </c>
      <c r="B696" t="s">
        <v>77</v>
      </c>
      <c r="C696" s="11">
        <v>18</v>
      </c>
      <c r="D696" s="12">
        <v>45761</v>
      </c>
      <c r="E696" s="12">
        <f t="shared" si="20"/>
        <v>45803</v>
      </c>
      <c r="F696">
        <f t="shared" si="21"/>
        <v>42</v>
      </c>
    </row>
    <row r="697" spans="1:6">
      <c r="A697">
        <v>696</v>
      </c>
      <c r="B697" t="s">
        <v>65</v>
      </c>
      <c r="C697" s="11">
        <v>19</v>
      </c>
      <c r="D697" s="12">
        <v>45792</v>
      </c>
      <c r="E697" s="12">
        <f t="shared" si="20"/>
        <v>45834</v>
      </c>
      <c r="F697">
        <f t="shared" si="21"/>
        <v>42</v>
      </c>
    </row>
    <row r="698" spans="1:6">
      <c r="A698">
        <v>697</v>
      </c>
      <c r="B698" t="s">
        <v>66</v>
      </c>
      <c r="C698" s="11">
        <v>54</v>
      </c>
      <c r="D698" s="12">
        <v>45804</v>
      </c>
      <c r="E698" s="12">
        <f t="shared" si="20"/>
        <v>45846</v>
      </c>
      <c r="F698">
        <f t="shared" si="21"/>
        <v>42</v>
      </c>
    </row>
    <row r="699" spans="1:6">
      <c r="A699">
        <v>698</v>
      </c>
      <c r="B699" t="s">
        <v>66</v>
      </c>
      <c r="C699" s="11">
        <v>54</v>
      </c>
      <c r="D699" s="12">
        <v>45804</v>
      </c>
      <c r="E699" s="12">
        <f t="shared" si="20"/>
        <v>45846</v>
      </c>
      <c r="F699">
        <f t="shared" si="21"/>
        <v>42</v>
      </c>
    </row>
    <row r="700" spans="1:6">
      <c r="A700">
        <v>699</v>
      </c>
      <c r="B700" t="s">
        <v>66</v>
      </c>
      <c r="C700" s="11">
        <v>54</v>
      </c>
      <c r="D700" s="12">
        <v>45804</v>
      </c>
      <c r="E700" s="12">
        <f t="shared" si="20"/>
        <v>45846</v>
      </c>
      <c r="F700">
        <f t="shared" si="21"/>
        <v>42</v>
      </c>
    </row>
    <row r="701" spans="1:6">
      <c r="A701">
        <v>700</v>
      </c>
      <c r="B701" t="s">
        <v>66</v>
      </c>
      <c r="C701" s="11">
        <v>54</v>
      </c>
      <c r="D701" s="12">
        <v>45804</v>
      </c>
      <c r="E701" s="12">
        <f t="shared" si="20"/>
        <v>45846</v>
      </c>
      <c r="F701">
        <f t="shared" si="21"/>
        <v>42</v>
      </c>
    </row>
    <row r="702" spans="1:6">
      <c r="A702">
        <v>701</v>
      </c>
      <c r="B702" t="s">
        <v>109</v>
      </c>
      <c r="C702" s="11">
        <v>550</v>
      </c>
      <c r="D702" s="12">
        <v>45819</v>
      </c>
      <c r="E702" s="12">
        <f t="shared" si="20"/>
        <v>45861</v>
      </c>
      <c r="F702">
        <f t="shared" si="21"/>
        <v>42</v>
      </c>
    </row>
    <row r="703" spans="1:6">
      <c r="A703">
        <v>702</v>
      </c>
      <c r="B703" t="s">
        <v>65</v>
      </c>
      <c r="C703" s="11">
        <v>38</v>
      </c>
      <c r="D703" s="12">
        <v>45813</v>
      </c>
      <c r="E703" s="12">
        <f t="shared" si="20"/>
        <v>45855</v>
      </c>
      <c r="F703">
        <f t="shared" si="21"/>
        <v>42</v>
      </c>
    </row>
    <row r="704" spans="1:6">
      <c r="A704">
        <v>703</v>
      </c>
      <c r="B704" t="s">
        <v>65</v>
      </c>
      <c r="C704" s="11">
        <v>57</v>
      </c>
      <c r="D704" s="12">
        <v>45813</v>
      </c>
      <c r="E704" s="12">
        <f t="shared" si="20"/>
        <v>45855</v>
      </c>
      <c r="F704">
        <f t="shared" si="21"/>
        <v>42</v>
      </c>
    </row>
    <row r="705" spans="1:6">
      <c r="A705">
        <v>704</v>
      </c>
      <c r="B705" t="s">
        <v>98</v>
      </c>
      <c r="C705" s="11">
        <v>19</v>
      </c>
      <c r="D705" s="12">
        <v>45706</v>
      </c>
      <c r="E705" s="12">
        <f t="shared" si="20"/>
        <v>45748</v>
      </c>
      <c r="F705">
        <f t="shared" si="21"/>
        <v>42</v>
      </c>
    </row>
    <row r="706" spans="1:6">
      <c r="A706">
        <v>705</v>
      </c>
      <c r="B706" t="s">
        <v>69</v>
      </c>
      <c r="C706" s="11">
        <v>19</v>
      </c>
      <c r="D706" s="12">
        <v>45751</v>
      </c>
      <c r="E706" s="12">
        <f t="shared" ref="E706:E769" si="22">D706+6*7</f>
        <v>45793</v>
      </c>
      <c r="F706">
        <f t="shared" ref="F706:F769" si="23">E706-D706</f>
        <v>42</v>
      </c>
    </row>
    <row r="707" spans="1:6">
      <c r="A707">
        <v>706</v>
      </c>
      <c r="B707" t="s">
        <v>69</v>
      </c>
      <c r="C707" s="11">
        <v>19</v>
      </c>
      <c r="D707" s="12">
        <v>45751</v>
      </c>
      <c r="E707" s="12">
        <f t="shared" si="22"/>
        <v>45793</v>
      </c>
      <c r="F707">
        <f t="shared" si="23"/>
        <v>42</v>
      </c>
    </row>
    <row r="708" spans="1:6">
      <c r="A708">
        <v>707</v>
      </c>
      <c r="B708" t="s">
        <v>77</v>
      </c>
      <c r="C708" s="11">
        <v>18</v>
      </c>
      <c r="D708" s="12">
        <v>45761</v>
      </c>
      <c r="E708" s="12">
        <f t="shared" si="22"/>
        <v>45803</v>
      </c>
      <c r="F708">
        <f t="shared" si="23"/>
        <v>42</v>
      </c>
    </row>
    <row r="709" spans="1:6">
      <c r="A709">
        <v>708</v>
      </c>
      <c r="B709" t="s">
        <v>98</v>
      </c>
      <c r="C709" s="11">
        <v>19</v>
      </c>
      <c r="D709" s="12">
        <v>45706</v>
      </c>
      <c r="E709" s="12">
        <f t="shared" si="22"/>
        <v>45748</v>
      </c>
      <c r="F709">
        <f t="shared" si="23"/>
        <v>42</v>
      </c>
    </row>
    <row r="710" spans="1:6">
      <c r="A710">
        <v>709</v>
      </c>
      <c r="B710" t="s">
        <v>112</v>
      </c>
      <c r="C710" s="11">
        <v>70</v>
      </c>
      <c r="D710" s="12">
        <v>45690</v>
      </c>
      <c r="E710" s="12">
        <f t="shared" si="22"/>
        <v>45732</v>
      </c>
      <c r="F710">
        <f t="shared" si="23"/>
        <v>42</v>
      </c>
    </row>
    <row r="711" spans="1:6">
      <c r="A711">
        <v>710</v>
      </c>
      <c r="B711" t="s">
        <v>93</v>
      </c>
      <c r="C711" s="11">
        <v>678</v>
      </c>
      <c r="D711" s="12">
        <v>45694</v>
      </c>
      <c r="E711" s="12">
        <f t="shared" si="22"/>
        <v>45736</v>
      </c>
      <c r="F711">
        <f t="shared" si="23"/>
        <v>42</v>
      </c>
    </row>
    <row r="712" spans="1:6">
      <c r="A712">
        <v>711</v>
      </c>
      <c r="B712" t="s">
        <v>80</v>
      </c>
      <c r="C712" s="11">
        <v>19</v>
      </c>
      <c r="D712" s="12">
        <v>45722</v>
      </c>
      <c r="E712" s="12">
        <f t="shared" si="22"/>
        <v>45764</v>
      </c>
      <c r="F712">
        <f t="shared" si="23"/>
        <v>42</v>
      </c>
    </row>
    <row r="713" spans="1:6">
      <c r="A713">
        <v>712</v>
      </c>
      <c r="B713" t="s">
        <v>65</v>
      </c>
      <c r="C713" s="11">
        <v>10</v>
      </c>
      <c r="D713" s="12">
        <v>45735</v>
      </c>
      <c r="E713" s="12">
        <f t="shared" si="22"/>
        <v>45777</v>
      </c>
      <c r="F713">
        <f t="shared" si="23"/>
        <v>42</v>
      </c>
    </row>
    <row r="714" spans="1:6">
      <c r="A714">
        <v>713</v>
      </c>
      <c r="B714" t="s">
        <v>93</v>
      </c>
      <c r="C714" s="11">
        <v>500</v>
      </c>
      <c r="D714" s="12">
        <v>45750</v>
      </c>
      <c r="E714" s="12">
        <f t="shared" si="22"/>
        <v>45792</v>
      </c>
      <c r="F714">
        <f t="shared" si="23"/>
        <v>42</v>
      </c>
    </row>
    <row r="715" spans="1:6">
      <c r="A715">
        <v>714</v>
      </c>
      <c r="B715" t="s">
        <v>105</v>
      </c>
      <c r="C715" s="11">
        <v>358</v>
      </c>
      <c r="D715" s="12">
        <v>45807</v>
      </c>
      <c r="E715" s="12">
        <f t="shared" si="22"/>
        <v>45849</v>
      </c>
      <c r="F715">
        <f t="shared" si="23"/>
        <v>42</v>
      </c>
    </row>
    <row r="716" spans="1:6">
      <c r="A716">
        <v>715</v>
      </c>
      <c r="B716" t="s">
        <v>108</v>
      </c>
      <c r="C716" s="11">
        <v>54</v>
      </c>
      <c r="D716" s="12">
        <v>45799</v>
      </c>
      <c r="E716" s="12">
        <f t="shared" si="22"/>
        <v>45841</v>
      </c>
      <c r="F716">
        <f t="shared" si="23"/>
        <v>42</v>
      </c>
    </row>
    <row r="717" spans="1:6">
      <c r="A717">
        <v>716</v>
      </c>
      <c r="B717" t="s">
        <v>108</v>
      </c>
      <c r="C717" s="11">
        <v>54</v>
      </c>
      <c r="D717" s="12">
        <v>45799</v>
      </c>
      <c r="E717" s="12">
        <f t="shared" si="22"/>
        <v>45841</v>
      </c>
      <c r="F717">
        <f t="shared" si="23"/>
        <v>42</v>
      </c>
    </row>
    <row r="718" spans="1:6">
      <c r="A718">
        <v>717</v>
      </c>
      <c r="B718" t="s">
        <v>108</v>
      </c>
      <c r="C718" s="11">
        <v>54</v>
      </c>
      <c r="D718" s="12">
        <v>45799</v>
      </c>
      <c r="E718" s="12">
        <f t="shared" si="22"/>
        <v>45841</v>
      </c>
      <c r="F718">
        <f t="shared" si="23"/>
        <v>42</v>
      </c>
    </row>
    <row r="719" spans="1:6">
      <c r="A719">
        <v>718</v>
      </c>
      <c r="B719" t="s">
        <v>108</v>
      </c>
      <c r="C719" s="11">
        <v>54</v>
      </c>
      <c r="D719" s="12">
        <v>45799</v>
      </c>
      <c r="E719" s="12">
        <f t="shared" si="22"/>
        <v>45841</v>
      </c>
      <c r="F719">
        <f t="shared" si="23"/>
        <v>42</v>
      </c>
    </row>
    <row r="720" spans="1:6">
      <c r="A720">
        <v>719</v>
      </c>
      <c r="B720" t="s">
        <v>108</v>
      </c>
      <c r="C720" s="11">
        <v>54</v>
      </c>
      <c r="D720" s="12">
        <v>45799</v>
      </c>
      <c r="E720" s="12">
        <f t="shared" si="22"/>
        <v>45841</v>
      </c>
      <c r="F720">
        <f t="shared" si="23"/>
        <v>42</v>
      </c>
    </row>
    <row r="721" spans="1:6">
      <c r="A721">
        <v>720</v>
      </c>
      <c r="B721" t="s">
        <v>85</v>
      </c>
      <c r="C721" s="11">
        <v>19</v>
      </c>
      <c r="D721" s="12">
        <v>45845</v>
      </c>
      <c r="E721" s="12">
        <f t="shared" si="22"/>
        <v>45887</v>
      </c>
      <c r="F721">
        <f t="shared" si="23"/>
        <v>42</v>
      </c>
    </row>
    <row r="722" spans="1:6">
      <c r="A722">
        <v>721</v>
      </c>
      <c r="B722" t="s">
        <v>85</v>
      </c>
      <c r="C722" s="11">
        <v>19</v>
      </c>
      <c r="D722" s="12">
        <v>45845</v>
      </c>
      <c r="E722" s="12">
        <f t="shared" si="22"/>
        <v>45887</v>
      </c>
      <c r="F722">
        <f t="shared" si="23"/>
        <v>42</v>
      </c>
    </row>
    <row r="723" spans="1:6">
      <c r="A723">
        <v>722</v>
      </c>
      <c r="B723" t="s">
        <v>85</v>
      </c>
      <c r="C723" s="11">
        <v>19</v>
      </c>
      <c r="D723" s="12">
        <v>45845</v>
      </c>
      <c r="E723" s="12">
        <f t="shared" si="22"/>
        <v>45887</v>
      </c>
      <c r="F723">
        <f t="shared" si="23"/>
        <v>42</v>
      </c>
    </row>
    <row r="724" spans="1:6">
      <c r="A724">
        <v>723</v>
      </c>
      <c r="B724" t="s">
        <v>85</v>
      </c>
      <c r="C724" s="11">
        <v>19</v>
      </c>
      <c r="D724" s="12">
        <v>45845</v>
      </c>
      <c r="E724" s="12">
        <f t="shared" si="22"/>
        <v>45887</v>
      </c>
      <c r="F724">
        <f t="shared" si="23"/>
        <v>42</v>
      </c>
    </row>
    <row r="725" spans="1:6">
      <c r="A725">
        <v>724</v>
      </c>
      <c r="B725" t="s">
        <v>82</v>
      </c>
      <c r="C725" s="11">
        <v>19</v>
      </c>
      <c r="D725" s="12">
        <v>45804</v>
      </c>
      <c r="E725" s="12">
        <f t="shared" si="22"/>
        <v>45846</v>
      </c>
      <c r="F725">
        <f t="shared" si="23"/>
        <v>42</v>
      </c>
    </row>
    <row r="726" spans="1:6">
      <c r="A726">
        <v>725</v>
      </c>
      <c r="B726" t="s">
        <v>99</v>
      </c>
      <c r="C726" s="11">
        <v>190</v>
      </c>
      <c r="D726" s="12">
        <v>45813</v>
      </c>
      <c r="E726" s="12">
        <f t="shared" si="22"/>
        <v>45855</v>
      </c>
      <c r="F726">
        <f t="shared" si="23"/>
        <v>42</v>
      </c>
    </row>
    <row r="727" spans="1:6">
      <c r="A727">
        <v>726</v>
      </c>
      <c r="B727" t="s">
        <v>77</v>
      </c>
      <c r="C727" s="11">
        <v>18</v>
      </c>
      <c r="D727" s="12">
        <v>45761</v>
      </c>
      <c r="E727" s="12">
        <f t="shared" si="22"/>
        <v>45803</v>
      </c>
      <c r="F727">
        <f t="shared" si="23"/>
        <v>42</v>
      </c>
    </row>
    <row r="728" spans="1:6">
      <c r="A728">
        <v>727</v>
      </c>
      <c r="B728" t="s">
        <v>77</v>
      </c>
      <c r="C728" s="11">
        <v>18</v>
      </c>
      <c r="D728" s="12">
        <v>45769</v>
      </c>
      <c r="E728" s="12">
        <f t="shared" si="22"/>
        <v>45811</v>
      </c>
      <c r="F728">
        <f t="shared" si="23"/>
        <v>42</v>
      </c>
    </row>
    <row r="729" spans="1:6">
      <c r="A729">
        <v>728</v>
      </c>
      <c r="B729" t="s">
        <v>87</v>
      </c>
      <c r="C729" s="11">
        <v>18</v>
      </c>
      <c r="D729" s="12">
        <v>45811</v>
      </c>
      <c r="E729" s="12">
        <f t="shared" si="22"/>
        <v>45853</v>
      </c>
      <c r="F729">
        <f t="shared" si="23"/>
        <v>42</v>
      </c>
    </row>
    <row r="730" spans="1:6">
      <c r="A730">
        <v>729</v>
      </c>
      <c r="B730" t="s">
        <v>98</v>
      </c>
      <c r="C730" s="11">
        <v>19</v>
      </c>
      <c r="D730" s="12">
        <v>45706</v>
      </c>
      <c r="E730" s="12">
        <f t="shared" si="22"/>
        <v>45748</v>
      </c>
      <c r="F730">
        <f t="shared" si="23"/>
        <v>42</v>
      </c>
    </row>
    <row r="731" spans="1:6">
      <c r="A731">
        <v>730</v>
      </c>
      <c r="B731" t="s">
        <v>98</v>
      </c>
      <c r="C731" s="11">
        <v>19</v>
      </c>
      <c r="D731" s="12">
        <v>45706</v>
      </c>
      <c r="E731" s="12">
        <f t="shared" si="22"/>
        <v>45748</v>
      </c>
      <c r="F731">
        <f t="shared" si="23"/>
        <v>42</v>
      </c>
    </row>
    <row r="732" spans="1:6">
      <c r="A732">
        <v>731</v>
      </c>
      <c r="B732" t="s">
        <v>77</v>
      </c>
      <c r="C732" s="11">
        <v>18</v>
      </c>
      <c r="D732" s="12">
        <v>45769</v>
      </c>
      <c r="E732" s="12">
        <f t="shared" si="22"/>
        <v>45811</v>
      </c>
      <c r="F732">
        <f t="shared" si="23"/>
        <v>42</v>
      </c>
    </row>
    <row r="733" spans="1:6">
      <c r="A733">
        <v>732</v>
      </c>
      <c r="B733" t="s">
        <v>74</v>
      </c>
      <c r="C733" s="11">
        <v>209</v>
      </c>
      <c r="D733" s="12">
        <v>45805</v>
      </c>
      <c r="E733" s="12">
        <f t="shared" si="22"/>
        <v>45847</v>
      </c>
      <c r="F733">
        <f t="shared" si="23"/>
        <v>42</v>
      </c>
    </row>
    <row r="734" spans="1:6">
      <c r="A734">
        <v>733</v>
      </c>
      <c r="B734" t="s">
        <v>65</v>
      </c>
      <c r="C734" s="11">
        <v>38</v>
      </c>
      <c r="D734" s="12">
        <v>45813</v>
      </c>
      <c r="E734" s="12">
        <f t="shared" si="22"/>
        <v>45855</v>
      </c>
      <c r="F734">
        <f t="shared" si="23"/>
        <v>42</v>
      </c>
    </row>
    <row r="735" spans="1:6">
      <c r="A735">
        <v>734</v>
      </c>
      <c r="B735" t="s">
        <v>77</v>
      </c>
      <c r="C735" s="11">
        <v>18</v>
      </c>
      <c r="D735" s="12">
        <v>45769</v>
      </c>
      <c r="E735" s="12">
        <f t="shared" si="22"/>
        <v>45811</v>
      </c>
      <c r="F735">
        <f t="shared" si="23"/>
        <v>42</v>
      </c>
    </row>
    <row r="736" spans="1:6">
      <c r="A736">
        <v>735</v>
      </c>
      <c r="B736" t="s">
        <v>65</v>
      </c>
      <c r="C736" s="11">
        <v>57</v>
      </c>
      <c r="D736" s="12">
        <v>45813</v>
      </c>
      <c r="E736" s="12">
        <f t="shared" si="22"/>
        <v>45855</v>
      </c>
      <c r="F736">
        <f t="shared" si="23"/>
        <v>42</v>
      </c>
    </row>
    <row r="737" spans="1:6">
      <c r="A737">
        <v>736</v>
      </c>
      <c r="B737" t="s">
        <v>99</v>
      </c>
      <c r="C737" s="11">
        <v>19</v>
      </c>
      <c r="D737" s="12">
        <v>45853</v>
      </c>
      <c r="E737" s="12">
        <f t="shared" si="22"/>
        <v>45895</v>
      </c>
      <c r="F737">
        <f t="shared" si="23"/>
        <v>42</v>
      </c>
    </row>
    <row r="738" spans="1:6">
      <c r="A738">
        <v>737</v>
      </c>
      <c r="B738" t="s">
        <v>99</v>
      </c>
      <c r="C738" s="11">
        <v>19</v>
      </c>
      <c r="D738" s="12">
        <v>45853</v>
      </c>
      <c r="E738" s="12">
        <f t="shared" si="22"/>
        <v>45895</v>
      </c>
      <c r="F738">
        <f t="shared" si="23"/>
        <v>42</v>
      </c>
    </row>
    <row r="739" spans="1:6">
      <c r="A739">
        <v>738</v>
      </c>
      <c r="B739" t="s">
        <v>99</v>
      </c>
      <c r="C739" s="11">
        <v>19</v>
      </c>
      <c r="D739" s="12">
        <v>45853</v>
      </c>
      <c r="E739" s="12">
        <f t="shared" si="22"/>
        <v>45895</v>
      </c>
      <c r="F739">
        <f t="shared" si="23"/>
        <v>42</v>
      </c>
    </row>
    <row r="740" spans="1:6">
      <c r="A740">
        <v>739</v>
      </c>
      <c r="B740" t="s">
        <v>99</v>
      </c>
      <c r="C740" s="11">
        <v>19</v>
      </c>
      <c r="D740" s="12">
        <v>45853</v>
      </c>
      <c r="E740" s="12">
        <f t="shared" si="22"/>
        <v>45895</v>
      </c>
      <c r="F740">
        <f t="shared" si="23"/>
        <v>42</v>
      </c>
    </row>
    <row r="741" spans="1:6">
      <c r="A741">
        <v>740</v>
      </c>
      <c r="B741" t="s">
        <v>99</v>
      </c>
      <c r="C741" s="11">
        <v>19</v>
      </c>
      <c r="D741" s="12">
        <v>45853</v>
      </c>
      <c r="E741" s="12">
        <f t="shared" si="22"/>
        <v>45895</v>
      </c>
      <c r="F741">
        <f t="shared" si="23"/>
        <v>42</v>
      </c>
    </row>
    <row r="742" spans="1:6">
      <c r="A742">
        <v>741</v>
      </c>
      <c r="B742" t="s">
        <v>99</v>
      </c>
      <c r="C742" s="11">
        <v>19</v>
      </c>
      <c r="D742" s="12">
        <v>45853</v>
      </c>
      <c r="E742" s="12">
        <f t="shared" si="22"/>
        <v>45895</v>
      </c>
      <c r="F742">
        <f t="shared" si="23"/>
        <v>42</v>
      </c>
    </row>
    <row r="743" spans="1:6">
      <c r="A743">
        <v>742</v>
      </c>
      <c r="B743" t="s">
        <v>64</v>
      </c>
      <c r="C743" s="11">
        <v>111</v>
      </c>
      <c r="D743" s="12">
        <v>45831</v>
      </c>
      <c r="E743" s="12">
        <f t="shared" si="22"/>
        <v>45873</v>
      </c>
      <c r="F743">
        <f t="shared" si="23"/>
        <v>42</v>
      </c>
    </row>
    <row r="744" spans="1:6">
      <c r="A744">
        <v>743</v>
      </c>
      <c r="B744" t="s">
        <v>106</v>
      </c>
      <c r="C744" s="11">
        <v>19</v>
      </c>
      <c r="D744" s="12">
        <v>45809</v>
      </c>
      <c r="E744" s="12">
        <f t="shared" si="22"/>
        <v>45851</v>
      </c>
      <c r="F744">
        <f t="shared" si="23"/>
        <v>42</v>
      </c>
    </row>
    <row r="745" spans="1:6">
      <c r="A745">
        <v>744</v>
      </c>
      <c r="B745" t="s">
        <v>94</v>
      </c>
      <c r="C745" s="11">
        <v>99</v>
      </c>
      <c r="D745" s="12">
        <v>45767</v>
      </c>
      <c r="E745" s="12">
        <f t="shared" si="22"/>
        <v>45809</v>
      </c>
      <c r="F745">
        <f t="shared" si="23"/>
        <v>42</v>
      </c>
    </row>
    <row r="746" spans="1:6">
      <c r="A746">
        <v>745</v>
      </c>
      <c r="B746" t="s">
        <v>105</v>
      </c>
      <c r="C746" s="11">
        <v>215</v>
      </c>
      <c r="D746" s="12">
        <v>45849</v>
      </c>
      <c r="E746" s="12">
        <f t="shared" si="22"/>
        <v>45891</v>
      </c>
      <c r="F746">
        <f t="shared" si="23"/>
        <v>42</v>
      </c>
    </row>
    <row r="747" spans="1:6">
      <c r="A747">
        <v>746</v>
      </c>
      <c r="B747" t="s">
        <v>93</v>
      </c>
      <c r="C747" s="11">
        <v>504</v>
      </c>
      <c r="D747" s="12">
        <v>45828</v>
      </c>
      <c r="E747" s="12">
        <f t="shared" si="22"/>
        <v>45870</v>
      </c>
      <c r="F747">
        <f t="shared" si="23"/>
        <v>42</v>
      </c>
    </row>
    <row r="748" spans="1:6">
      <c r="A748">
        <v>747</v>
      </c>
      <c r="B748" t="s">
        <v>112</v>
      </c>
      <c r="C748" s="11">
        <v>64.784999999999997</v>
      </c>
      <c r="D748" s="12">
        <v>45855</v>
      </c>
      <c r="E748" s="12">
        <f t="shared" si="22"/>
        <v>45897</v>
      </c>
      <c r="F748">
        <f t="shared" si="23"/>
        <v>42</v>
      </c>
    </row>
    <row r="749" spans="1:6">
      <c r="A749">
        <v>748</v>
      </c>
      <c r="B749" t="s">
        <v>101</v>
      </c>
      <c r="C749" s="11">
        <v>198</v>
      </c>
      <c r="D749" s="12">
        <v>45790</v>
      </c>
      <c r="E749" s="12">
        <f t="shared" si="22"/>
        <v>45832</v>
      </c>
      <c r="F749">
        <f t="shared" si="23"/>
        <v>42</v>
      </c>
    </row>
    <row r="750" spans="1:6">
      <c r="A750">
        <v>749</v>
      </c>
      <c r="B750" t="s">
        <v>99</v>
      </c>
      <c r="C750" s="11">
        <v>190</v>
      </c>
      <c r="D750" s="12">
        <v>45813</v>
      </c>
      <c r="E750" s="12">
        <f t="shared" si="22"/>
        <v>45855</v>
      </c>
      <c r="F750">
        <f t="shared" si="23"/>
        <v>42</v>
      </c>
    </row>
    <row r="751" spans="1:6">
      <c r="A751">
        <v>750</v>
      </c>
      <c r="B751" t="s">
        <v>106</v>
      </c>
      <c r="C751" s="11">
        <v>19</v>
      </c>
      <c r="D751" s="12">
        <v>45809</v>
      </c>
      <c r="E751" s="12">
        <f t="shared" si="22"/>
        <v>45851</v>
      </c>
      <c r="F751">
        <f t="shared" si="23"/>
        <v>42</v>
      </c>
    </row>
    <row r="752" spans="1:6">
      <c r="A752">
        <v>751</v>
      </c>
      <c r="B752" t="s">
        <v>69</v>
      </c>
      <c r="C752" s="11">
        <v>19</v>
      </c>
      <c r="D752" s="12">
        <v>45751</v>
      </c>
      <c r="E752" s="12">
        <f t="shared" si="22"/>
        <v>45793</v>
      </c>
      <c r="F752">
        <f t="shared" si="23"/>
        <v>42</v>
      </c>
    </row>
    <row r="753" spans="1:6">
      <c r="A753">
        <v>752</v>
      </c>
      <c r="B753" t="s">
        <v>69</v>
      </c>
      <c r="C753" s="11">
        <v>19</v>
      </c>
      <c r="D753" s="12">
        <v>45751</v>
      </c>
      <c r="E753" s="12">
        <f t="shared" si="22"/>
        <v>45793</v>
      </c>
      <c r="F753">
        <f t="shared" si="23"/>
        <v>42</v>
      </c>
    </row>
    <row r="754" spans="1:6">
      <c r="A754">
        <v>753</v>
      </c>
      <c r="B754" t="s">
        <v>74</v>
      </c>
      <c r="C754" s="11">
        <v>171</v>
      </c>
      <c r="D754" s="12">
        <v>45805</v>
      </c>
      <c r="E754" s="12">
        <f t="shared" si="22"/>
        <v>45847</v>
      </c>
      <c r="F754">
        <f t="shared" si="23"/>
        <v>42</v>
      </c>
    </row>
    <row r="755" spans="1:6">
      <c r="A755">
        <v>754</v>
      </c>
      <c r="B755" t="s">
        <v>92</v>
      </c>
      <c r="C755" s="11">
        <v>18</v>
      </c>
      <c r="D755" s="12">
        <v>45828</v>
      </c>
      <c r="E755" s="12">
        <f t="shared" si="22"/>
        <v>45870</v>
      </c>
      <c r="F755">
        <f t="shared" si="23"/>
        <v>42</v>
      </c>
    </row>
    <row r="756" spans="1:6">
      <c r="A756">
        <v>755</v>
      </c>
      <c r="B756" t="s">
        <v>92</v>
      </c>
      <c r="C756" s="11">
        <v>18</v>
      </c>
      <c r="D756" s="12">
        <v>45828</v>
      </c>
      <c r="E756" s="12">
        <f t="shared" si="22"/>
        <v>45870</v>
      </c>
      <c r="F756">
        <f t="shared" si="23"/>
        <v>42</v>
      </c>
    </row>
    <row r="757" spans="1:6">
      <c r="A757">
        <v>756</v>
      </c>
      <c r="B757" t="s">
        <v>93</v>
      </c>
      <c r="C757" s="11">
        <v>504</v>
      </c>
      <c r="D757" s="12">
        <v>45828</v>
      </c>
      <c r="E757" s="12">
        <f t="shared" si="22"/>
        <v>45870</v>
      </c>
      <c r="F757">
        <f t="shared" si="23"/>
        <v>42</v>
      </c>
    </row>
    <row r="758" spans="1:6">
      <c r="A758">
        <v>757</v>
      </c>
      <c r="B758" t="s">
        <v>93</v>
      </c>
      <c r="C758" s="11">
        <v>504</v>
      </c>
      <c r="D758" s="12">
        <v>45828</v>
      </c>
      <c r="E758" s="12">
        <f t="shared" si="22"/>
        <v>45870</v>
      </c>
      <c r="F758">
        <f t="shared" si="23"/>
        <v>42</v>
      </c>
    </row>
    <row r="759" spans="1:6">
      <c r="A759">
        <v>758</v>
      </c>
      <c r="B759" t="s">
        <v>87</v>
      </c>
      <c r="C759" s="11">
        <v>18</v>
      </c>
      <c r="D759" s="12">
        <v>45831</v>
      </c>
      <c r="E759" s="12">
        <f t="shared" si="22"/>
        <v>45873</v>
      </c>
      <c r="F759">
        <f t="shared" si="23"/>
        <v>42</v>
      </c>
    </row>
    <row r="760" spans="1:6">
      <c r="A760">
        <v>759</v>
      </c>
      <c r="B760" t="s">
        <v>106</v>
      </c>
      <c r="C760" s="11">
        <v>19</v>
      </c>
      <c r="D760" s="12">
        <v>45809</v>
      </c>
      <c r="E760" s="12">
        <f t="shared" si="22"/>
        <v>45851</v>
      </c>
      <c r="F760">
        <f t="shared" si="23"/>
        <v>42</v>
      </c>
    </row>
    <row r="761" spans="1:6">
      <c r="A761">
        <v>760</v>
      </c>
      <c r="B761" t="s">
        <v>69</v>
      </c>
      <c r="C761" s="11">
        <v>19</v>
      </c>
      <c r="D761" s="12">
        <v>45751</v>
      </c>
      <c r="E761" s="12">
        <f t="shared" si="22"/>
        <v>45793</v>
      </c>
      <c r="F761">
        <f t="shared" si="23"/>
        <v>42</v>
      </c>
    </row>
    <row r="762" spans="1:6">
      <c r="A762">
        <v>761</v>
      </c>
      <c r="B762" t="s">
        <v>69</v>
      </c>
      <c r="C762" s="11">
        <v>19</v>
      </c>
      <c r="D762" s="12">
        <v>45751</v>
      </c>
      <c r="E762" s="12">
        <f t="shared" si="22"/>
        <v>45793</v>
      </c>
      <c r="F762">
        <f t="shared" si="23"/>
        <v>42</v>
      </c>
    </row>
    <row r="763" spans="1:6">
      <c r="A763">
        <v>762</v>
      </c>
      <c r="B763" t="s">
        <v>77</v>
      </c>
      <c r="C763" s="11">
        <v>18</v>
      </c>
      <c r="D763" s="12">
        <v>45769</v>
      </c>
      <c r="E763" s="12">
        <f t="shared" si="22"/>
        <v>45811</v>
      </c>
      <c r="F763">
        <f t="shared" si="23"/>
        <v>42</v>
      </c>
    </row>
    <row r="764" spans="1:6">
      <c r="A764">
        <v>763</v>
      </c>
      <c r="B764" t="s">
        <v>65</v>
      </c>
      <c r="C764" s="11">
        <v>38</v>
      </c>
      <c r="D764" s="12">
        <v>45813</v>
      </c>
      <c r="E764" s="12">
        <f t="shared" si="22"/>
        <v>45855</v>
      </c>
      <c r="F764">
        <f t="shared" si="23"/>
        <v>42</v>
      </c>
    </row>
    <row r="765" spans="1:6">
      <c r="A765">
        <v>764</v>
      </c>
      <c r="B765" t="s">
        <v>92</v>
      </c>
      <c r="C765" s="11">
        <v>18</v>
      </c>
      <c r="D765" s="12">
        <v>45828</v>
      </c>
      <c r="E765" s="12">
        <f t="shared" si="22"/>
        <v>45870</v>
      </c>
      <c r="F765">
        <f t="shared" si="23"/>
        <v>42</v>
      </c>
    </row>
    <row r="766" spans="1:6">
      <c r="A766">
        <v>765</v>
      </c>
      <c r="B766" t="s">
        <v>92</v>
      </c>
      <c r="C766" s="11">
        <v>18</v>
      </c>
      <c r="D766" s="12">
        <v>45828</v>
      </c>
      <c r="E766" s="12">
        <f t="shared" si="22"/>
        <v>45870</v>
      </c>
      <c r="F766">
        <f t="shared" si="23"/>
        <v>42</v>
      </c>
    </row>
    <row r="767" spans="1:6">
      <c r="A767">
        <v>766</v>
      </c>
      <c r="B767" t="s">
        <v>106</v>
      </c>
      <c r="C767" s="11">
        <v>19</v>
      </c>
      <c r="D767" s="12">
        <v>45809</v>
      </c>
      <c r="E767" s="12">
        <f t="shared" si="22"/>
        <v>45851</v>
      </c>
      <c r="F767">
        <f t="shared" si="23"/>
        <v>42</v>
      </c>
    </row>
    <row r="768" spans="1:6">
      <c r="A768">
        <v>767</v>
      </c>
      <c r="B768" t="s">
        <v>111</v>
      </c>
      <c r="C768" s="11">
        <v>67</v>
      </c>
      <c r="D768" s="12">
        <v>45776</v>
      </c>
      <c r="E768" s="12">
        <f t="shared" si="22"/>
        <v>45818</v>
      </c>
      <c r="F768">
        <f t="shared" si="23"/>
        <v>42</v>
      </c>
    </row>
    <row r="769" spans="1:6">
      <c r="A769">
        <v>768</v>
      </c>
      <c r="B769" t="s">
        <v>111</v>
      </c>
      <c r="C769" s="11">
        <v>67</v>
      </c>
      <c r="D769" s="12">
        <v>45800</v>
      </c>
      <c r="E769" s="12">
        <f t="shared" si="22"/>
        <v>45842</v>
      </c>
      <c r="F769">
        <f t="shared" si="23"/>
        <v>42</v>
      </c>
    </row>
    <row r="770" spans="1:6">
      <c r="A770">
        <v>769</v>
      </c>
      <c r="B770" t="s">
        <v>69</v>
      </c>
      <c r="C770" s="11">
        <v>19</v>
      </c>
      <c r="D770" s="12">
        <v>45751</v>
      </c>
      <c r="E770" s="12">
        <f t="shared" ref="E770:E833" si="24">D770+6*7</f>
        <v>45793</v>
      </c>
      <c r="F770">
        <f t="shared" ref="F770:F833" si="25">E770-D770</f>
        <v>42</v>
      </c>
    </row>
    <row r="771" spans="1:6">
      <c r="A771">
        <v>770</v>
      </c>
      <c r="B771" t="s">
        <v>69</v>
      </c>
      <c r="C771" s="11">
        <v>19</v>
      </c>
      <c r="D771" s="12">
        <v>45751</v>
      </c>
      <c r="E771" s="12">
        <f t="shared" si="24"/>
        <v>45793</v>
      </c>
      <c r="F771">
        <f t="shared" si="25"/>
        <v>42</v>
      </c>
    </row>
    <row r="772" spans="1:6">
      <c r="A772">
        <v>771</v>
      </c>
      <c r="B772" t="s">
        <v>108</v>
      </c>
      <c r="C772" s="11">
        <v>54</v>
      </c>
      <c r="D772" s="12">
        <v>45799</v>
      </c>
      <c r="E772" s="12">
        <f t="shared" si="24"/>
        <v>45841</v>
      </c>
      <c r="F772">
        <f t="shared" si="25"/>
        <v>42</v>
      </c>
    </row>
    <row r="773" spans="1:6">
      <c r="A773">
        <v>772</v>
      </c>
      <c r="B773" t="s">
        <v>108</v>
      </c>
      <c r="C773" s="11">
        <v>54</v>
      </c>
      <c r="D773" s="12">
        <v>45799</v>
      </c>
      <c r="E773" s="12">
        <f t="shared" si="24"/>
        <v>45841</v>
      </c>
      <c r="F773">
        <f t="shared" si="25"/>
        <v>42</v>
      </c>
    </row>
    <row r="774" spans="1:6">
      <c r="A774">
        <v>773</v>
      </c>
      <c r="B774" t="s">
        <v>108</v>
      </c>
      <c r="C774" s="11">
        <v>54</v>
      </c>
      <c r="D774" s="12">
        <v>45799</v>
      </c>
      <c r="E774" s="12">
        <f t="shared" si="24"/>
        <v>45841</v>
      </c>
      <c r="F774">
        <f t="shared" si="25"/>
        <v>42</v>
      </c>
    </row>
    <row r="775" spans="1:6">
      <c r="A775">
        <v>774</v>
      </c>
      <c r="B775" t="s">
        <v>108</v>
      </c>
      <c r="C775" s="11">
        <v>54</v>
      </c>
      <c r="D775" s="12">
        <v>45799</v>
      </c>
      <c r="E775" s="12">
        <f t="shared" si="24"/>
        <v>45841</v>
      </c>
      <c r="F775">
        <f t="shared" si="25"/>
        <v>42</v>
      </c>
    </row>
    <row r="776" spans="1:6">
      <c r="A776">
        <v>775</v>
      </c>
      <c r="B776" t="s">
        <v>108</v>
      </c>
      <c r="C776" s="11">
        <v>54</v>
      </c>
      <c r="D776" s="12">
        <v>45799</v>
      </c>
      <c r="E776" s="12">
        <f t="shared" si="24"/>
        <v>45841</v>
      </c>
      <c r="F776">
        <f t="shared" si="25"/>
        <v>42</v>
      </c>
    </row>
    <row r="777" spans="1:6">
      <c r="A777">
        <v>776</v>
      </c>
      <c r="B777" t="s">
        <v>108</v>
      </c>
      <c r="C777" s="11">
        <v>54</v>
      </c>
      <c r="D777" s="12">
        <v>45799</v>
      </c>
      <c r="E777" s="12">
        <f t="shared" si="24"/>
        <v>45841</v>
      </c>
      <c r="F777">
        <f t="shared" si="25"/>
        <v>42</v>
      </c>
    </row>
    <row r="778" spans="1:6">
      <c r="A778">
        <v>777</v>
      </c>
      <c r="B778" t="s">
        <v>65</v>
      </c>
      <c r="C778" s="11">
        <v>57</v>
      </c>
      <c r="D778" s="12">
        <v>45813</v>
      </c>
      <c r="E778" s="12">
        <f t="shared" si="24"/>
        <v>45855</v>
      </c>
      <c r="F778">
        <f t="shared" si="25"/>
        <v>42</v>
      </c>
    </row>
    <row r="779" spans="1:6">
      <c r="A779">
        <v>778</v>
      </c>
      <c r="B779" t="s">
        <v>112</v>
      </c>
      <c r="C779" s="11">
        <v>64.876000000000005</v>
      </c>
      <c r="D779" s="12">
        <v>45854</v>
      </c>
      <c r="E779" s="12">
        <f t="shared" si="24"/>
        <v>45896</v>
      </c>
      <c r="F779">
        <f t="shared" si="25"/>
        <v>42</v>
      </c>
    </row>
    <row r="780" spans="1:6">
      <c r="A780">
        <v>779</v>
      </c>
      <c r="B780" t="s">
        <v>98</v>
      </c>
      <c r="C780" s="11">
        <v>19</v>
      </c>
      <c r="D780" s="12">
        <v>45706</v>
      </c>
      <c r="E780" s="12">
        <f t="shared" si="24"/>
        <v>45748</v>
      </c>
      <c r="F780">
        <f t="shared" si="25"/>
        <v>42</v>
      </c>
    </row>
    <row r="781" spans="1:6">
      <c r="A781">
        <v>780</v>
      </c>
      <c r="B781" t="s">
        <v>98</v>
      </c>
      <c r="C781" s="11">
        <v>19</v>
      </c>
      <c r="D781" s="12">
        <v>45706</v>
      </c>
      <c r="E781" s="12">
        <f t="shared" si="24"/>
        <v>45748</v>
      </c>
      <c r="F781">
        <f t="shared" si="25"/>
        <v>42</v>
      </c>
    </row>
    <row r="782" spans="1:6">
      <c r="A782">
        <v>781</v>
      </c>
      <c r="B782" t="s">
        <v>77</v>
      </c>
      <c r="C782" s="11">
        <v>18</v>
      </c>
      <c r="D782" s="12">
        <v>45769</v>
      </c>
      <c r="E782" s="12">
        <f t="shared" si="24"/>
        <v>45811</v>
      </c>
      <c r="F782">
        <f t="shared" si="25"/>
        <v>42</v>
      </c>
    </row>
    <row r="783" spans="1:6">
      <c r="A783">
        <v>782</v>
      </c>
      <c r="B783" t="s">
        <v>92</v>
      </c>
      <c r="C783" s="11">
        <v>18</v>
      </c>
      <c r="D783" s="12">
        <v>45828</v>
      </c>
      <c r="E783" s="12">
        <f t="shared" si="24"/>
        <v>45870</v>
      </c>
      <c r="F783">
        <f t="shared" si="25"/>
        <v>42</v>
      </c>
    </row>
    <row r="784" spans="1:6">
      <c r="A784">
        <v>783</v>
      </c>
      <c r="B784" t="s">
        <v>112</v>
      </c>
      <c r="C784" s="11">
        <v>65.16</v>
      </c>
      <c r="D784" s="12">
        <v>45854</v>
      </c>
      <c r="E784" s="12">
        <f t="shared" si="24"/>
        <v>45896</v>
      </c>
      <c r="F784">
        <f t="shared" si="25"/>
        <v>42</v>
      </c>
    </row>
    <row r="785" spans="1:6">
      <c r="A785">
        <v>784</v>
      </c>
      <c r="B785" t="s">
        <v>66</v>
      </c>
      <c r="C785" s="11">
        <v>117</v>
      </c>
      <c r="D785" s="12">
        <v>45862</v>
      </c>
      <c r="E785" s="12">
        <f t="shared" si="24"/>
        <v>45904</v>
      </c>
      <c r="F785">
        <f t="shared" si="25"/>
        <v>42</v>
      </c>
    </row>
    <row r="786" spans="1:6">
      <c r="A786">
        <v>785</v>
      </c>
      <c r="B786" t="s">
        <v>108</v>
      </c>
      <c r="C786" s="11">
        <v>108</v>
      </c>
      <c r="D786" s="12">
        <v>45862</v>
      </c>
      <c r="E786" s="12">
        <f t="shared" si="24"/>
        <v>45904</v>
      </c>
      <c r="F786">
        <f t="shared" si="25"/>
        <v>42</v>
      </c>
    </row>
    <row r="787" spans="1:6">
      <c r="A787">
        <v>786</v>
      </c>
      <c r="B787" t="s">
        <v>93</v>
      </c>
      <c r="C787" s="11">
        <v>504</v>
      </c>
      <c r="D787" s="12">
        <v>45828</v>
      </c>
      <c r="E787" s="12">
        <f t="shared" si="24"/>
        <v>45870</v>
      </c>
      <c r="F787">
        <f t="shared" si="25"/>
        <v>42</v>
      </c>
    </row>
    <row r="788" spans="1:6">
      <c r="A788">
        <v>787</v>
      </c>
      <c r="B788" t="s">
        <v>98</v>
      </c>
      <c r="C788" s="11">
        <v>19</v>
      </c>
      <c r="D788" s="12">
        <v>45706</v>
      </c>
      <c r="E788" s="12">
        <f t="shared" si="24"/>
        <v>45748</v>
      </c>
      <c r="F788">
        <f t="shared" si="25"/>
        <v>42</v>
      </c>
    </row>
    <row r="789" spans="1:6">
      <c r="A789">
        <v>788</v>
      </c>
      <c r="B789" t="s">
        <v>98</v>
      </c>
      <c r="C789" s="11">
        <v>19</v>
      </c>
      <c r="D789" s="12">
        <v>45706</v>
      </c>
      <c r="E789" s="12">
        <f t="shared" si="24"/>
        <v>45748</v>
      </c>
      <c r="F789">
        <f t="shared" si="25"/>
        <v>42</v>
      </c>
    </row>
    <row r="790" spans="1:6">
      <c r="A790">
        <v>789</v>
      </c>
      <c r="B790" t="s">
        <v>106</v>
      </c>
      <c r="C790" s="11">
        <v>19</v>
      </c>
      <c r="D790" s="12">
        <v>45809</v>
      </c>
      <c r="E790" s="12">
        <f t="shared" si="24"/>
        <v>45851</v>
      </c>
      <c r="F790">
        <f t="shared" si="25"/>
        <v>42</v>
      </c>
    </row>
    <row r="791" spans="1:6">
      <c r="A791">
        <v>790</v>
      </c>
      <c r="B791" t="s">
        <v>106</v>
      </c>
      <c r="C791" s="11">
        <v>19</v>
      </c>
      <c r="D791" s="12">
        <v>45809</v>
      </c>
      <c r="E791" s="12">
        <f t="shared" si="24"/>
        <v>45851</v>
      </c>
      <c r="F791">
        <f t="shared" si="25"/>
        <v>42</v>
      </c>
    </row>
    <row r="792" spans="1:6">
      <c r="A792">
        <v>791</v>
      </c>
      <c r="B792" t="s">
        <v>74</v>
      </c>
      <c r="C792" s="11">
        <v>209</v>
      </c>
      <c r="D792" s="12">
        <v>45805</v>
      </c>
      <c r="E792" s="12">
        <f t="shared" si="24"/>
        <v>45847</v>
      </c>
      <c r="F792">
        <f t="shared" si="25"/>
        <v>42</v>
      </c>
    </row>
    <row r="793" spans="1:6">
      <c r="A793">
        <v>792</v>
      </c>
      <c r="B793" t="s">
        <v>70</v>
      </c>
      <c r="C793" s="11">
        <v>99</v>
      </c>
      <c r="D793" s="12">
        <v>45818</v>
      </c>
      <c r="E793" s="12">
        <f t="shared" si="24"/>
        <v>45860</v>
      </c>
      <c r="F793">
        <f t="shared" si="25"/>
        <v>42</v>
      </c>
    </row>
    <row r="794" spans="1:6">
      <c r="A794">
        <v>793</v>
      </c>
      <c r="B794" t="s">
        <v>100</v>
      </c>
      <c r="C794" s="11">
        <v>46</v>
      </c>
      <c r="D794" s="12">
        <v>45846</v>
      </c>
      <c r="E794" s="12">
        <f t="shared" si="24"/>
        <v>45888</v>
      </c>
      <c r="F794">
        <f t="shared" si="25"/>
        <v>42</v>
      </c>
    </row>
    <row r="795" spans="1:6">
      <c r="A795">
        <v>794</v>
      </c>
      <c r="B795" t="s">
        <v>73</v>
      </c>
      <c r="C795" s="11">
        <v>490</v>
      </c>
      <c r="D795" s="12">
        <v>45831</v>
      </c>
      <c r="E795" s="12">
        <f t="shared" si="24"/>
        <v>45873</v>
      </c>
      <c r="F795">
        <f t="shared" si="25"/>
        <v>42</v>
      </c>
    </row>
    <row r="796" spans="1:6">
      <c r="A796">
        <v>795</v>
      </c>
      <c r="B796" t="s">
        <v>77</v>
      </c>
      <c r="C796" s="11">
        <v>18</v>
      </c>
      <c r="D796" s="12">
        <v>45860</v>
      </c>
      <c r="E796" s="12">
        <f t="shared" si="24"/>
        <v>45902</v>
      </c>
      <c r="F796">
        <f t="shared" si="25"/>
        <v>42</v>
      </c>
    </row>
    <row r="797" spans="1:6">
      <c r="A797">
        <v>796</v>
      </c>
      <c r="B797" t="s">
        <v>98</v>
      </c>
      <c r="C797" s="11">
        <v>19</v>
      </c>
      <c r="D797" s="12">
        <v>45706</v>
      </c>
      <c r="E797" s="12">
        <f t="shared" si="24"/>
        <v>45748</v>
      </c>
      <c r="F797">
        <f t="shared" si="25"/>
        <v>42</v>
      </c>
    </row>
    <row r="798" spans="1:6">
      <c r="A798">
        <v>797</v>
      </c>
      <c r="B798" t="s">
        <v>98</v>
      </c>
      <c r="C798" s="11">
        <v>19</v>
      </c>
      <c r="D798" s="12">
        <v>45706</v>
      </c>
      <c r="E798" s="12">
        <f t="shared" si="24"/>
        <v>45748</v>
      </c>
      <c r="F798">
        <f t="shared" si="25"/>
        <v>42</v>
      </c>
    </row>
    <row r="799" spans="1:6">
      <c r="A799">
        <v>798</v>
      </c>
      <c r="B799" t="s">
        <v>77</v>
      </c>
      <c r="C799" s="11">
        <v>18</v>
      </c>
      <c r="D799" s="12">
        <v>45769</v>
      </c>
      <c r="E799" s="12">
        <f t="shared" si="24"/>
        <v>45811</v>
      </c>
      <c r="F799">
        <f t="shared" si="25"/>
        <v>42</v>
      </c>
    </row>
    <row r="800" spans="1:6">
      <c r="A800">
        <v>799</v>
      </c>
      <c r="B800" t="s">
        <v>65</v>
      </c>
      <c r="C800" s="11">
        <v>38</v>
      </c>
      <c r="D800" s="12">
        <v>45813</v>
      </c>
      <c r="E800" s="12">
        <f t="shared" si="24"/>
        <v>45855</v>
      </c>
      <c r="F800">
        <f t="shared" si="25"/>
        <v>42</v>
      </c>
    </row>
    <row r="801" spans="1:6">
      <c r="A801">
        <v>800</v>
      </c>
      <c r="B801" t="s">
        <v>108</v>
      </c>
      <c r="C801" s="11">
        <v>108</v>
      </c>
      <c r="D801" s="12">
        <v>45862</v>
      </c>
      <c r="E801" s="12">
        <f t="shared" si="24"/>
        <v>45904</v>
      </c>
      <c r="F801">
        <f t="shared" si="25"/>
        <v>42</v>
      </c>
    </row>
    <row r="802" spans="1:6">
      <c r="A802">
        <v>801</v>
      </c>
      <c r="B802" t="s">
        <v>108</v>
      </c>
      <c r="C802" s="11">
        <v>108</v>
      </c>
      <c r="D802" s="12">
        <v>45862</v>
      </c>
      <c r="E802" s="12">
        <f t="shared" si="24"/>
        <v>45904</v>
      </c>
      <c r="F802">
        <f t="shared" si="25"/>
        <v>42</v>
      </c>
    </row>
    <row r="803" spans="1:6">
      <c r="A803">
        <v>802</v>
      </c>
      <c r="B803" t="s">
        <v>108</v>
      </c>
      <c r="C803" s="11">
        <v>54</v>
      </c>
      <c r="D803" s="12">
        <v>45862</v>
      </c>
      <c r="E803" s="12">
        <f t="shared" si="24"/>
        <v>45904</v>
      </c>
      <c r="F803">
        <f t="shared" si="25"/>
        <v>42</v>
      </c>
    </row>
    <row r="804" spans="1:6">
      <c r="A804">
        <v>803</v>
      </c>
      <c r="B804" t="s">
        <v>65</v>
      </c>
      <c r="C804" s="11">
        <v>57</v>
      </c>
      <c r="D804" s="12">
        <v>45813</v>
      </c>
      <c r="E804" s="12">
        <f t="shared" si="24"/>
        <v>45855</v>
      </c>
      <c r="F804">
        <f t="shared" si="25"/>
        <v>42</v>
      </c>
    </row>
    <row r="805" spans="1:6">
      <c r="A805">
        <v>804</v>
      </c>
      <c r="B805" t="s">
        <v>99</v>
      </c>
      <c r="C805" s="11">
        <v>19</v>
      </c>
      <c r="D805" s="12">
        <v>45867</v>
      </c>
      <c r="E805" s="12">
        <f t="shared" si="24"/>
        <v>45909</v>
      </c>
      <c r="F805">
        <f t="shared" si="25"/>
        <v>42</v>
      </c>
    </row>
    <row r="806" spans="1:6">
      <c r="A806">
        <v>805</v>
      </c>
      <c r="B806" t="s">
        <v>99</v>
      </c>
      <c r="C806" s="11">
        <v>19</v>
      </c>
      <c r="D806" s="12">
        <v>45867</v>
      </c>
      <c r="E806" s="12">
        <f t="shared" si="24"/>
        <v>45909</v>
      </c>
      <c r="F806">
        <f t="shared" si="25"/>
        <v>42</v>
      </c>
    </row>
    <row r="807" spans="1:6">
      <c r="A807">
        <v>806</v>
      </c>
      <c r="B807" t="s">
        <v>99</v>
      </c>
      <c r="C807" s="11">
        <v>19</v>
      </c>
      <c r="D807" s="12">
        <v>45867</v>
      </c>
      <c r="E807" s="12">
        <f t="shared" si="24"/>
        <v>45909</v>
      </c>
      <c r="F807">
        <f t="shared" si="25"/>
        <v>42</v>
      </c>
    </row>
    <row r="808" spans="1:6">
      <c r="A808">
        <v>807</v>
      </c>
      <c r="B808" t="s">
        <v>99</v>
      </c>
      <c r="C808" s="11">
        <v>19</v>
      </c>
      <c r="D808" s="12">
        <v>45867</v>
      </c>
      <c r="E808" s="12">
        <f t="shared" si="24"/>
        <v>45909</v>
      </c>
      <c r="F808">
        <f t="shared" si="25"/>
        <v>42</v>
      </c>
    </row>
    <row r="809" spans="1:6">
      <c r="A809">
        <v>808</v>
      </c>
      <c r="B809" t="s">
        <v>69</v>
      </c>
      <c r="C809" s="11">
        <v>19</v>
      </c>
      <c r="D809" s="12">
        <v>45751</v>
      </c>
      <c r="E809" s="12">
        <f t="shared" si="24"/>
        <v>45793</v>
      </c>
      <c r="F809">
        <f t="shared" si="25"/>
        <v>42</v>
      </c>
    </row>
    <row r="810" spans="1:6">
      <c r="A810">
        <v>809</v>
      </c>
      <c r="B810" t="s">
        <v>64</v>
      </c>
      <c r="C810" s="11">
        <v>37</v>
      </c>
      <c r="D810" s="12">
        <v>45831</v>
      </c>
      <c r="E810" s="12">
        <f t="shared" si="24"/>
        <v>45873</v>
      </c>
      <c r="F810">
        <f t="shared" si="25"/>
        <v>42</v>
      </c>
    </row>
    <row r="811" spans="1:6">
      <c r="A811">
        <v>810</v>
      </c>
      <c r="B811" t="s">
        <v>69</v>
      </c>
      <c r="C811" s="11">
        <v>19</v>
      </c>
      <c r="D811" s="12">
        <v>45751</v>
      </c>
      <c r="E811" s="12">
        <f t="shared" si="24"/>
        <v>45793</v>
      </c>
      <c r="F811">
        <f t="shared" si="25"/>
        <v>42</v>
      </c>
    </row>
    <row r="812" spans="1:6">
      <c r="A812">
        <v>811</v>
      </c>
      <c r="B812" t="s">
        <v>69</v>
      </c>
      <c r="C812" s="11">
        <v>19</v>
      </c>
      <c r="D812" s="12">
        <v>45751</v>
      </c>
      <c r="E812" s="12">
        <f t="shared" si="24"/>
        <v>45793</v>
      </c>
      <c r="F812">
        <f t="shared" si="25"/>
        <v>42</v>
      </c>
    </row>
    <row r="813" spans="1:6">
      <c r="A813">
        <v>812</v>
      </c>
      <c r="B813" t="s">
        <v>98</v>
      </c>
      <c r="C813" s="11">
        <v>19</v>
      </c>
      <c r="D813" s="12">
        <v>45761</v>
      </c>
      <c r="E813" s="12">
        <f t="shared" si="24"/>
        <v>45803</v>
      </c>
      <c r="F813">
        <f t="shared" si="25"/>
        <v>42</v>
      </c>
    </row>
    <row r="814" spans="1:6">
      <c r="A814">
        <v>813</v>
      </c>
      <c r="B814" t="s">
        <v>98</v>
      </c>
      <c r="C814" s="11">
        <v>19</v>
      </c>
      <c r="D814" s="12">
        <v>45790</v>
      </c>
      <c r="E814" s="12">
        <f t="shared" si="24"/>
        <v>45832</v>
      </c>
      <c r="F814">
        <f t="shared" si="25"/>
        <v>42</v>
      </c>
    </row>
    <row r="815" spans="1:6">
      <c r="A815">
        <v>814</v>
      </c>
      <c r="B815" t="s">
        <v>65</v>
      </c>
      <c r="C815" s="11">
        <v>19</v>
      </c>
      <c r="D815" s="12">
        <v>45870</v>
      </c>
      <c r="E815" s="12">
        <f t="shared" si="24"/>
        <v>45912</v>
      </c>
      <c r="F815">
        <f t="shared" si="25"/>
        <v>42</v>
      </c>
    </row>
    <row r="816" spans="1:6">
      <c r="A816">
        <v>815</v>
      </c>
      <c r="B816" t="s">
        <v>72</v>
      </c>
      <c r="C816" s="11">
        <v>49</v>
      </c>
      <c r="D816" s="12">
        <v>45859</v>
      </c>
      <c r="E816" s="12">
        <f t="shared" si="24"/>
        <v>45901</v>
      </c>
      <c r="F816">
        <f t="shared" si="25"/>
        <v>42</v>
      </c>
    </row>
    <row r="817" spans="1:6">
      <c r="A817">
        <v>816</v>
      </c>
      <c r="B817" t="s">
        <v>108</v>
      </c>
      <c r="C817" s="11">
        <v>108</v>
      </c>
      <c r="D817" s="12">
        <v>45859</v>
      </c>
      <c r="E817" s="12">
        <f t="shared" si="24"/>
        <v>45901</v>
      </c>
      <c r="F817">
        <f t="shared" si="25"/>
        <v>42</v>
      </c>
    </row>
    <row r="818" spans="1:6">
      <c r="A818">
        <v>817</v>
      </c>
      <c r="B818" t="s">
        <v>108</v>
      </c>
      <c r="C818" s="11">
        <v>108</v>
      </c>
      <c r="D818" s="12">
        <v>45859</v>
      </c>
      <c r="E818" s="12">
        <f t="shared" si="24"/>
        <v>45901</v>
      </c>
      <c r="F818">
        <f t="shared" si="25"/>
        <v>42</v>
      </c>
    </row>
    <row r="819" spans="1:6">
      <c r="A819">
        <v>818</v>
      </c>
      <c r="B819" t="s">
        <v>66</v>
      </c>
      <c r="C819" s="11">
        <v>117</v>
      </c>
      <c r="D819" s="12">
        <v>45862</v>
      </c>
      <c r="E819" s="12">
        <f t="shared" si="24"/>
        <v>45904</v>
      </c>
      <c r="F819">
        <f t="shared" si="25"/>
        <v>42</v>
      </c>
    </row>
    <row r="820" spans="1:6">
      <c r="A820">
        <v>819</v>
      </c>
      <c r="B820" t="s">
        <v>69</v>
      </c>
      <c r="C820" s="11">
        <v>19</v>
      </c>
      <c r="D820" s="12">
        <v>45751</v>
      </c>
      <c r="E820" s="12">
        <f t="shared" si="24"/>
        <v>45793</v>
      </c>
      <c r="F820">
        <f t="shared" si="25"/>
        <v>42</v>
      </c>
    </row>
    <row r="821" spans="1:6">
      <c r="A821">
        <v>820</v>
      </c>
      <c r="B821" t="s">
        <v>69</v>
      </c>
      <c r="C821" s="11">
        <v>19</v>
      </c>
      <c r="D821" s="12">
        <v>45751</v>
      </c>
      <c r="E821" s="12">
        <f t="shared" si="24"/>
        <v>45793</v>
      </c>
      <c r="F821">
        <f t="shared" si="25"/>
        <v>42</v>
      </c>
    </row>
    <row r="822" spans="1:6">
      <c r="A822">
        <v>821</v>
      </c>
      <c r="B822" t="s">
        <v>69</v>
      </c>
      <c r="C822" s="11">
        <v>19</v>
      </c>
      <c r="D822" s="12">
        <v>45751</v>
      </c>
      <c r="E822" s="12">
        <f t="shared" si="24"/>
        <v>45793</v>
      </c>
      <c r="F822">
        <f t="shared" si="25"/>
        <v>42</v>
      </c>
    </row>
    <row r="823" spans="1:6">
      <c r="A823">
        <v>822</v>
      </c>
      <c r="B823" t="s">
        <v>69</v>
      </c>
      <c r="C823" s="11">
        <v>19</v>
      </c>
      <c r="D823" s="12">
        <v>45751</v>
      </c>
      <c r="E823" s="12">
        <f t="shared" si="24"/>
        <v>45793</v>
      </c>
      <c r="F823">
        <f t="shared" si="25"/>
        <v>42</v>
      </c>
    </row>
    <row r="824" spans="1:6">
      <c r="A824">
        <v>823</v>
      </c>
      <c r="B824" t="s">
        <v>69</v>
      </c>
      <c r="C824" s="11">
        <v>19</v>
      </c>
      <c r="D824" s="12">
        <v>45751</v>
      </c>
      <c r="E824" s="12">
        <f t="shared" si="24"/>
        <v>45793</v>
      </c>
      <c r="F824">
        <f t="shared" si="25"/>
        <v>42</v>
      </c>
    </row>
    <row r="825" spans="1:6">
      <c r="A825">
        <v>824</v>
      </c>
      <c r="B825" t="s">
        <v>98</v>
      </c>
      <c r="C825" s="11">
        <v>19</v>
      </c>
      <c r="D825" s="12">
        <v>45761</v>
      </c>
      <c r="E825" s="12">
        <f t="shared" si="24"/>
        <v>45803</v>
      </c>
      <c r="F825">
        <f t="shared" si="25"/>
        <v>42</v>
      </c>
    </row>
    <row r="826" spans="1:6">
      <c r="A826">
        <v>825</v>
      </c>
      <c r="B826" t="s">
        <v>99</v>
      </c>
      <c r="C826" s="11">
        <v>19</v>
      </c>
      <c r="D826" s="12">
        <v>45873</v>
      </c>
      <c r="E826" s="12">
        <f t="shared" si="24"/>
        <v>45915</v>
      </c>
      <c r="F826">
        <f t="shared" si="25"/>
        <v>42</v>
      </c>
    </row>
    <row r="827" spans="1:6">
      <c r="A827">
        <v>826</v>
      </c>
      <c r="B827" t="s">
        <v>99</v>
      </c>
      <c r="C827" s="11">
        <v>19</v>
      </c>
      <c r="D827" s="12">
        <v>45873</v>
      </c>
      <c r="E827" s="12">
        <f t="shared" si="24"/>
        <v>45915</v>
      </c>
      <c r="F827">
        <f t="shared" si="25"/>
        <v>42</v>
      </c>
    </row>
    <row r="828" spans="1:6">
      <c r="A828">
        <v>827</v>
      </c>
      <c r="B828" t="s">
        <v>99</v>
      </c>
      <c r="C828" s="11">
        <v>19</v>
      </c>
      <c r="D828" s="12">
        <v>45873</v>
      </c>
      <c r="E828" s="12">
        <f t="shared" si="24"/>
        <v>45915</v>
      </c>
      <c r="F828">
        <f t="shared" si="25"/>
        <v>42</v>
      </c>
    </row>
    <row r="829" spans="1:6">
      <c r="A829">
        <v>828</v>
      </c>
      <c r="B829" t="s">
        <v>69</v>
      </c>
      <c r="C829" s="11">
        <v>19</v>
      </c>
      <c r="D829" s="12">
        <v>45751</v>
      </c>
      <c r="E829" s="12">
        <f t="shared" si="24"/>
        <v>45793</v>
      </c>
      <c r="F829">
        <f t="shared" si="25"/>
        <v>42</v>
      </c>
    </row>
    <row r="830" spans="1:6">
      <c r="A830">
        <v>829</v>
      </c>
      <c r="B830" t="s">
        <v>69</v>
      </c>
      <c r="C830" s="11">
        <v>19</v>
      </c>
      <c r="D830" s="12">
        <v>45751</v>
      </c>
      <c r="E830" s="12">
        <f t="shared" si="24"/>
        <v>45793</v>
      </c>
      <c r="F830">
        <f t="shared" si="25"/>
        <v>42</v>
      </c>
    </row>
    <row r="831" spans="1:6">
      <c r="A831">
        <v>830</v>
      </c>
      <c r="B831" t="s">
        <v>69</v>
      </c>
      <c r="C831" s="11">
        <v>19</v>
      </c>
      <c r="D831" s="12">
        <v>45751</v>
      </c>
      <c r="E831" s="12">
        <f t="shared" si="24"/>
        <v>45793</v>
      </c>
      <c r="F831">
        <f t="shared" si="25"/>
        <v>42</v>
      </c>
    </row>
    <row r="832" spans="1:6">
      <c r="A832">
        <v>831</v>
      </c>
      <c r="B832" t="s">
        <v>69</v>
      </c>
      <c r="C832" s="11">
        <v>19</v>
      </c>
      <c r="D832" s="12">
        <v>45751</v>
      </c>
      <c r="E832" s="12">
        <f t="shared" si="24"/>
        <v>45793</v>
      </c>
      <c r="F832">
        <f t="shared" si="25"/>
        <v>42</v>
      </c>
    </row>
    <row r="833" spans="1:6">
      <c r="A833">
        <v>832</v>
      </c>
      <c r="B833" t="s">
        <v>69</v>
      </c>
      <c r="C833" s="11">
        <v>19</v>
      </c>
      <c r="D833" s="12">
        <v>45751</v>
      </c>
      <c r="E833" s="12">
        <f t="shared" si="24"/>
        <v>45793</v>
      </c>
      <c r="F833">
        <f t="shared" si="25"/>
        <v>42</v>
      </c>
    </row>
    <row r="834" spans="1:6">
      <c r="A834">
        <v>833</v>
      </c>
      <c r="B834" t="s">
        <v>69</v>
      </c>
      <c r="C834" s="11">
        <v>19</v>
      </c>
      <c r="D834" s="12">
        <v>45751</v>
      </c>
      <c r="E834" s="12">
        <f t="shared" ref="E834:E897" si="26">D834+6*7</f>
        <v>45793</v>
      </c>
      <c r="F834">
        <f t="shared" ref="F834:F897" si="27">E834-D834</f>
        <v>42</v>
      </c>
    </row>
    <row r="835" spans="1:6">
      <c r="A835">
        <v>834</v>
      </c>
      <c r="B835" t="s">
        <v>74</v>
      </c>
      <c r="C835" s="11">
        <v>209</v>
      </c>
      <c r="D835" s="12">
        <v>45805</v>
      </c>
      <c r="E835" s="12">
        <f t="shared" si="26"/>
        <v>45847</v>
      </c>
      <c r="F835">
        <f t="shared" si="27"/>
        <v>42</v>
      </c>
    </row>
    <row r="836" spans="1:6">
      <c r="A836">
        <v>835</v>
      </c>
      <c r="B836" t="s">
        <v>102</v>
      </c>
      <c r="C836" s="11">
        <v>46</v>
      </c>
      <c r="D836" s="12">
        <v>45825</v>
      </c>
      <c r="E836" s="12">
        <f t="shared" si="26"/>
        <v>45867</v>
      </c>
      <c r="F836">
        <f t="shared" si="27"/>
        <v>42</v>
      </c>
    </row>
    <row r="837" spans="1:6">
      <c r="A837">
        <v>836</v>
      </c>
      <c r="B837" t="s">
        <v>65</v>
      </c>
      <c r="C837" s="11">
        <v>114</v>
      </c>
      <c r="D837" s="12">
        <v>45855</v>
      </c>
      <c r="E837" s="12">
        <f t="shared" si="26"/>
        <v>45897</v>
      </c>
      <c r="F837">
        <f t="shared" si="27"/>
        <v>42</v>
      </c>
    </row>
    <row r="838" spans="1:6">
      <c r="A838">
        <v>837</v>
      </c>
      <c r="B838" t="s">
        <v>69</v>
      </c>
      <c r="C838" s="11">
        <v>19</v>
      </c>
      <c r="D838" s="12">
        <v>45751</v>
      </c>
      <c r="E838" s="12">
        <f t="shared" si="26"/>
        <v>45793</v>
      </c>
      <c r="F838">
        <f t="shared" si="27"/>
        <v>42</v>
      </c>
    </row>
    <row r="839" spans="1:6">
      <c r="A839">
        <v>838</v>
      </c>
      <c r="B839" t="s">
        <v>64</v>
      </c>
      <c r="C839" s="11">
        <v>111</v>
      </c>
      <c r="D839" s="12">
        <v>45831</v>
      </c>
      <c r="E839" s="12">
        <f t="shared" si="26"/>
        <v>45873</v>
      </c>
      <c r="F839">
        <f t="shared" si="27"/>
        <v>42</v>
      </c>
    </row>
    <row r="840" spans="1:6">
      <c r="A840">
        <v>839</v>
      </c>
      <c r="B840" t="s">
        <v>108</v>
      </c>
      <c r="C840" s="11">
        <v>108</v>
      </c>
      <c r="D840" s="12">
        <v>45859</v>
      </c>
      <c r="E840" s="12">
        <f t="shared" si="26"/>
        <v>45901</v>
      </c>
      <c r="F840">
        <f t="shared" si="27"/>
        <v>42</v>
      </c>
    </row>
    <row r="841" spans="1:6">
      <c r="A841">
        <v>840</v>
      </c>
      <c r="B841" t="s">
        <v>108</v>
      </c>
      <c r="C841" s="11">
        <v>54</v>
      </c>
      <c r="D841" s="12">
        <v>45859</v>
      </c>
      <c r="E841" s="12">
        <f t="shared" si="26"/>
        <v>45901</v>
      </c>
      <c r="F841">
        <f t="shared" si="27"/>
        <v>42</v>
      </c>
    </row>
    <row r="842" spans="1:6">
      <c r="A842">
        <v>841</v>
      </c>
      <c r="B842" t="s">
        <v>69</v>
      </c>
      <c r="C842" s="11">
        <v>19</v>
      </c>
      <c r="D842" s="12">
        <v>45751</v>
      </c>
      <c r="E842" s="12">
        <f t="shared" si="26"/>
        <v>45793</v>
      </c>
      <c r="F842">
        <f t="shared" si="27"/>
        <v>42</v>
      </c>
    </row>
    <row r="843" spans="1:6">
      <c r="A843">
        <v>842</v>
      </c>
      <c r="B843" t="s">
        <v>69</v>
      </c>
      <c r="C843" s="11">
        <v>19</v>
      </c>
      <c r="D843" s="12">
        <v>45751</v>
      </c>
      <c r="E843" s="12">
        <f t="shared" si="26"/>
        <v>45793</v>
      </c>
      <c r="F843">
        <f t="shared" si="27"/>
        <v>42</v>
      </c>
    </row>
    <row r="844" spans="1:6">
      <c r="A844">
        <v>843</v>
      </c>
      <c r="B844" t="s">
        <v>69</v>
      </c>
      <c r="C844" s="11">
        <v>19</v>
      </c>
      <c r="D844" s="12">
        <v>45751</v>
      </c>
      <c r="E844" s="12">
        <f t="shared" si="26"/>
        <v>45793</v>
      </c>
      <c r="F844">
        <f t="shared" si="27"/>
        <v>42</v>
      </c>
    </row>
    <row r="845" spans="1:6">
      <c r="A845">
        <v>844</v>
      </c>
      <c r="B845" t="s">
        <v>69</v>
      </c>
      <c r="C845" s="11">
        <v>19</v>
      </c>
      <c r="D845" s="12">
        <v>45751</v>
      </c>
      <c r="E845" s="12">
        <f t="shared" si="26"/>
        <v>45793</v>
      </c>
      <c r="F845">
        <f t="shared" si="27"/>
        <v>42</v>
      </c>
    </row>
    <row r="846" spans="1:6">
      <c r="A846">
        <v>845</v>
      </c>
      <c r="B846" t="s">
        <v>98</v>
      </c>
      <c r="C846" s="11">
        <v>19</v>
      </c>
      <c r="D846" s="12">
        <v>45761</v>
      </c>
      <c r="E846" s="12">
        <f t="shared" si="26"/>
        <v>45803</v>
      </c>
      <c r="F846">
        <f t="shared" si="27"/>
        <v>42</v>
      </c>
    </row>
    <row r="847" spans="1:6">
      <c r="A847">
        <v>846</v>
      </c>
      <c r="B847" t="s">
        <v>105</v>
      </c>
      <c r="C847" s="11">
        <v>358</v>
      </c>
      <c r="D847" s="12">
        <v>45840</v>
      </c>
      <c r="E847" s="12">
        <f t="shared" si="26"/>
        <v>45882</v>
      </c>
      <c r="F847">
        <f t="shared" si="27"/>
        <v>42</v>
      </c>
    </row>
    <row r="848" spans="1:6">
      <c r="A848">
        <v>847</v>
      </c>
      <c r="B848" t="s">
        <v>64</v>
      </c>
      <c r="C848" s="11">
        <v>111</v>
      </c>
      <c r="D848" s="12">
        <v>45831</v>
      </c>
      <c r="E848" s="12">
        <f t="shared" si="26"/>
        <v>45873</v>
      </c>
      <c r="F848">
        <f t="shared" si="27"/>
        <v>42</v>
      </c>
    </row>
    <row r="849" spans="1:6">
      <c r="A849">
        <v>848</v>
      </c>
      <c r="B849" t="s">
        <v>64</v>
      </c>
      <c r="C849" s="11">
        <v>111</v>
      </c>
      <c r="D849" s="12">
        <v>45831</v>
      </c>
      <c r="E849" s="12">
        <f t="shared" si="26"/>
        <v>45873</v>
      </c>
      <c r="F849">
        <f t="shared" si="27"/>
        <v>42</v>
      </c>
    </row>
    <row r="850" spans="1:6">
      <c r="A850">
        <v>849</v>
      </c>
      <c r="B850" t="s">
        <v>81</v>
      </c>
      <c r="C850" s="11">
        <v>97</v>
      </c>
      <c r="D850" s="12">
        <v>45838</v>
      </c>
      <c r="E850" s="12">
        <f t="shared" si="26"/>
        <v>45880</v>
      </c>
      <c r="F850">
        <f t="shared" si="27"/>
        <v>42</v>
      </c>
    </row>
    <row r="851" spans="1:6">
      <c r="A851">
        <v>850</v>
      </c>
      <c r="B851" t="s">
        <v>82</v>
      </c>
      <c r="C851" s="11">
        <v>19</v>
      </c>
      <c r="D851" s="12">
        <v>45804</v>
      </c>
      <c r="E851" s="12">
        <f t="shared" si="26"/>
        <v>45846</v>
      </c>
      <c r="F851">
        <f t="shared" si="27"/>
        <v>42</v>
      </c>
    </row>
    <row r="852" spans="1:6">
      <c r="A852">
        <v>851</v>
      </c>
      <c r="B852" t="s">
        <v>82</v>
      </c>
      <c r="C852" s="11">
        <v>19</v>
      </c>
      <c r="D852" s="12">
        <v>45804</v>
      </c>
      <c r="E852" s="12">
        <f t="shared" si="26"/>
        <v>45846</v>
      </c>
      <c r="F852">
        <f t="shared" si="27"/>
        <v>42</v>
      </c>
    </row>
    <row r="853" spans="1:6">
      <c r="A853">
        <v>852</v>
      </c>
      <c r="B853" t="s">
        <v>74</v>
      </c>
      <c r="C853" s="11">
        <v>58</v>
      </c>
      <c r="D853" s="12">
        <v>45842</v>
      </c>
      <c r="E853" s="12">
        <f t="shared" si="26"/>
        <v>45884</v>
      </c>
      <c r="F853">
        <f t="shared" si="27"/>
        <v>42</v>
      </c>
    </row>
    <row r="854" spans="1:6">
      <c r="A854">
        <v>853</v>
      </c>
      <c r="B854" t="s">
        <v>98</v>
      </c>
      <c r="C854" s="11">
        <v>19</v>
      </c>
      <c r="D854" s="12">
        <v>45790</v>
      </c>
      <c r="E854" s="12">
        <f t="shared" si="26"/>
        <v>45832</v>
      </c>
      <c r="F854">
        <f t="shared" si="27"/>
        <v>42</v>
      </c>
    </row>
    <row r="855" spans="1:6">
      <c r="A855">
        <v>854</v>
      </c>
      <c r="B855" t="s">
        <v>98</v>
      </c>
      <c r="C855" s="11">
        <v>19</v>
      </c>
      <c r="D855" s="12">
        <v>45790</v>
      </c>
      <c r="E855" s="12">
        <f t="shared" si="26"/>
        <v>45832</v>
      </c>
      <c r="F855">
        <f t="shared" si="27"/>
        <v>42</v>
      </c>
    </row>
    <row r="856" spans="1:6">
      <c r="A856">
        <v>855</v>
      </c>
      <c r="B856" t="s">
        <v>98</v>
      </c>
      <c r="C856" s="11">
        <v>19</v>
      </c>
      <c r="D856" s="12">
        <v>45790</v>
      </c>
      <c r="E856" s="12">
        <f t="shared" si="26"/>
        <v>45832</v>
      </c>
      <c r="F856">
        <f t="shared" si="27"/>
        <v>42</v>
      </c>
    </row>
    <row r="857" spans="1:6">
      <c r="A857">
        <v>856</v>
      </c>
      <c r="B857" t="s">
        <v>112</v>
      </c>
      <c r="C857" s="11">
        <v>70</v>
      </c>
      <c r="D857" s="12">
        <v>45847</v>
      </c>
      <c r="E857" s="12">
        <f t="shared" si="26"/>
        <v>45889</v>
      </c>
      <c r="F857">
        <f t="shared" si="27"/>
        <v>42</v>
      </c>
    </row>
    <row r="858" spans="1:6">
      <c r="A858">
        <v>857</v>
      </c>
      <c r="B858" t="s">
        <v>98</v>
      </c>
      <c r="C858" s="11">
        <v>19</v>
      </c>
      <c r="D858" s="12">
        <v>45790</v>
      </c>
      <c r="E858" s="12">
        <f t="shared" si="26"/>
        <v>45832</v>
      </c>
      <c r="F858">
        <f t="shared" si="27"/>
        <v>42</v>
      </c>
    </row>
    <row r="859" spans="1:6">
      <c r="A859">
        <v>858</v>
      </c>
      <c r="B859" t="s">
        <v>99</v>
      </c>
      <c r="C859" s="11">
        <v>238</v>
      </c>
      <c r="D859" s="12">
        <v>45854</v>
      </c>
      <c r="E859" s="12">
        <f t="shared" si="26"/>
        <v>45896</v>
      </c>
      <c r="F859">
        <f t="shared" si="27"/>
        <v>42</v>
      </c>
    </row>
    <row r="860" spans="1:6">
      <c r="A860">
        <v>859</v>
      </c>
      <c r="B860" t="s">
        <v>93</v>
      </c>
      <c r="C860" s="11">
        <v>504</v>
      </c>
      <c r="D860" s="12">
        <v>45859</v>
      </c>
      <c r="E860" s="12">
        <f t="shared" si="26"/>
        <v>45901</v>
      </c>
      <c r="F860">
        <f t="shared" si="27"/>
        <v>42</v>
      </c>
    </row>
    <row r="861" spans="1:6">
      <c r="A861">
        <v>860</v>
      </c>
      <c r="B861" t="s">
        <v>96</v>
      </c>
      <c r="C861" s="11">
        <v>122</v>
      </c>
      <c r="D861" s="12">
        <v>45863</v>
      </c>
      <c r="E861" s="12">
        <f t="shared" si="26"/>
        <v>45905</v>
      </c>
      <c r="F861">
        <f t="shared" si="27"/>
        <v>42</v>
      </c>
    </row>
    <row r="862" spans="1:6">
      <c r="A862">
        <v>861</v>
      </c>
      <c r="B862" t="s">
        <v>106</v>
      </c>
      <c r="C862" s="11">
        <v>19</v>
      </c>
      <c r="D862" s="12">
        <v>45743</v>
      </c>
      <c r="E862" s="12">
        <f t="shared" si="26"/>
        <v>45785</v>
      </c>
      <c r="F862">
        <f t="shared" si="27"/>
        <v>42</v>
      </c>
    </row>
    <row r="863" spans="1:6">
      <c r="A863">
        <v>862</v>
      </c>
      <c r="B863" t="s">
        <v>106</v>
      </c>
      <c r="C863" s="11">
        <v>19</v>
      </c>
      <c r="D863" s="12">
        <v>45743</v>
      </c>
      <c r="E863" s="12">
        <f t="shared" si="26"/>
        <v>45785</v>
      </c>
      <c r="F863">
        <f t="shared" si="27"/>
        <v>42</v>
      </c>
    </row>
    <row r="864" spans="1:6">
      <c r="A864">
        <v>863</v>
      </c>
      <c r="B864" t="s">
        <v>87</v>
      </c>
      <c r="C864" s="11">
        <v>18</v>
      </c>
      <c r="D864" s="12">
        <v>45831</v>
      </c>
      <c r="E864" s="12">
        <f t="shared" si="26"/>
        <v>45873</v>
      </c>
      <c r="F864">
        <f t="shared" si="27"/>
        <v>42</v>
      </c>
    </row>
    <row r="865" spans="1:6">
      <c r="A865">
        <v>864</v>
      </c>
      <c r="B865" t="s">
        <v>106</v>
      </c>
      <c r="C865" s="11">
        <v>19</v>
      </c>
      <c r="D865" s="12">
        <v>45743</v>
      </c>
      <c r="E865" s="12">
        <f t="shared" si="26"/>
        <v>45785</v>
      </c>
      <c r="F865">
        <f t="shared" si="27"/>
        <v>42</v>
      </c>
    </row>
    <row r="866" spans="1:6">
      <c r="A866">
        <v>865</v>
      </c>
      <c r="B866" t="s">
        <v>69</v>
      </c>
      <c r="C866" s="11">
        <v>19</v>
      </c>
      <c r="D866" s="12">
        <v>45751</v>
      </c>
      <c r="E866" s="12">
        <f t="shared" si="26"/>
        <v>45793</v>
      </c>
      <c r="F866">
        <f t="shared" si="27"/>
        <v>42</v>
      </c>
    </row>
    <row r="867" spans="1:6">
      <c r="A867">
        <v>866</v>
      </c>
      <c r="B867" t="s">
        <v>69</v>
      </c>
      <c r="C867" s="11">
        <v>19</v>
      </c>
      <c r="D867" s="12">
        <v>45751</v>
      </c>
      <c r="E867" s="12">
        <f t="shared" si="26"/>
        <v>45793</v>
      </c>
      <c r="F867">
        <f t="shared" si="27"/>
        <v>42</v>
      </c>
    </row>
    <row r="868" spans="1:6">
      <c r="A868">
        <v>867</v>
      </c>
      <c r="B868" t="s">
        <v>69</v>
      </c>
      <c r="C868" s="11">
        <v>19</v>
      </c>
      <c r="D868" s="12">
        <v>45751</v>
      </c>
      <c r="E868" s="12">
        <f t="shared" si="26"/>
        <v>45793</v>
      </c>
      <c r="F868">
        <f t="shared" si="27"/>
        <v>42</v>
      </c>
    </row>
    <row r="869" spans="1:6">
      <c r="A869">
        <v>868</v>
      </c>
      <c r="B869" t="s">
        <v>80</v>
      </c>
      <c r="C869" s="11">
        <v>19</v>
      </c>
      <c r="D869" s="12">
        <v>45862</v>
      </c>
      <c r="E869" s="12">
        <f t="shared" si="26"/>
        <v>45904</v>
      </c>
      <c r="F869">
        <f t="shared" si="27"/>
        <v>42</v>
      </c>
    </row>
    <row r="870" spans="1:6">
      <c r="A870">
        <v>869</v>
      </c>
      <c r="B870" t="s">
        <v>99</v>
      </c>
      <c r="C870" s="11">
        <v>19</v>
      </c>
      <c r="D870" s="12">
        <v>45884</v>
      </c>
      <c r="E870" s="12">
        <f t="shared" si="26"/>
        <v>45926</v>
      </c>
      <c r="F870">
        <f t="shared" si="27"/>
        <v>42</v>
      </c>
    </row>
    <row r="871" spans="1:6">
      <c r="A871">
        <v>870</v>
      </c>
      <c r="B871" t="s">
        <v>99</v>
      </c>
      <c r="C871" s="11">
        <v>19</v>
      </c>
      <c r="D871" s="12">
        <v>45884</v>
      </c>
      <c r="E871" s="12">
        <f t="shared" si="26"/>
        <v>45926</v>
      </c>
      <c r="F871">
        <f t="shared" si="27"/>
        <v>42</v>
      </c>
    </row>
    <row r="872" spans="1:6">
      <c r="A872">
        <v>871</v>
      </c>
      <c r="B872" t="s">
        <v>99</v>
      </c>
      <c r="C872" s="11">
        <v>19</v>
      </c>
      <c r="D872" s="12">
        <v>45884</v>
      </c>
      <c r="E872" s="12">
        <f t="shared" si="26"/>
        <v>45926</v>
      </c>
      <c r="F872">
        <f t="shared" si="27"/>
        <v>42</v>
      </c>
    </row>
    <row r="873" spans="1:6">
      <c r="A873">
        <v>872</v>
      </c>
      <c r="B873" t="s">
        <v>80</v>
      </c>
      <c r="C873" s="11">
        <v>19</v>
      </c>
      <c r="D873" s="12">
        <v>45754</v>
      </c>
      <c r="E873" s="12">
        <f t="shared" si="26"/>
        <v>45796</v>
      </c>
      <c r="F873">
        <f t="shared" si="27"/>
        <v>42</v>
      </c>
    </row>
    <row r="874" spans="1:6">
      <c r="A874">
        <v>873</v>
      </c>
      <c r="B874" t="s">
        <v>80</v>
      </c>
      <c r="C874" s="11">
        <v>19</v>
      </c>
      <c r="D874" s="12">
        <v>45754</v>
      </c>
      <c r="E874" s="12">
        <f t="shared" si="26"/>
        <v>45796</v>
      </c>
      <c r="F874">
        <f t="shared" si="27"/>
        <v>42</v>
      </c>
    </row>
    <row r="875" spans="1:6">
      <c r="A875">
        <v>874</v>
      </c>
      <c r="B875" t="s">
        <v>80</v>
      </c>
      <c r="C875" s="11">
        <v>19</v>
      </c>
      <c r="D875" s="12">
        <v>45754</v>
      </c>
      <c r="E875" s="12">
        <f t="shared" si="26"/>
        <v>45796</v>
      </c>
      <c r="F875">
        <f t="shared" si="27"/>
        <v>42</v>
      </c>
    </row>
    <row r="876" spans="1:6">
      <c r="A876">
        <v>875</v>
      </c>
      <c r="B876" t="s">
        <v>102</v>
      </c>
      <c r="C876" s="11">
        <v>45</v>
      </c>
      <c r="D876" s="12">
        <v>45825</v>
      </c>
      <c r="E876" s="12">
        <f t="shared" si="26"/>
        <v>45867</v>
      </c>
      <c r="F876">
        <f t="shared" si="27"/>
        <v>42</v>
      </c>
    </row>
    <row r="877" spans="1:6">
      <c r="A877">
        <v>876</v>
      </c>
      <c r="B877" t="s">
        <v>100</v>
      </c>
      <c r="C877" s="11">
        <v>23</v>
      </c>
      <c r="D877" s="12">
        <v>45828</v>
      </c>
      <c r="E877" s="12">
        <f t="shared" si="26"/>
        <v>45870</v>
      </c>
      <c r="F877">
        <f t="shared" si="27"/>
        <v>42</v>
      </c>
    </row>
    <row r="878" spans="1:6">
      <c r="A878">
        <v>877</v>
      </c>
      <c r="B878" t="s">
        <v>97</v>
      </c>
      <c r="C878" s="11">
        <v>193</v>
      </c>
      <c r="D878" s="12">
        <v>45835</v>
      </c>
      <c r="E878" s="12">
        <f t="shared" si="26"/>
        <v>45877</v>
      </c>
      <c r="F878">
        <f t="shared" si="27"/>
        <v>42</v>
      </c>
    </row>
    <row r="879" spans="1:6">
      <c r="A879">
        <v>878</v>
      </c>
      <c r="B879" t="s">
        <v>93</v>
      </c>
      <c r="C879" s="11">
        <v>504</v>
      </c>
      <c r="D879" s="12">
        <v>45859</v>
      </c>
      <c r="E879" s="12">
        <f t="shared" si="26"/>
        <v>45901</v>
      </c>
      <c r="F879">
        <f t="shared" si="27"/>
        <v>42</v>
      </c>
    </row>
    <row r="880" spans="1:6">
      <c r="A880">
        <v>879</v>
      </c>
      <c r="B880" t="s">
        <v>93</v>
      </c>
      <c r="C880" s="11">
        <v>504</v>
      </c>
      <c r="D880" s="12">
        <v>45859</v>
      </c>
      <c r="E880" s="12">
        <f t="shared" si="26"/>
        <v>45901</v>
      </c>
      <c r="F880">
        <f t="shared" si="27"/>
        <v>42</v>
      </c>
    </row>
    <row r="881" spans="1:6">
      <c r="A881">
        <v>880</v>
      </c>
      <c r="B881" t="s">
        <v>93</v>
      </c>
      <c r="C881" s="11">
        <v>504</v>
      </c>
      <c r="D881" s="12">
        <v>45859</v>
      </c>
      <c r="E881" s="12">
        <f t="shared" si="26"/>
        <v>45901</v>
      </c>
      <c r="F881">
        <f t="shared" si="27"/>
        <v>42</v>
      </c>
    </row>
    <row r="882" spans="1:6">
      <c r="A882">
        <v>881</v>
      </c>
      <c r="B882" t="s">
        <v>93</v>
      </c>
      <c r="C882" s="11">
        <v>504</v>
      </c>
      <c r="D882" s="12">
        <v>45861</v>
      </c>
      <c r="E882" s="12">
        <f t="shared" si="26"/>
        <v>45903</v>
      </c>
      <c r="F882">
        <f t="shared" si="27"/>
        <v>42</v>
      </c>
    </row>
    <row r="883" spans="1:6">
      <c r="A883">
        <v>882</v>
      </c>
      <c r="B883" t="s">
        <v>77</v>
      </c>
      <c r="C883" s="11">
        <v>18</v>
      </c>
      <c r="D883" s="12">
        <v>45863</v>
      </c>
      <c r="E883" s="12">
        <f t="shared" si="26"/>
        <v>45905</v>
      </c>
      <c r="F883">
        <f t="shared" si="27"/>
        <v>42</v>
      </c>
    </row>
    <row r="884" spans="1:6">
      <c r="A884">
        <v>883</v>
      </c>
      <c r="B884" t="s">
        <v>113</v>
      </c>
      <c r="C884" s="11">
        <v>195</v>
      </c>
      <c r="D884" s="12">
        <v>45862</v>
      </c>
      <c r="E884" s="12">
        <f t="shared" si="26"/>
        <v>45904</v>
      </c>
      <c r="F884">
        <f t="shared" si="27"/>
        <v>42</v>
      </c>
    </row>
    <row r="885" spans="1:6">
      <c r="A885">
        <v>884</v>
      </c>
      <c r="B885" t="s">
        <v>113</v>
      </c>
      <c r="C885" s="11">
        <v>195</v>
      </c>
      <c r="D885" s="12">
        <v>45862</v>
      </c>
      <c r="E885" s="12">
        <f t="shared" si="26"/>
        <v>45904</v>
      </c>
      <c r="F885">
        <f t="shared" si="27"/>
        <v>42</v>
      </c>
    </row>
    <row r="886" spans="1:6">
      <c r="A886">
        <v>885</v>
      </c>
      <c r="B886" t="s">
        <v>80</v>
      </c>
      <c r="C886" s="11">
        <v>19</v>
      </c>
      <c r="D886" s="12">
        <v>45862</v>
      </c>
      <c r="E886" s="12">
        <f t="shared" si="26"/>
        <v>45904</v>
      </c>
      <c r="F886">
        <f t="shared" si="27"/>
        <v>42</v>
      </c>
    </row>
    <row r="887" spans="1:6">
      <c r="A887">
        <v>886</v>
      </c>
      <c r="B887" t="s">
        <v>69</v>
      </c>
      <c r="C887" s="11">
        <v>19</v>
      </c>
      <c r="D887" s="12">
        <v>45751</v>
      </c>
      <c r="E887" s="12">
        <f t="shared" si="26"/>
        <v>45793</v>
      </c>
      <c r="F887">
        <f t="shared" si="27"/>
        <v>42</v>
      </c>
    </row>
    <row r="888" spans="1:6">
      <c r="A888">
        <v>887</v>
      </c>
      <c r="B888" t="s">
        <v>99</v>
      </c>
      <c r="C888" s="11">
        <v>238</v>
      </c>
      <c r="D888" s="12">
        <v>45854</v>
      </c>
      <c r="E888" s="12">
        <f t="shared" si="26"/>
        <v>45896</v>
      </c>
      <c r="F888">
        <f t="shared" si="27"/>
        <v>42</v>
      </c>
    </row>
    <row r="889" spans="1:6">
      <c r="A889">
        <v>888</v>
      </c>
      <c r="B889" t="s">
        <v>106</v>
      </c>
      <c r="C889" s="11">
        <v>19</v>
      </c>
      <c r="D889" s="12">
        <v>45743</v>
      </c>
      <c r="E889" s="12">
        <f t="shared" si="26"/>
        <v>45785</v>
      </c>
      <c r="F889">
        <f t="shared" si="27"/>
        <v>42</v>
      </c>
    </row>
    <row r="890" spans="1:6">
      <c r="A890">
        <v>889</v>
      </c>
      <c r="B890" t="s">
        <v>106</v>
      </c>
      <c r="C890" s="11">
        <v>19</v>
      </c>
      <c r="D890" s="12">
        <v>45743</v>
      </c>
      <c r="E890" s="12">
        <f t="shared" si="26"/>
        <v>45785</v>
      </c>
      <c r="F890">
        <f t="shared" si="27"/>
        <v>42</v>
      </c>
    </row>
    <row r="891" spans="1:6">
      <c r="A891">
        <v>890</v>
      </c>
      <c r="B891" t="s">
        <v>111</v>
      </c>
      <c r="C891" s="11">
        <v>45</v>
      </c>
      <c r="D891" s="12">
        <v>45821</v>
      </c>
      <c r="E891" s="12">
        <f t="shared" si="26"/>
        <v>45863</v>
      </c>
      <c r="F891">
        <f t="shared" si="27"/>
        <v>42</v>
      </c>
    </row>
    <row r="892" spans="1:6">
      <c r="A892">
        <v>891</v>
      </c>
      <c r="B892" t="s">
        <v>69</v>
      </c>
      <c r="C892" s="11">
        <v>19</v>
      </c>
      <c r="D892" s="12">
        <v>45751</v>
      </c>
      <c r="E892" s="12">
        <f t="shared" si="26"/>
        <v>45793</v>
      </c>
      <c r="F892">
        <f t="shared" si="27"/>
        <v>42</v>
      </c>
    </row>
    <row r="893" spans="1:6">
      <c r="A893">
        <v>892</v>
      </c>
      <c r="B893" t="s">
        <v>69</v>
      </c>
      <c r="C893" s="11">
        <v>19</v>
      </c>
      <c r="D893" s="12">
        <v>45751</v>
      </c>
      <c r="E893" s="12">
        <f t="shared" si="26"/>
        <v>45793</v>
      </c>
      <c r="F893">
        <f t="shared" si="27"/>
        <v>42</v>
      </c>
    </row>
    <row r="894" spans="1:6">
      <c r="A894">
        <v>893</v>
      </c>
      <c r="B894" t="s">
        <v>99</v>
      </c>
      <c r="C894" s="11">
        <v>238</v>
      </c>
      <c r="D894" s="12">
        <v>45854</v>
      </c>
      <c r="E894" s="12">
        <f t="shared" si="26"/>
        <v>45896</v>
      </c>
      <c r="F894">
        <f t="shared" si="27"/>
        <v>42</v>
      </c>
    </row>
    <row r="895" spans="1:6">
      <c r="A895">
        <v>894</v>
      </c>
      <c r="B895" t="s">
        <v>77</v>
      </c>
      <c r="C895" s="11">
        <v>18</v>
      </c>
      <c r="D895" s="12">
        <v>45863</v>
      </c>
      <c r="E895" s="12">
        <f t="shared" si="26"/>
        <v>45905</v>
      </c>
      <c r="F895">
        <f t="shared" si="27"/>
        <v>42</v>
      </c>
    </row>
    <row r="896" spans="1:6">
      <c r="A896">
        <v>895</v>
      </c>
      <c r="B896" t="s">
        <v>71</v>
      </c>
      <c r="C896" s="11">
        <v>391</v>
      </c>
      <c r="D896" s="12">
        <v>45862</v>
      </c>
      <c r="E896" s="12">
        <f t="shared" si="26"/>
        <v>45904</v>
      </c>
      <c r="F896">
        <f t="shared" si="27"/>
        <v>42</v>
      </c>
    </row>
    <row r="897" spans="1:6">
      <c r="A897">
        <v>896</v>
      </c>
      <c r="B897" t="s">
        <v>69</v>
      </c>
      <c r="C897" s="11">
        <v>19</v>
      </c>
      <c r="D897" s="12">
        <v>45751</v>
      </c>
      <c r="E897" s="12">
        <f t="shared" si="26"/>
        <v>45793</v>
      </c>
      <c r="F897">
        <f t="shared" si="27"/>
        <v>42</v>
      </c>
    </row>
    <row r="898" spans="1:6">
      <c r="A898">
        <v>897</v>
      </c>
      <c r="B898" t="s">
        <v>69</v>
      </c>
      <c r="C898" s="11">
        <v>19</v>
      </c>
      <c r="D898" s="12">
        <v>45751</v>
      </c>
      <c r="E898" s="12">
        <f t="shared" ref="E898:E961" si="28">D898+6*7</f>
        <v>45793</v>
      </c>
      <c r="F898">
        <f t="shared" ref="F898:F961" si="29">E898-D898</f>
        <v>42</v>
      </c>
    </row>
    <row r="899" spans="1:6">
      <c r="A899">
        <v>898</v>
      </c>
      <c r="B899" t="s">
        <v>106</v>
      </c>
      <c r="C899" s="11">
        <v>19</v>
      </c>
      <c r="D899" s="12">
        <v>45743</v>
      </c>
      <c r="E899" s="12">
        <f t="shared" si="28"/>
        <v>45785</v>
      </c>
      <c r="F899">
        <f t="shared" si="29"/>
        <v>42</v>
      </c>
    </row>
    <row r="900" spans="1:6">
      <c r="A900">
        <v>899</v>
      </c>
      <c r="B900" t="s">
        <v>106</v>
      </c>
      <c r="C900" s="11">
        <v>19</v>
      </c>
      <c r="D900" s="12">
        <v>45743</v>
      </c>
      <c r="E900" s="12">
        <f t="shared" si="28"/>
        <v>45785</v>
      </c>
      <c r="F900">
        <f t="shared" si="29"/>
        <v>42</v>
      </c>
    </row>
    <row r="901" spans="1:6">
      <c r="A901">
        <v>900</v>
      </c>
      <c r="B901" t="s">
        <v>111</v>
      </c>
      <c r="C901" s="11">
        <v>67</v>
      </c>
      <c r="D901" s="12">
        <v>45821</v>
      </c>
      <c r="E901" s="12">
        <f t="shared" si="28"/>
        <v>45863</v>
      </c>
      <c r="F901">
        <f t="shared" si="29"/>
        <v>42</v>
      </c>
    </row>
    <row r="902" spans="1:6">
      <c r="A902">
        <v>901</v>
      </c>
      <c r="B902" t="s">
        <v>69</v>
      </c>
      <c r="C902" s="11">
        <v>19</v>
      </c>
      <c r="D902" s="12">
        <v>45751</v>
      </c>
      <c r="E902" s="12">
        <f t="shared" si="28"/>
        <v>45793</v>
      </c>
      <c r="F902">
        <f t="shared" si="29"/>
        <v>42</v>
      </c>
    </row>
    <row r="903" spans="1:6">
      <c r="A903">
        <v>902</v>
      </c>
      <c r="B903" t="s">
        <v>69</v>
      </c>
      <c r="C903" s="11">
        <v>19</v>
      </c>
      <c r="D903" s="12">
        <v>45751</v>
      </c>
      <c r="E903" s="12">
        <f t="shared" si="28"/>
        <v>45793</v>
      </c>
      <c r="F903">
        <f t="shared" si="29"/>
        <v>42</v>
      </c>
    </row>
    <row r="904" spans="1:6">
      <c r="A904">
        <v>903</v>
      </c>
      <c r="B904" t="s">
        <v>72</v>
      </c>
      <c r="C904" s="11">
        <v>49</v>
      </c>
      <c r="D904" s="12">
        <v>45859</v>
      </c>
      <c r="E904" s="12">
        <f t="shared" si="28"/>
        <v>45901</v>
      </c>
      <c r="F904">
        <f t="shared" si="29"/>
        <v>42</v>
      </c>
    </row>
    <row r="905" spans="1:6">
      <c r="A905">
        <v>904</v>
      </c>
      <c r="B905" t="s">
        <v>72</v>
      </c>
      <c r="C905" s="11">
        <v>49</v>
      </c>
      <c r="D905" s="12">
        <v>45859</v>
      </c>
      <c r="E905" s="12">
        <f t="shared" si="28"/>
        <v>45901</v>
      </c>
      <c r="F905">
        <f t="shared" si="29"/>
        <v>42</v>
      </c>
    </row>
    <row r="906" spans="1:6">
      <c r="A906">
        <v>905</v>
      </c>
      <c r="B906" t="s">
        <v>98</v>
      </c>
      <c r="C906" s="11">
        <v>19</v>
      </c>
      <c r="D906" s="12">
        <v>45860</v>
      </c>
      <c r="E906" s="12">
        <f t="shared" si="28"/>
        <v>45902</v>
      </c>
      <c r="F906">
        <f t="shared" si="29"/>
        <v>42</v>
      </c>
    </row>
    <row r="907" spans="1:6">
      <c r="A907">
        <v>906</v>
      </c>
      <c r="B907" t="s">
        <v>113</v>
      </c>
      <c r="C907" s="11">
        <v>195</v>
      </c>
      <c r="D907" s="12">
        <v>45862</v>
      </c>
      <c r="E907" s="12">
        <f t="shared" si="28"/>
        <v>45904</v>
      </c>
      <c r="F907">
        <f t="shared" si="29"/>
        <v>42</v>
      </c>
    </row>
    <row r="908" spans="1:6">
      <c r="A908">
        <v>907</v>
      </c>
      <c r="B908" t="s">
        <v>106</v>
      </c>
      <c r="C908" s="11">
        <v>19</v>
      </c>
      <c r="D908" s="12">
        <v>45743</v>
      </c>
      <c r="E908" s="12">
        <f t="shared" si="28"/>
        <v>45785</v>
      </c>
      <c r="F908">
        <f t="shared" si="29"/>
        <v>42</v>
      </c>
    </row>
    <row r="909" spans="1:6">
      <c r="A909">
        <v>908</v>
      </c>
      <c r="B909" t="s">
        <v>69</v>
      </c>
      <c r="C909" s="11">
        <v>19</v>
      </c>
      <c r="D909" s="12">
        <v>45751</v>
      </c>
      <c r="E909" s="12">
        <f t="shared" si="28"/>
        <v>45793</v>
      </c>
      <c r="F909">
        <f t="shared" si="29"/>
        <v>42</v>
      </c>
    </row>
    <row r="910" spans="1:6">
      <c r="A910">
        <v>909</v>
      </c>
      <c r="B910" t="s">
        <v>69</v>
      </c>
      <c r="C910" s="11">
        <v>19</v>
      </c>
      <c r="D910" s="12">
        <v>45751</v>
      </c>
      <c r="E910" s="12">
        <f t="shared" si="28"/>
        <v>45793</v>
      </c>
      <c r="F910">
        <f t="shared" si="29"/>
        <v>42</v>
      </c>
    </row>
    <row r="911" spans="1:6">
      <c r="A911">
        <v>910</v>
      </c>
      <c r="B911" t="s">
        <v>106</v>
      </c>
      <c r="C911" s="11">
        <v>19</v>
      </c>
      <c r="D911" s="12">
        <v>45743</v>
      </c>
      <c r="E911" s="12">
        <f t="shared" si="28"/>
        <v>45785</v>
      </c>
      <c r="F911">
        <f t="shared" si="29"/>
        <v>42</v>
      </c>
    </row>
    <row r="912" spans="1:6">
      <c r="A912">
        <v>911</v>
      </c>
      <c r="B912" t="s">
        <v>69</v>
      </c>
      <c r="C912" s="11">
        <v>19</v>
      </c>
      <c r="D912" s="12">
        <v>45751</v>
      </c>
      <c r="E912" s="12">
        <f t="shared" si="28"/>
        <v>45793</v>
      </c>
      <c r="F912">
        <f t="shared" si="29"/>
        <v>42</v>
      </c>
    </row>
    <row r="913" spans="1:6">
      <c r="A913">
        <v>912</v>
      </c>
      <c r="B913" t="s">
        <v>69</v>
      </c>
      <c r="C913" s="11">
        <v>19</v>
      </c>
      <c r="D913" s="12">
        <v>45751</v>
      </c>
      <c r="E913" s="12">
        <f t="shared" si="28"/>
        <v>45793</v>
      </c>
      <c r="F913">
        <f t="shared" si="29"/>
        <v>42</v>
      </c>
    </row>
    <row r="914" spans="1:6">
      <c r="A914">
        <v>913</v>
      </c>
      <c r="B914" t="s">
        <v>69</v>
      </c>
      <c r="C914" s="11">
        <v>19</v>
      </c>
      <c r="D914" s="12">
        <v>45751</v>
      </c>
      <c r="E914" s="12">
        <f t="shared" si="28"/>
        <v>45793</v>
      </c>
      <c r="F914">
        <f t="shared" si="29"/>
        <v>42</v>
      </c>
    </row>
    <row r="915" spans="1:6">
      <c r="A915">
        <v>914</v>
      </c>
      <c r="B915" t="s">
        <v>69</v>
      </c>
      <c r="C915" s="11">
        <v>19</v>
      </c>
      <c r="D915" s="12">
        <v>45751</v>
      </c>
      <c r="E915" s="12">
        <f t="shared" si="28"/>
        <v>45793</v>
      </c>
      <c r="F915">
        <f t="shared" si="29"/>
        <v>42</v>
      </c>
    </row>
    <row r="916" spans="1:6">
      <c r="A916">
        <v>915</v>
      </c>
      <c r="B916" t="s">
        <v>98</v>
      </c>
      <c r="C916" s="11">
        <v>19</v>
      </c>
      <c r="D916" s="12">
        <v>45860</v>
      </c>
      <c r="E916" s="12">
        <f t="shared" si="28"/>
        <v>45902</v>
      </c>
      <c r="F916">
        <f t="shared" si="29"/>
        <v>42</v>
      </c>
    </row>
    <row r="917" spans="1:6">
      <c r="A917">
        <v>916</v>
      </c>
      <c r="B917" t="s">
        <v>77</v>
      </c>
      <c r="C917" s="11">
        <v>18</v>
      </c>
      <c r="D917" s="12">
        <v>45896</v>
      </c>
      <c r="E917" s="12">
        <f t="shared" si="28"/>
        <v>45938</v>
      </c>
      <c r="F917">
        <f t="shared" si="29"/>
        <v>42</v>
      </c>
    </row>
    <row r="918" spans="1:6">
      <c r="A918">
        <v>917</v>
      </c>
      <c r="B918" t="s">
        <v>69</v>
      </c>
      <c r="C918" s="11">
        <v>19</v>
      </c>
      <c r="D918" s="12">
        <v>45751</v>
      </c>
      <c r="E918" s="12">
        <f t="shared" si="28"/>
        <v>45793</v>
      </c>
      <c r="F918">
        <f t="shared" si="29"/>
        <v>42</v>
      </c>
    </row>
    <row r="919" spans="1:6">
      <c r="A919">
        <v>918</v>
      </c>
      <c r="B919" t="s">
        <v>100</v>
      </c>
      <c r="C919" s="11">
        <v>140</v>
      </c>
      <c r="D919" s="12">
        <v>45861</v>
      </c>
      <c r="E919" s="12">
        <f t="shared" si="28"/>
        <v>45903</v>
      </c>
      <c r="F919">
        <f t="shared" si="29"/>
        <v>42</v>
      </c>
    </row>
    <row r="920" spans="1:6">
      <c r="A920">
        <v>919</v>
      </c>
      <c r="B920" t="s">
        <v>84</v>
      </c>
      <c r="C920" s="11">
        <v>18</v>
      </c>
      <c r="D920" s="12">
        <v>45891</v>
      </c>
      <c r="E920" s="12">
        <f t="shared" si="28"/>
        <v>45933</v>
      </c>
      <c r="F920">
        <f t="shared" si="29"/>
        <v>42</v>
      </c>
    </row>
    <row r="921" spans="1:6">
      <c r="A921">
        <v>920</v>
      </c>
      <c r="B921" t="s">
        <v>106</v>
      </c>
      <c r="C921" s="11">
        <v>19</v>
      </c>
      <c r="D921" s="12">
        <v>45743</v>
      </c>
      <c r="E921" s="12">
        <f t="shared" si="28"/>
        <v>45785</v>
      </c>
      <c r="F921">
        <f t="shared" si="29"/>
        <v>42</v>
      </c>
    </row>
    <row r="922" spans="1:6">
      <c r="A922">
        <v>921</v>
      </c>
      <c r="B922" t="s">
        <v>94</v>
      </c>
      <c r="C922" s="11">
        <v>99</v>
      </c>
      <c r="D922" s="12">
        <v>45798</v>
      </c>
      <c r="E922" s="12">
        <f t="shared" si="28"/>
        <v>45840</v>
      </c>
      <c r="F922">
        <f t="shared" si="29"/>
        <v>42</v>
      </c>
    </row>
    <row r="923" spans="1:6">
      <c r="A923">
        <v>922</v>
      </c>
      <c r="B923" t="s">
        <v>77</v>
      </c>
      <c r="C923" s="11">
        <v>18</v>
      </c>
      <c r="D923" s="12">
        <v>45904</v>
      </c>
      <c r="E923" s="12">
        <f t="shared" si="28"/>
        <v>45946</v>
      </c>
      <c r="F923">
        <f t="shared" si="29"/>
        <v>42</v>
      </c>
    </row>
    <row r="924" spans="1:6">
      <c r="A924">
        <v>923</v>
      </c>
      <c r="B924" t="s">
        <v>98</v>
      </c>
      <c r="C924" s="11">
        <v>20</v>
      </c>
      <c r="D924" s="12">
        <v>45860</v>
      </c>
      <c r="E924" s="12">
        <f t="shared" si="28"/>
        <v>45902</v>
      </c>
      <c r="F924">
        <f t="shared" si="29"/>
        <v>42</v>
      </c>
    </row>
    <row r="925" spans="1:6">
      <c r="A925">
        <v>924</v>
      </c>
      <c r="B925" t="s">
        <v>75</v>
      </c>
      <c r="C925" s="11">
        <v>148</v>
      </c>
      <c r="D925" s="12">
        <v>45873</v>
      </c>
      <c r="E925" s="12">
        <f t="shared" si="28"/>
        <v>45915</v>
      </c>
      <c r="F925">
        <f t="shared" si="29"/>
        <v>42</v>
      </c>
    </row>
    <row r="926" spans="1:6">
      <c r="A926">
        <v>925</v>
      </c>
      <c r="B926" t="s">
        <v>98</v>
      </c>
      <c r="C926" s="11">
        <v>19</v>
      </c>
      <c r="D926" s="12">
        <v>45790</v>
      </c>
      <c r="E926" s="12">
        <f t="shared" si="28"/>
        <v>45832</v>
      </c>
      <c r="F926">
        <f t="shared" si="29"/>
        <v>42</v>
      </c>
    </row>
    <row r="927" spans="1:6">
      <c r="A927">
        <v>926</v>
      </c>
      <c r="B927" t="s">
        <v>112</v>
      </c>
      <c r="C927" s="11">
        <v>61.750999999999998</v>
      </c>
      <c r="D927" s="12">
        <v>45854</v>
      </c>
      <c r="E927" s="12">
        <f t="shared" si="28"/>
        <v>45896</v>
      </c>
      <c r="F927">
        <f t="shared" si="29"/>
        <v>42</v>
      </c>
    </row>
    <row r="928" spans="1:6">
      <c r="A928">
        <v>927</v>
      </c>
      <c r="B928" t="s">
        <v>99</v>
      </c>
      <c r="C928" s="11">
        <v>19</v>
      </c>
      <c r="D928" s="12">
        <v>45905</v>
      </c>
      <c r="E928" s="12">
        <f t="shared" si="28"/>
        <v>45947</v>
      </c>
      <c r="F928">
        <f t="shared" si="29"/>
        <v>42</v>
      </c>
    </row>
    <row r="929" spans="1:6">
      <c r="A929">
        <v>928</v>
      </c>
      <c r="B929" t="s">
        <v>99</v>
      </c>
      <c r="C929" s="11">
        <v>19</v>
      </c>
      <c r="D929" s="12">
        <v>45905</v>
      </c>
      <c r="E929" s="12">
        <f t="shared" si="28"/>
        <v>45947</v>
      </c>
      <c r="F929">
        <f t="shared" si="29"/>
        <v>42</v>
      </c>
    </row>
    <row r="930" spans="1:6">
      <c r="A930">
        <v>929</v>
      </c>
      <c r="B930" t="s">
        <v>99</v>
      </c>
      <c r="C930" s="11">
        <v>19</v>
      </c>
      <c r="D930" s="12">
        <v>45905</v>
      </c>
      <c r="E930" s="12">
        <f t="shared" si="28"/>
        <v>45947</v>
      </c>
      <c r="F930">
        <f t="shared" si="29"/>
        <v>42</v>
      </c>
    </row>
    <row r="931" spans="1:6">
      <c r="A931">
        <v>930</v>
      </c>
      <c r="B931" t="s">
        <v>99</v>
      </c>
      <c r="C931" s="11">
        <v>19</v>
      </c>
      <c r="D931" s="12">
        <v>45905</v>
      </c>
      <c r="E931" s="12">
        <f t="shared" si="28"/>
        <v>45947</v>
      </c>
      <c r="F931">
        <f t="shared" si="29"/>
        <v>42</v>
      </c>
    </row>
    <row r="932" spans="1:6">
      <c r="A932">
        <v>931</v>
      </c>
      <c r="B932" t="s">
        <v>113</v>
      </c>
      <c r="C932" s="11">
        <v>195</v>
      </c>
      <c r="D932" s="12">
        <v>45778</v>
      </c>
      <c r="E932" s="12">
        <f t="shared" si="28"/>
        <v>45820</v>
      </c>
      <c r="F932">
        <f t="shared" si="29"/>
        <v>42</v>
      </c>
    </row>
    <row r="933" spans="1:6">
      <c r="A933">
        <v>932</v>
      </c>
      <c r="B933" t="s">
        <v>70</v>
      </c>
      <c r="C933" s="11">
        <v>198</v>
      </c>
      <c r="D933" s="12">
        <v>45798</v>
      </c>
      <c r="E933" s="12">
        <f t="shared" si="28"/>
        <v>45840</v>
      </c>
      <c r="F933">
        <f t="shared" si="29"/>
        <v>42</v>
      </c>
    </row>
    <row r="934" spans="1:6">
      <c r="A934">
        <v>933</v>
      </c>
      <c r="B934" t="s">
        <v>71</v>
      </c>
      <c r="C934" s="11">
        <v>391</v>
      </c>
      <c r="D934" s="12">
        <v>45862</v>
      </c>
      <c r="E934" s="12">
        <f t="shared" si="28"/>
        <v>45904</v>
      </c>
      <c r="F934">
        <f t="shared" si="29"/>
        <v>42</v>
      </c>
    </row>
    <row r="935" spans="1:6">
      <c r="A935">
        <v>934</v>
      </c>
      <c r="B935" t="s">
        <v>71</v>
      </c>
      <c r="C935" s="11">
        <v>24</v>
      </c>
      <c r="D935" s="12">
        <v>45895</v>
      </c>
      <c r="E935" s="12">
        <f t="shared" si="28"/>
        <v>45937</v>
      </c>
      <c r="F935">
        <f t="shared" si="29"/>
        <v>42</v>
      </c>
    </row>
    <row r="936" spans="1:6">
      <c r="A936">
        <v>935</v>
      </c>
      <c r="B936" t="s">
        <v>71</v>
      </c>
      <c r="C936" s="11">
        <v>391</v>
      </c>
      <c r="D936" s="12">
        <v>45862</v>
      </c>
      <c r="E936" s="12">
        <f t="shared" si="28"/>
        <v>45904</v>
      </c>
      <c r="F936">
        <f t="shared" si="29"/>
        <v>42</v>
      </c>
    </row>
    <row r="937" spans="1:6">
      <c r="A937">
        <v>936</v>
      </c>
      <c r="B937" t="s">
        <v>71</v>
      </c>
      <c r="C937" s="11">
        <v>391</v>
      </c>
      <c r="D937" s="12">
        <v>45862</v>
      </c>
      <c r="E937" s="12">
        <f t="shared" si="28"/>
        <v>45904</v>
      </c>
      <c r="F937">
        <f t="shared" si="29"/>
        <v>42</v>
      </c>
    </row>
    <row r="938" spans="1:6">
      <c r="A938">
        <v>937</v>
      </c>
      <c r="B938" t="s">
        <v>80</v>
      </c>
      <c r="C938" s="11">
        <v>19</v>
      </c>
      <c r="D938" s="12">
        <v>45862</v>
      </c>
      <c r="E938" s="12">
        <f t="shared" si="28"/>
        <v>45904</v>
      </c>
      <c r="F938">
        <f t="shared" si="29"/>
        <v>42</v>
      </c>
    </row>
    <row r="939" spans="1:6">
      <c r="A939">
        <v>938</v>
      </c>
      <c r="B939" t="s">
        <v>111</v>
      </c>
      <c r="C939" s="11">
        <v>67</v>
      </c>
      <c r="D939" s="12">
        <v>45848</v>
      </c>
      <c r="E939" s="12">
        <f t="shared" si="28"/>
        <v>45890</v>
      </c>
      <c r="F939">
        <f t="shared" si="29"/>
        <v>42</v>
      </c>
    </row>
    <row r="940" spans="1:6">
      <c r="A940">
        <v>939</v>
      </c>
      <c r="B940" t="s">
        <v>98</v>
      </c>
      <c r="C940" s="11">
        <v>19</v>
      </c>
      <c r="D940" s="12">
        <v>45790</v>
      </c>
      <c r="E940" s="12">
        <f t="shared" si="28"/>
        <v>45832</v>
      </c>
      <c r="F940">
        <f t="shared" si="29"/>
        <v>42</v>
      </c>
    </row>
    <row r="941" spans="1:6">
      <c r="A941">
        <v>940</v>
      </c>
      <c r="B941" t="s">
        <v>77</v>
      </c>
      <c r="C941" s="11">
        <v>18</v>
      </c>
      <c r="D941" s="12">
        <v>45904</v>
      </c>
      <c r="E941" s="12">
        <f t="shared" si="28"/>
        <v>45946</v>
      </c>
      <c r="F941">
        <f t="shared" si="29"/>
        <v>42</v>
      </c>
    </row>
    <row r="942" spans="1:6">
      <c r="A942">
        <v>941</v>
      </c>
      <c r="B942" t="s">
        <v>99</v>
      </c>
      <c r="C942" s="11">
        <v>238</v>
      </c>
      <c r="D942" s="12">
        <v>45868</v>
      </c>
      <c r="E942" s="12">
        <f t="shared" si="28"/>
        <v>45910</v>
      </c>
      <c r="F942">
        <f t="shared" si="29"/>
        <v>42</v>
      </c>
    </row>
    <row r="943" spans="1:6">
      <c r="A943">
        <v>942</v>
      </c>
      <c r="B943" t="s">
        <v>77</v>
      </c>
      <c r="C943" s="11">
        <v>18</v>
      </c>
      <c r="D943" s="12">
        <v>45880</v>
      </c>
      <c r="E943" s="12">
        <f t="shared" si="28"/>
        <v>45922</v>
      </c>
      <c r="F943">
        <f t="shared" si="29"/>
        <v>42</v>
      </c>
    </row>
    <row r="944" spans="1:6">
      <c r="A944">
        <v>943</v>
      </c>
      <c r="B944" t="s">
        <v>77</v>
      </c>
      <c r="C944" s="11">
        <v>18</v>
      </c>
      <c r="D944" s="12">
        <v>45880</v>
      </c>
      <c r="E944" s="12">
        <f t="shared" si="28"/>
        <v>45922</v>
      </c>
      <c r="F944">
        <f t="shared" si="29"/>
        <v>42</v>
      </c>
    </row>
    <row r="945" spans="1:6">
      <c r="A945">
        <v>944</v>
      </c>
      <c r="B945" t="s">
        <v>84</v>
      </c>
      <c r="C945" s="11">
        <v>18</v>
      </c>
      <c r="D945" s="12">
        <v>45891</v>
      </c>
      <c r="E945" s="12">
        <f t="shared" si="28"/>
        <v>45933</v>
      </c>
      <c r="F945">
        <f t="shared" si="29"/>
        <v>42</v>
      </c>
    </row>
    <row r="946" spans="1:6">
      <c r="A946">
        <v>945</v>
      </c>
      <c r="B946" t="s">
        <v>106</v>
      </c>
      <c r="C946" s="11">
        <v>19</v>
      </c>
      <c r="D946" s="12">
        <v>45904</v>
      </c>
      <c r="E946" s="12">
        <f t="shared" si="28"/>
        <v>45946</v>
      </c>
      <c r="F946">
        <f t="shared" si="29"/>
        <v>42</v>
      </c>
    </row>
    <row r="947" spans="1:6">
      <c r="A947">
        <v>946</v>
      </c>
      <c r="B947" t="s">
        <v>93</v>
      </c>
      <c r="C947" s="11">
        <v>499</v>
      </c>
      <c r="D947" s="12">
        <v>45897</v>
      </c>
      <c r="E947" s="12">
        <f t="shared" si="28"/>
        <v>45939</v>
      </c>
      <c r="F947">
        <f t="shared" si="29"/>
        <v>42</v>
      </c>
    </row>
    <row r="948" spans="1:6">
      <c r="A948">
        <v>947</v>
      </c>
      <c r="B948" t="s">
        <v>106</v>
      </c>
      <c r="C948" s="11">
        <v>18.710999999999999</v>
      </c>
      <c r="D948" s="12">
        <v>45904</v>
      </c>
      <c r="E948" s="12">
        <f t="shared" si="28"/>
        <v>45946</v>
      </c>
      <c r="F948">
        <f t="shared" si="29"/>
        <v>42</v>
      </c>
    </row>
    <row r="949" spans="1:6">
      <c r="A949">
        <v>948</v>
      </c>
      <c r="B949" t="s">
        <v>98</v>
      </c>
      <c r="C949" s="11">
        <v>19</v>
      </c>
      <c r="D949" s="12">
        <v>45790</v>
      </c>
      <c r="E949" s="12">
        <f t="shared" si="28"/>
        <v>45832</v>
      </c>
      <c r="F949">
        <f t="shared" si="29"/>
        <v>42</v>
      </c>
    </row>
    <row r="950" spans="1:6">
      <c r="A950">
        <v>949</v>
      </c>
      <c r="B950" t="s">
        <v>98</v>
      </c>
      <c r="C950" s="11">
        <v>19</v>
      </c>
      <c r="D950" s="12">
        <v>45790</v>
      </c>
      <c r="E950" s="12">
        <f t="shared" si="28"/>
        <v>45832</v>
      </c>
      <c r="F950">
        <f t="shared" si="29"/>
        <v>42</v>
      </c>
    </row>
    <row r="951" spans="1:6">
      <c r="A951">
        <v>950</v>
      </c>
      <c r="B951" t="s">
        <v>80</v>
      </c>
      <c r="C951" s="11">
        <v>19</v>
      </c>
      <c r="D951" s="12">
        <v>45862</v>
      </c>
      <c r="E951" s="12">
        <f t="shared" si="28"/>
        <v>45904</v>
      </c>
      <c r="F951">
        <f t="shared" si="29"/>
        <v>42</v>
      </c>
    </row>
    <row r="952" spans="1:6">
      <c r="A952">
        <v>951</v>
      </c>
      <c r="B952" t="s">
        <v>93</v>
      </c>
      <c r="C952" s="11">
        <v>499</v>
      </c>
      <c r="D952" s="12">
        <v>45897</v>
      </c>
      <c r="E952" s="12">
        <f t="shared" si="28"/>
        <v>45939</v>
      </c>
      <c r="F952">
        <f t="shared" si="29"/>
        <v>42</v>
      </c>
    </row>
    <row r="953" spans="1:6">
      <c r="A953">
        <v>952</v>
      </c>
      <c r="B953" t="s">
        <v>112</v>
      </c>
      <c r="C953" s="11">
        <v>70</v>
      </c>
      <c r="D953" s="12">
        <v>45847</v>
      </c>
      <c r="E953" s="12">
        <f t="shared" si="28"/>
        <v>45889</v>
      </c>
      <c r="F953">
        <f t="shared" si="29"/>
        <v>42</v>
      </c>
    </row>
    <row r="954" spans="1:6">
      <c r="A954">
        <v>953</v>
      </c>
      <c r="B954" t="s">
        <v>64</v>
      </c>
      <c r="C954" s="11">
        <v>111</v>
      </c>
      <c r="D954" s="12">
        <v>45855</v>
      </c>
      <c r="E954" s="12">
        <f t="shared" si="28"/>
        <v>45897</v>
      </c>
      <c r="F954">
        <f t="shared" si="29"/>
        <v>42</v>
      </c>
    </row>
    <row r="955" spans="1:6">
      <c r="A955">
        <v>954</v>
      </c>
      <c r="B955" t="s">
        <v>85</v>
      </c>
      <c r="C955" s="11">
        <v>19</v>
      </c>
      <c r="D955" s="12">
        <v>45880</v>
      </c>
      <c r="E955" s="12">
        <f t="shared" si="28"/>
        <v>45922</v>
      </c>
      <c r="F955">
        <f t="shared" si="29"/>
        <v>42</v>
      </c>
    </row>
    <row r="956" spans="1:6">
      <c r="A956">
        <v>955</v>
      </c>
      <c r="B956" t="s">
        <v>72</v>
      </c>
      <c r="C956" s="11">
        <v>24</v>
      </c>
      <c r="D956" s="12">
        <v>45789</v>
      </c>
      <c r="E956" s="12">
        <f t="shared" si="28"/>
        <v>45831</v>
      </c>
      <c r="F956">
        <f t="shared" si="29"/>
        <v>42</v>
      </c>
    </row>
    <row r="957" spans="1:6">
      <c r="A957">
        <v>956</v>
      </c>
      <c r="B957" t="s">
        <v>72</v>
      </c>
      <c r="C957" s="11">
        <v>24</v>
      </c>
      <c r="D957" s="12">
        <v>45789</v>
      </c>
      <c r="E957" s="12">
        <f t="shared" si="28"/>
        <v>45831</v>
      </c>
      <c r="F957">
        <f t="shared" si="29"/>
        <v>42</v>
      </c>
    </row>
    <row r="958" spans="1:6">
      <c r="A958">
        <v>957</v>
      </c>
      <c r="B958" t="s">
        <v>105</v>
      </c>
      <c r="C958" s="11">
        <v>406</v>
      </c>
      <c r="D958" s="12">
        <v>45861</v>
      </c>
      <c r="E958" s="12">
        <f t="shared" si="28"/>
        <v>45903</v>
      </c>
      <c r="F958">
        <f t="shared" si="29"/>
        <v>42</v>
      </c>
    </row>
    <row r="959" spans="1:6">
      <c r="A959">
        <v>958</v>
      </c>
      <c r="B959" t="s">
        <v>79</v>
      </c>
      <c r="C959" s="11">
        <v>25</v>
      </c>
      <c r="D959" s="12">
        <v>45889</v>
      </c>
      <c r="E959" s="12">
        <f t="shared" si="28"/>
        <v>45931</v>
      </c>
      <c r="F959">
        <f t="shared" si="29"/>
        <v>42</v>
      </c>
    </row>
    <row r="960" spans="1:6">
      <c r="A960">
        <v>959</v>
      </c>
      <c r="B960" t="s">
        <v>70</v>
      </c>
      <c r="C960" s="11">
        <v>99</v>
      </c>
      <c r="D960" s="12">
        <v>45818</v>
      </c>
      <c r="E960" s="12">
        <f t="shared" si="28"/>
        <v>45860</v>
      </c>
      <c r="F960">
        <f t="shared" si="29"/>
        <v>42</v>
      </c>
    </row>
    <row r="961" spans="1:6">
      <c r="A961">
        <v>960</v>
      </c>
      <c r="B961" t="s">
        <v>93</v>
      </c>
      <c r="C961" s="11">
        <v>504</v>
      </c>
      <c r="D961" s="12">
        <v>45859</v>
      </c>
      <c r="E961" s="12">
        <f t="shared" si="28"/>
        <v>45901</v>
      </c>
      <c r="F961">
        <f t="shared" si="29"/>
        <v>42</v>
      </c>
    </row>
    <row r="962" spans="1:6">
      <c r="A962">
        <v>961</v>
      </c>
      <c r="B962" t="s">
        <v>93</v>
      </c>
      <c r="C962" s="11">
        <v>504</v>
      </c>
      <c r="D962" s="12">
        <v>45861</v>
      </c>
      <c r="E962" s="12">
        <f t="shared" ref="E962:E1025" si="30">D962+6*7</f>
        <v>45903</v>
      </c>
      <c r="F962">
        <f t="shared" ref="F962:F1025" si="31">E962-D962</f>
        <v>42</v>
      </c>
    </row>
    <row r="963" spans="1:6">
      <c r="A963">
        <v>962</v>
      </c>
      <c r="B963" t="s">
        <v>93</v>
      </c>
      <c r="C963" s="11">
        <v>504</v>
      </c>
      <c r="D963" s="12">
        <v>45859</v>
      </c>
      <c r="E963" s="12">
        <f t="shared" si="30"/>
        <v>45901</v>
      </c>
      <c r="F963">
        <f t="shared" si="31"/>
        <v>42</v>
      </c>
    </row>
    <row r="964" spans="1:6">
      <c r="A964">
        <v>963</v>
      </c>
      <c r="B964" t="s">
        <v>90</v>
      </c>
      <c r="C964" s="11">
        <v>18</v>
      </c>
      <c r="D964" s="12">
        <v>45862</v>
      </c>
      <c r="E964" s="12">
        <f t="shared" si="30"/>
        <v>45904</v>
      </c>
      <c r="F964">
        <f t="shared" si="31"/>
        <v>42</v>
      </c>
    </row>
    <row r="965" spans="1:6">
      <c r="A965">
        <v>964</v>
      </c>
      <c r="B965" t="s">
        <v>93</v>
      </c>
      <c r="C965" s="11">
        <v>499</v>
      </c>
      <c r="D965" s="12">
        <v>45897</v>
      </c>
      <c r="E965" s="12">
        <f t="shared" si="30"/>
        <v>45939</v>
      </c>
      <c r="F965">
        <f t="shared" si="31"/>
        <v>42</v>
      </c>
    </row>
    <row r="966" spans="1:6">
      <c r="A966">
        <v>965</v>
      </c>
      <c r="B966" t="s">
        <v>96</v>
      </c>
      <c r="C966" s="11">
        <v>490</v>
      </c>
      <c r="D966" s="12">
        <v>45896</v>
      </c>
      <c r="E966" s="12">
        <f t="shared" si="30"/>
        <v>45938</v>
      </c>
      <c r="F966">
        <f t="shared" si="31"/>
        <v>42</v>
      </c>
    </row>
    <row r="967" spans="1:6">
      <c r="A967">
        <v>966</v>
      </c>
      <c r="B967" t="s">
        <v>77</v>
      </c>
      <c r="C967" s="11">
        <v>18</v>
      </c>
      <c r="D967" s="12">
        <v>45904</v>
      </c>
      <c r="E967" s="12">
        <f t="shared" si="30"/>
        <v>45946</v>
      </c>
      <c r="F967">
        <f t="shared" si="31"/>
        <v>42</v>
      </c>
    </row>
    <row r="968" spans="1:6">
      <c r="A968">
        <v>967</v>
      </c>
      <c r="B968" t="s">
        <v>64</v>
      </c>
      <c r="C968" s="11">
        <v>111</v>
      </c>
      <c r="D968" s="12">
        <v>45855</v>
      </c>
      <c r="E968" s="12">
        <f t="shared" si="30"/>
        <v>45897</v>
      </c>
      <c r="F968">
        <f t="shared" si="31"/>
        <v>42</v>
      </c>
    </row>
    <row r="969" spans="1:6">
      <c r="A969">
        <v>968</v>
      </c>
      <c r="B969" t="s">
        <v>71</v>
      </c>
      <c r="C969" s="11">
        <v>391</v>
      </c>
      <c r="D969" s="12">
        <v>45862</v>
      </c>
      <c r="E969" s="12">
        <f t="shared" si="30"/>
        <v>45904</v>
      </c>
      <c r="F969">
        <f t="shared" si="31"/>
        <v>42</v>
      </c>
    </row>
    <row r="970" spans="1:6">
      <c r="A970">
        <v>969</v>
      </c>
      <c r="B970" t="s">
        <v>80</v>
      </c>
      <c r="C970" s="11">
        <v>19</v>
      </c>
      <c r="D970" s="12">
        <v>45862</v>
      </c>
      <c r="E970" s="12">
        <f t="shared" si="30"/>
        <v>45904</v>
      </c>
      <c r="F970">
        <f t="shared" si="31"/>
        <v>42</v>
      </c>
    </row>
    <row r="971" spans="1:6">
      <c r="A971">
        <v>970</v>
      </c>
      <c r="B971" t="s">
        <v>80</v>
      </c>
      <c r="C971" s="11">
        <v>19</v>
      </c>
      <c r="D971" s="12">
        <v>45862</v>
      </c>
      <c r="E971" s="12">
        <f t="shared" si="30"/>
        <v>45904</v>
      </c>
      <c r="F971">
        <f t="shared" si="31"/>
        <v>42</v>
      </c>
    </row>
    <row r="972" spans="1:6">
      <c r="A972">
        <v>971</v>
      </c>
      <c r="B972" t="s">
        <v>80</v>
      </c>
      <c r="C972" s="11">
        <v>19</v>
      </c>
      <c r="D972" s="12">
        <v>45862</v>
      </c>
      <c r="E972" s="12">
        <f t="shared" si="30"/>
        <v>45904</v>
      </c>
      <c r="F972">
        <f t="shared" si="31"/>
        <v>42</v>
      </c>
    </row>
    <row r="973" spans="1:6">
      <c r="A973">
        <v>972</v>
      </c>
      <c r="B973" t="s">
        <v>111</v>
      </c>
      <c r="C973" s="11">
        <v>45</v>
      </c>
      <c r="D973" s="12">
        <v>45854</v>
      </c>
      <c r="E973" s="12">
        <f t="shared" si="30"/>
        <v>45896</v>
      </c>
      <c r="F973">
        <f t="shared" si="31"/>
        <v>42</v>
      </c>
    </row>
    <row r="974" spans="1:6">
      <c r="A974">
        <v>973</v>
      </c>
      <c r="B974" t="s">
        <v>64</v>
      </c>
      <c r="C974" s="11">
        <v>111</v>
      </c>
      <c r="D974" s="12">
        <v>45855</v>
      </c>
      <c r="E974" s="12">
        <f t="shared" si="30"/>
        <v>45897</v>
      </c>
      <c r="F974">
        <f t="shared" si="31"/>
        <v>42</v>
      </c>
    </row>
    <row r="975" spans="1:6">
      <c r="A975">
        <v>974</v>
      </c>
      <c r="B975" t="s">
        <v>111</v>
      </c>
      <c r="C975" s="11">
        <v>22</v>
      </c>
      <c r="D975" s="12">
        <v>45863</v>
      </c>
      <c r="E975" s="12">
        <f t="shared" si="30"/>
        <v>45905</v>
      </c>
      <c r="F975">
        <f t="shared" si="31"/>
        <v>42</v>
      </c>
    </row>
    <row r="976" spans="1:6">
      <c r="A976">
        <v>975</v>
      </c>
      <c r="B976" t="s">
        <v>111</v>
      </c>
      <c r="C976" s="11">
        <v>22</v>
      </c>
      <c r="D976" s="12">
        <v>45863</v>
      </c>
      <c r="E976" s="12">
        <f t="shared" si="30"/>
        <v>45905</v>
      </c>
      <c r="F976">
        <f t="shared" si="31"/>
        <v>42</v>
      </c>
    </row>
    <row r="977" spans="1:6">
      <c r="A977">
        <v>976</v>
      </c>
      <c r="B977" t="s">
        <v>83</v>
      </c>
      <c r="C977" s="11">
        <v>148</v>
      </c>
      <c r="D977" s="12">
        <v>45874</v>
      </c>
      <c r="E977" s="12">
        <f t="shared" si="30"/>
        <v>45916</v>
      </c>
      <c r="F977">
        <f t="shared" si="31"/>
        <v>42</v>
      </c>
    </row>
    <row r="978" spans="1:6">
      <c r="A978">
        <v>977</v>
      </c>
      <c r="B978" t="s">
        <v>64</v>
      </c>
      <c r="C978" s="11">
        <v>111</v>
      </c>
      <c r="D978" s="12">
        <v>45855</v>
      </c>
      <c r="E978" s="12">
        <f t="shared" si="30"/>
        <v>45897</v>
      </c>
      <c r="F978">
        <f t="shared" si="31"/>
        <v>42</v>
      </c>
    </row>
    <row r="979" spans="1:6">
      <c r="A979">
        <v>978</v>
      </c>
      <c r="B979" t="s">
        <v>64</v>
      </c>
      <c r="C979" s="11">
        <v>74</v>
      </c>
      <c r="D979" s="12">
        <v>45855</v>
      </c>
      <c r="E979" s="12">
        <f t="shared" si="30"/>
        <v>45897</v>
      </c>
      <c r="F979">
        <f t="shared" si="31"/>
        <v>42</v>
      </c>
    </row>
    <row r="980" spans="1:6">
      <c r="A980">
        <v>979</v>
      </c>
      <c r="B980" t="s">
        <v>112</v>
      </c>
      <c r="C980" s="11">
        <v>63.968000000000004</v>
      </c>
      <c r="D980" s="12">
        <v>45854</v>
      </c>
      <c r="E980" s="12">
        <f t="shared" si="30"/>
        <v>45896</v>
      </c>
      <c r="F980">
        <f t="shared" si="31"/>
        <v>42</v>
      </c>
    </row>
    <row r="981" spans="1:6">
      <c r="A981">
        <v>980</v>
      </c>
      <c r="B981" t="s">
        <v>71</v>
      </c>
      <c r="C981" s="11">
        <v>391</v>
      </c>
      <c r="D981" s="12">
        <v>45862</v>
      </c>
      <c r="E981" s="12">
        <f t="shared" si="30"/>
        <v>45904</v>
      </c>
      <c r="F981">
        <f t="shared" si="31"/>
        <v>42</v>
      </c>
    </row>
    <row r="982" spans="1:6">
      <c r="A982">
        <v>981</v>
      </c>
      <c r="B982" t="s">
        <v>71</v>
      </c>
      <c r="C982" s="11">
        <v>391</v>
      </c>
      <c r="D982" s="12">
        <v>45862</v>
      </c>
      <c r="E982" s="12">
        <f t="shared" si="30"/>
        <v>45904</v>
      </c>
      <c r="F982">
        <f t="shared" si="31"/>
        <v>42</v>
      </c>
    </row>
    <row r="983" spans="1:6">
      <c r="A983">
        <v>982</v>
      </c>
      <c r="B983" t="s">
        <v>71</v>
      </c>
      <c r="C983" s="11">
        <v>391</v>
      </c>
      <c r="D983" s="12">
        <v>45862</v>
      </c>
      <c r="E983" s="12">
        <f t="shared" si="30"/>
        <v>45904</v>
      </c>
      <c r="F983">
        <f t="shared" si="31"/>
        <v>42</v>
      </c>
    </row>
    <row r="984" spans="1:6">
      <c r="A984">
        <v>983</v>
      </c>
      <c r="B984" t="s">
        <v>93</v>
      </c>
      <c r="C984" s="11">
        <v>499</v>
      </c>
      <c r="D984" s="12">
        <v>45895</v>
      </c>
      <c r="E984" s="12">
        <f t="shared" si="30"/>
        <v>45937</v>
      </c>
      <c r="F984">
        <f t="shared" si="31"/>
        <v>42</v>
      </c>
    </row>
    <row r="985" spans="1:6">
      <c r="A985">
        <v>984</v>
      </c>
      <c r="B985" t="s">
        <v>93</v>
      </c>
      <c r="C985" s="11">
        <v>499</v>
      </c>
      <c r="D985" s="12">
        <v>45894</v>
      </c>
      <c r="E985" s="12">
        <f t="shared" si="30"/>
        <v>45936</v>
      </c>
      <c r="F985">
        <f t="shared" si="31"/>
        <v>42</v>
      </c>
    </row>
    <row r="986" spans="1:6">
      <c r="A986">
        <v>985</v>
      </c>
      <c r="B986" t="s">
        <v>96</v>
      </c>
      <c r="C986" s="11">
        <v>490</v>
      </c>
      <c r="D986" s="12">
        <v>45897</v>
      </c>
      <c r="E986" s="12">
        <f t="shared" si="30"/>
        <v>45939</v>
      </c>
      <c r="F986">
        <f t="shared" si="31"/>
        <v>42</v>
      </c>
    </row>
    <row r="987" spans="1:6">
      <c r="A987">
        <v>986</v>
      </c>
      <c r="B987" t="s">
        <v>96</v>
      </c>
      <c r="C987" s="11">
        <v>490</v>
      </c>
      <c r="D987" s="12">
        <v>45895</v>
      </c>
      <c r="E987" s="12">
        <f t="shared" si="30"/>
        <v>45937</v>
      </c>
      <c r="F987">
        <f t="shared" si="31"/>
        <v>42</v>
      </c>
    </row>
    <row r="988" spans="1:6">
      <c r="A988">
        <v>987</v>
      </c>
      <c r="B988" t="s">
        <v>112</v>
      </c>
      <c r="C988" s="11">
        <v>70</v>
      </c>
      <c r="D988" s="12">
        <v>45847</v>
      </c>
      <c r="E988" s="12">
        <f t="shared" si="30"/>
        <v>45889</v>
      </c>
      <c r="F988">
        <f t="shared" si="31"/>
        <v>42</v>
      </c>
    </row>
    <row r="989" spans="1:6">
      <c r="A989">
        <v>988</v>
      </c>
      <c r="B989" t="s">
        <v>77</v>
      </c>
      <c r="C989" s="11">
        <v>18</v>
      </c>
      <c r="D989" s="12">
        <v>45904</v>
      </c>
      <c r="E989" s="12">
        <f t="shared" si="30"/>
        <v>45946</v>
      </c>
      <c r="F989">
        <f t="shared" si="31"/>
        <v>42</v>
      </c>
    </row>
    <row r="990" spans="1:6">
      <c r="A990">
        <v>989</v>
      </c>
      <c r="B990" t="s">
        <v>99</v>
      </c>
      <c r="C990" s="11">
        <v>238</v>
      </c>
      <c r="D990" s="12">
        <v>45880</v>
      </c>
      <c r="E990" s="12">
        <f t="shared" si="30"/>
        <v>45922</v>
      </c>
      <c r="F990">
        <f t="shared" si="31"/>
        <v>42</v>
      </c>
    </row>
    <row r="991" spans="1:6">
      <c r="A991">
        <v>990</v>
      </c>
      <c r="B991" t="s">
        <v>94</v>
      </c>
      <c r="C991" s="11">
        <v>99</v>
      </c>
      <c r="D991" s="12">
        <v>45824</v>
      </c>
      <c r="E991" s="12">
        <f t="shared" si="30"/>
        <v>45866</v>
      </c>
      <c r="F991">
        <f t="shared" si="31"/>
        <v>42</v>
      </c>
    </row>
    <row r="992" spans="1:6">
      <c r="A992">
        <v>991</v>
      </c>
      <c r="B992" t="s">
        <v>104</v>
      </c>
      <c r="C992" s="11">
        <v>21</v>
      </c>
      <c r="D992" s="12">
        <v>45880</v>
      </c>
      <c r="E992" s="12">
        <f t="shared" si="30"/>
        <v>45922</v>
      </c>
      <c r="F992">
        <f t="shared" si="31"/>
        <v>42</v>
      </c>
    </row>
    <row r="993" spans="1:7">
      <c r="A993">
        <v>992</v>
      </c>
      <c r="B993" t="s">
        <v>109</v>
      </c>
      <c r="C993" s="11">
        <v>53</v>
      </c>
      <c r="D993" s="12">
        <v>45917</v>
      </c>
      <c r="E993" s="12">
        <f t="shared" si="30"/>
        <v>45959</v>
      </c>
      <c r="F993">
        <f t="shared" si="31"/>
        <v>42</v>
      </c>
      <c r="G993" t="e">
        <f>E993-#REF!</f>
        <v>#REF!</v>
      </c>
    </row>
    <row r="994" spans="1:7">
      <c r="A994">
        <v>993</v>
      </c>
      <c r="B994" t="s">
        <v>105</v>
      </c>
      <c r="C994" s="11">
        <v>358</v>
      </c>
      <c r="D994" s="12">
        <v>45905</v>
      </c>
      <c r="E994" s="12">
        <f t="shared" si="30"/>
        <v>45947</v>
      </c>
      <c r="F994">
        <f t="shared" si="31"/>
        <v>42</v>
      </c>
    </row>
    <row r="995" spans="1:7">
      <c r="A995">
        <v>994</v>
      </c>
      <c r="B995" t="s">
        <v>72</v>
      </c>
      <c r="C995" s="11">
        <v>24</v>
      </c>
      <c r="D995" s="12">
        <v>45890</v>
      </c>
      <c r="E995" s="12">
        <f t="shared" si="30"/>
        <v>45932</v>
      </c>
      <c r="F995">
        <f t="shared" si="31"/>
        <v>42</v>
      </c>
    </row>
    <row r="996" spans="1:7">
      <c r="A996">
        <v>995</v>
      </c>
      <c r="B996" t="s">
        <v>111</v>
      </c>
      <c r="C996" s="11">
        <v>45</v>
      </c>
      <c r="D996" s="12">
        <v>45867</v>
      </c>
      <c r="E996" s="12">
        <f t="shared" si="30"/>
        <v>45909</v>
      </c>
      <c r="F996">
        <f t="shared" si="31"/>
        <v>42</v>
      </c>
    </row>
    <row r="997" spans="1:7">
      <c r="A997">
        <v>996</v>
      </c>
      <c r="B997" t="s">
        <v>93</v>
      </c>
      <c r="C997" s="11">
        <v>499</v>
      </c>
      <c r="D997" s="12">
        <v>45894</v>
      </c>
      <c r="E997" s="12">
        <f t="shared" si="30"/>
        <v>45936</v>
      </c>
      <c r="F997">
        <f t="shared" si="31"/>
        <v>42</v>
      </c>
    </row>
    <row r="998" spans="1:7">
      <c r="A998">
        <v>997</v>
      </c>
      <c r="B998" t="s">
        <v>93</v>
      </c>
      <c r="C998" s="11">
        <v>499</v>
      </c>
      <c r="D998" s="12">
        <v>45895</v>
      </c>
      <c r="E998" s="12">
        <f t="shared" si="30"/>
        <v>45937</v>
      </c>
      <c r="F998">
        <f t="shared" si="31"/>
        <v>42</v>
      </c>
    </row>
    <row r="999" spans="1:7">
      <c r="A999">
        <v>998</v>
      </c>
      <c r="B999" t="s">
        <v>93</v>
      </c>
      <c r="C999" s="11">
        <v>499</v>
      </c>
      <c r="D999" s="12">
        <v>45897</v>
      </c>
      <c r="E999" s="12">
        <f t="shared" si="30"/>
        <v>45939</v>
      </c>
      <c r="F999">
        <f t="shared" si="31"/>
        <v>42</v>
      </c>
    </row>
    <row r="1000" spans="1:7">
      <c r="A1000">
        <v>999</v>
      </c>
      <c r="B1000" t="s">
        <v>96</v>
      </c>
      <c r="C1000" s="11">
        <v>490</v>
      </c>
      <c r="D1000" s="12">
        <v>45895</v>
      </c>
      <c r="E1000" s="12">
        <f t="shared" si="30"/>
        <v>45937</v>
      </c>
      <c r="F1000">
        <f t="shared" si="31"/>
        <v>42</v>
      </c>
    </row>
    <row r="1001" spans="1:7">
      <c r="A1001">
        <v>1000</v>
      </c>
      <c r="B1001" t="s">
        <v>109</v>
      </c>
      <c r="C1001" s="11">
        <v>500</v>
      </c>
      <c r="D1001" s="12">
        <v>45909</v>
      </c>
      <c r="E1001" s="12">
        <f t="shared" si="30"/>
        <v>45951</v>
      </c>
      <c r="F1001">
        <f t="shared" si="31"/>
        <v>42</v>
      </c>
    </row>
    <row r="1002" spans="1:7">
      <c r="A1002">
        <v>1001</v>
      </c>
      <c r="B1002" t="s">
        <v>99</v>
      </c>
      <c r="C1002" s="11">
        <v>238</v>
      </c>
      <c r="D1002" s="12">
        <v>45880</v>
      </c>
      <c r="E1002" s="12">
        <f t="shared" si="30"/>
        <v>45922</v>
      </c>
      <c r="F1002">
        <f t="shared" si="31"/>
        <v>42</v>
      </c>
    </row>
    <row r="1003" spans="1:7">
      <c r="A1003">
        <v>1002</v>
      </c>
      <c r="B1003" t="s">
        <v>77</v>
      </c>
      <c r="C1003" s="11">
        <v>18</v>
      </c>
      <c r="D1003" s="12">
        <v>45904</v>
      </c>
      <c r="E1003" s="12">
        <f t="shared" si="30"/>
        <v>45946</v>
      </c>
      <c r="F1003">
        <f t="shared" si="31"/>
        <v>42</v>
      </c>
    </row>
  </sheetData>
  <autoFilter ref="A1:H1003" xr:uid="{8F82B241-EE89-C641-9248-4D9057F6C1F2}">
    <sortState ref="A2:H1003">
      <sortCondition ref="A1:A1003"/>
    </sortState>
  </autoFilter>
  <sortState ref="A3:H1003">
    <sortCondition ref="E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F537-665C-49E9-9B6F-326D749272FC}">
  <dimension ref="A1:C52"/>
  <sheetViews>
    <sheetView workbookViewId="0">
      <pane ySplit="1" topLeftCell="A2" activePane="bottomLeft" state="frozen"/>
      <selection pane="bottomLeft" activeCell="C2" sqref="C2"/>
    </sheetView>
  </sheetViews>
  <sheetFormatPr baseColWidth="10" defaultRowHeight="15"/>
  <cols>
    <col min="1" max="1" width="43.6640625" bestFit="1" customWidth="1"/>
    <col min="2" max="2" width="43.6640625" customWidth="1"/>
  </cols>
  <sheetData>
    <row r="1" spans="1:3">
      <c r="A1" s="9" t="s">
        <v>117</v>
      </c>
      <c r="B1" s="10" t="s">
        <v>63</v>
      </c>
      <c r="C1" t="s">
        <v>10</v>
      </c>
    </row>
    <row r="2" spans="1:3">
      <c r="A2" t="s">
        <v>15</v>
      </c>
      <c r="B2" t="s">
        <v>64</v>
      </c>
      <c r="C2" t="s">
        <v>1</v>
      </c>
    </row>
    <row r="3" spans="1:3">
      <c r="A3" t="s">
        <v>16</v>
      </c>
      <c r="B3" t="s">
        <v>65</v>
      </c>
      <c r="C3" t="s">
        <v>1</v>
      </c>
    </row>
    <row r="4" spans="1:3">
      <c r="A4" t="s">
        <v>18</v>
      </c>
      <c r="B4" t="s">
        <v>66</v>
      </c>
      <c r="C4" t="s">
        <v>1</v>
      </c>
    </row>
    <row r="5" spans="1:3">
      <c r="A5" t="s">
        <v>29</v>
      </c>
      <c r="B5" t="s">
        <v>67</v>
      </c>
      <c r="C5" t="s">
        <v>1</v>
      </c>
    </row>
    <row r="6" spans="1:3">
      <c r="A6" t="s">
        <v>30</v>
      </c>
      <c r="B6" t="s">
        <v>68</v>
      </c>
      <c r="C6" t="s">
        <v>1</v>
      </c>
    </row>
    <row r="7" spans="1:3">
      <c r="A7" t="s">
        <v>37</v>
      </c>
      <c r="B7" t="s">
        <v>69</v>
      </c>
      <c r="C7" t="s">
        <v>1</v>
      </c>
    </row>
    <row r="8" spans="1:3">
      <c r="A8" t="s">
        <v>40</v>
      </c>
      <c r="B8" t="s">
        <v>70</v>
      </c>
      <c r="C8" t="s">
        <v>1</v>
      </c>
    </row>
    <row r="9" spans="1:3">
      <c r="A9" t="s">
        <v>43</v>
      </c>
      <c r="B9" t="s">
        <v>71</v>
      </c>
      <c r="C9" t="s">
        <v>1</v>
      </c>
    </row>
    <row r="10" spans="1:3">
      <c r="A10" t="s">
        <v>54</v>
      </c>
      <c r="B10" t="s">
        <v>72</v>
      </c>
      <c r="C10" t="s">
        <v>1</v>
      </c>
    </row>
    <row r="11" spans="1:3">
      <c r="A11" t="s">
        <v>57</v>
      </c>
      <c r="B11" t="s">
        <v>73</v>
      </c>
      <c r="C11" t="s">
        <v>1</v>
      </c>
    </row>
    <row r="12" spans="1:3">
      <c r="A12" t="s">
        <v>58</v>
      </c>
      <c r="B12" t="s">
        <v>74</v>
      </c>
      <c r="C12" t="s">
        <v>1</v>
      </c>
    </row>
    <row r="13" spans="1:3">
      <c r="A13" t="s">
        <v>62</v>
      </c>
      <c r="B13" t="s">
        <v>75</v>
      </c>
      <c r="C13" t="s">
        <v>1</v>
      </c>
    </row>
    <row r="14" spans="1:3">
      <c r="A14" t="s">
        <v>21</v>
      </c>
      <c r="B14" t="s">
        <v>76</v>
      </c>
      <c r="C14" t="s">
        <v>5</v>
      </c>
    </row>
    <row r="15" spans="1:3">
      <c r="A15" t="s">
        <v>31</v>
      </c>
      <c r="B15" t="s">
        <v>78</v>
      </c>
      <c r="C15" t="s">
        <v>5</v>
      </c>
    </row>
    <row r="16" spans="1:3">
      <c r="A16" t="s">
        <v>41</v>
      </c>
      <c r="B16" t="s">
        <v>79</v>
      </c>
      <c r="C16" t="s">
        <v>5</v>
      </c>
    </row>
    <row r="17" spans="1:3">
      <c r="A17" t="s">
        <v>44</v>
      </c>
      <c r="B17" t="s">
        <v>80</v>
      </c>
      <c r="C17" t="s">
        <v>5</v>
      </c>
    </row>
    <row r="18" spans="1:3">
      <c r="A18" t="s">
        <v>46</v>
      </c>
      <c r="B18" t="s">
        <v>81</v>
      </c>
      <c r="C18" t="s">
        <v>5</v>
      </c>
    </row>
    <row r="19" spans="1:3">
      <c r="A19" t="s">
        <v>47</v>
      </c>
      <c r="B19" t="s">
        <v>82</v>
      </c>
      <c r="C19" t="s">
        <v>5</v>
      </c>
    </row>
    <row r="20" spans="1:3">
      <c r="A20" t="s">
        <v>49</v>
      </c>
      <c r="B20" t="s">
        <v>83</v>
      </c>
      <c r="C20" t="s">
        <v>5</v>
      </c>
    </row>
    <row r="21" spans="1:3">
      <c r="A21" t="s">
        <v>61</v>
      </c>
      <c r="B21" t="s">
        <v>84</v>
      </c>
      <c r="C21" t="s">
        <v>5</v>
      </c>
    </row>
    <row r="22" spans="1:3">
      <c r="A22" t="s">
        <v>13</v>
      </c>
      <c r="B22" t="s">
        <v>77</v>
      </c>
      <c r="C22" t="s">
        <v>6</v>
      </c>
    </row>
    <row r="23" spans="1:3">
      <c r="A23" t="s">
        <v>14</v>
      </c>
      <c r="B23" t="s">
        <v>85</v>
      </c>
      <c r="C23" t="s">
        <v>6</v>
      </c>
    </row>
    <row r="24" spans="1:3">
      <c r="A24" t="s">
        <v>23</v>
      </c>
      <c r="B24" t="s">
        <v>86</v>
      </c>
      <c r="C24" t="s">
        <v>6</v>
      </c>
    </row>
    <row r="25" spans="1:3">
      <c r="A25" t="s">
        <v>24</v>
      </c>
      <c r="B25" t="s">
        <v>87</v>
      </c>
      <c r="C25" t="s">
        <v>6</v>
      </c>
    </row>
    <row r="26" spans="1:3">
      <c r="A26" t="s">
        <v>33</v>
      </c>
      <c r="B26" t="s">
        <v>88</v>
      </c>
      <c r="C26" t="s">
        <v>6</v>
      </c>
    </row>
    <row r="27" spans="1:3">
      <c r="A27" t="s">
        <v>48</v>
      </c>
      <c r="B27" t="s">
        <v>89</v>
      </c>
      <c r="C27" t="s">
        <v>6</v>
      </c>
    </row>
    <row r="28" spans="1:3">
      <c r="A28" t="s">
        <v>50</v>
      </c>
      <c r="B28" t="s">
        <v>90</v>
      </c>
      <c r="C28" t="s">
        <v>6</v>
      </c>
    </row>
    <row r="29" spans="1:3">
      <c r="A29" t="s">
        <v>53</v>
      </c>
      <c r="B29" t="s">
        <v>91</v>
      </c>
      <c r="C29" t="s">
        <v>6</v>
      </c>
    </row>
    <row r="30" spans="1:3">
      <c r="A30" t="s">
        <v>59</v>
      </c>
      <c r="B30" t="s">
        <v>92</v>
      </c>
      <c r="C30" t="s">
        <v>6</v>
      </c>
    </row>
    <row r="31" spans="1:3">
      <c r="A31" t="s">
        <v>28</v>
      </c>
      <c r="B31" t="s">
        <v>93</v>
      </c>
      <c r="C31" t="s">
        <v>4</v>
      </c>
    </row>
    <row r="32" spans="1:3">
      <c r="A32" t="s">
        <v>35</v>
      </c>
      <c r="B32" t="s">
        <v>96</v>
      </c>
      <c r="C32" t="s">
        <v>4</v>
      </c>
    </row>
    <row r="33" spans="1:3">
      <c r="A33" t="s">
        <v>60</v>
      </c>
      <c r="B33" t="s">
        <v>97</v>
      </c>
      <c r="C33" t="s">
        <v>4</v>
      </c>
    </row>
    <row r="34" spans="1:3">
      <c r="A34" t="s">
        <v>22</v>
      </c>
      <c r="B34" t="s">
        <v>94</v>
      </c>
      <c r="C34" t="s">
        <v>3</v>
      </c>
    </row>
    <row r="35" spans="1:3">
      <c r="A35" t="s">
        <v>26</v>
      </c>
      <c r="B35" t="s">
        <v>98</v>
      </c>
      <c r="C35" t="s">
        <v>3</v>
      </c>
    </row>
    <row r="36" spans="1:3">
      <c r="A36" t="s">
        <v>32</v>
      </c>
      <c r="B36" t="s">
        <v>100</v>
      </c>
      <c r="C36" t="s">
        <v>3</v>
      </c>
    </row>
    <row r="37" spans="1:3">
      <c r="A37" t="s">
        <v>38</v>
      </c>
      <c r="B37" t="s">
        <v>101</v>
      </c>
      <c r="C37" t="s">
        <v>3</v>
      </c>
    </row>
    <row r="38" spans="1:3">
      <c r="A38" t="s">
        <v>42</v>
      </c>
      <c r="B38" t="s">
        <v>102</v>
      </c>
      <c r="C38" t="s">
        <v>3</v>
      </c>
    </row>
    <row r="39" spans="1:3">
      <c r="A39" t="s">
        <v>45</v>
      </c>
      <c r="B39" t="s">
        <v>103</v>
      </c>
      <c r="C39" t="s">
        <v>3</v>
      </c>
    </row>
    <row r="40" spans="1:3">
      <c r="A40" t="s">
        <v>55</v>
      </c>
      <c r="B40" t="s">
        <v>104</v>
      </c>
      <c r="C40" t="s">
        <v>3</v>
      </c>
    </row>
    <row r="41" spans="1:3">
      <c r="A41" t="s">
        <v>51</v>
      </c>
      <c r="B41" t="s">
        <v>95</v>
      </c>
      <c r="C41" t="s">
        <v>8</v>
      </c>
    </row>
    <row r="42" spans="1:3">
      <c r="A42" t="s">
        <v>52</v>
      </c>
      <c r="B42" t="s">
        <v>110</v>
      </c>
      <c r="C42" t="s">
        <v>8</v>
      </c>
    </row>
    <row r="43" spans="1:3">
      <c r="A43" t="s">
        <v>12</v>
      </c>
      <c r="B43" t="s">
        <v>99</v>
      </c>
      <c r="C43" t="s">
        <v>7</v>
      </c>
    </row>
    <row r="44" spans="1:3">
      <c r="A44" t="s">
        <v>19</v>
      </c>
      <c r="B44" t="s">
        <v>112</v>
      </c>
      <c r="C44" t="s">
        <v>7</v>
      </c>
    </row>
    <row r="45" spans="1:3">
      <c r="A45" t="s">
        <v>27</v>
      </c>
      <c r="B45" t="s">
        <v>105</v>
      </c>
      <c r="C45" t="s">
        <v>7</v>
      </c>
    </row>
    <row r="46" spans="1:3">
      <c r="A46" t="s">
        <v>34</v>
      </c>
      <c r="B46" t="s">
        <v>111</v>
      </c>
      <c r="C46" t="s">
        <v>7</v>
      </c>
    </row>
    <row r="47" spans="1:3">
      <c r="A47" t="s">
        <v>17</v>
      </c>
      <c r="B47" t="s">
        <v>108</v>
      </c>
      <c r="C47" t="s">
        <v>2</v>
      </c>
    </row>
    <row r="48" spans="1:3">
      <c r="A48" t="s">
        <v>20</v>
      </c>
      <c r="B48" t="s">
        <v>113</v>
      </c>
      <c r="C48" t="s">
        <v>2</v>
      </c>
    </row>
    <row r="49" spans="1:3">
      <c r="A49" t="s">
        <v>25</v>
      </c>
      <c r="B49" t="s">
        <v>106</v>
      </c>
      <c r="C49" t="s">
        <v>2</v>
      </c>
    </row>
    <row r="50" spans="1:3">
      <c r="A50" t="s">
        <v>56</v>
      </c>
      <c r="B50" t="s">
        <v>107</v>
      </c>
      <c r="C50" t="s">
        <v>2</v>
      </c>
    </row>
    <row r="51" spans="1:3">
      <c r="A51" t="s">
        <v>36</v>
      </c>
      <c r="B51" t="s">
        <v>109</v>
      </c>
      <c r="C51" t="s">
        <v>9</v>
      </c>
    </row>
    <row r="52" spans="1:3">
      <c r="A52" t="s">
        <v>39</v>
      </c>
      <c r="B52" t="s">
        <v>114</v>
      </c>
      <c r="C52" t="s">
        <v>9</v>
      </c>
    </row>
  </sheetData>
  <autoFilter ref="A1:C1" xr:uid="{BFCEF537-665C-49E9-9B6F-326D749272FC}">
    <sortState ref="A2:C52">
      <sortCondition ref="C1"/>
    </sortState>
  </autoFilter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48D5-9C26-4136-BC9A-AD13407E1DA7}">
  <dimension ref="A1:B10"/>
  <sheetViews>
    <sheetView workbookViewId="0">
      <pane ySplit="1" topLeftCell="A2" activePane="bottomLeft" state="frozen"/>
      <selection pane="bottomLeft" activeCell="D43" sqref="D43"/>
    </sheetView>
  </sheetViews>
  <sheetFormatPr baseColWidth="10" defaultRowHeight="15"/>
  <cols>
    <col min="2" max="2" width="14.5" customWidth="1"/>
  </cols>
  <sheetData>
    <row r="1" spans="1:2" ht="16">
      <c r="A1" s="6" t="s">
        <v>10</v>
      </c>
      <c r="B1" s="7" t="s">
        <v>11</v>
      </c>
    </row>
    <row r="2" spans="1:2">
      <c r="A2" s="5" t="s">
        <v>1</v>
      </c>
      <c r="B2" s="8">
        <v>407.17274615384616</v>
      </c>
    </row>
    <row r="3" spans="1:2">
      <c r="A3" s="5" t="s">
        <v>2</v>
      </c>
      <c r="B3" s="8">
        <v>409.15000000000003</v>
      </c>
    </row>
    <row r="4" spans="1:2">
      <c r="A4" s="4" t="s">
        <v>3</v>
      </c>
      <c r="B4" s="8">
        <v>402.0172</v>
      </c>
    </row>
    <row r="5" spans="1:2">
      <c r="A5" s="5" t="s">
        <v>4</v>
      </c>
      <c r="B5" s="8">
        <v>394.97919999999999</v>
      </c>
    </row>
    <row r="6" spans="1:2">
      <c r="A6" s="5" t="s">
        <v>5</v>
      </c>
      <c r="B6" s="8">
        <v>411.10680000000002</v>
      </c>
    </row>
    <row r="7" spans="1:2">
      <c r="A7" s="5" t="s">
        <v>6</v>
      </c>
      <c r="B7" s="8">
        <v>333.6641221374046</v>
      </c>
    </row>
    <row r="8" spans="1:2">
      <c r="A8" s="5" t="s">
        <v>7</v>
      </c>
      <c r="B8">
        <v>334.18</v>
      </c>
    </row>
    <row r="9" spans="1:2">
      <c r="A9" s="5" t="s">
        <v>8</v>
      </c>
      <c r="B9">
        <v>334.18</v>
      </c>
    </row>
    <row r="10" spans="1:2">
      <c r="A10" s="5" t="s">
        <v>9</v>
      </c>
      <c r="B10">
        <v>334.18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5B80-4D47-47B2-8390-7C4EBC032B20}">
  <dimension ref="A1:J10"/>
  <sheetViews>
    <sheetView workbookViewId="0">
      <selection activeCell="C2" sqref="C2"/>
    </sheetView>
  </sheetViews>
  <sheetFormatPr baseColWidth="10" defaultRowHeight="15"/>
  <sheetData>
    <row r="1" spans="1:10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>
      <c r="A3" s="2" t="s">
        <v>2</v>
      </c>
      <c r="B3" s="2">
        <v>1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>
      <c r="A4" s="3" t="s">
        <v>3</v>
      </c>
      <c r="B4" s="2">
        <v>0</v>
      </c>
      <c r="C4" s="2">
        <v>0</v>
      </c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>
      <c r="A5" s="2" t="s">
        <v>4</v>
      </c>
      <c r="B5" s="2">
        <v>1</v>
      </c>
      <c r="C5" s="2">
        <v>0</v>
      </c>
      <c r="D5" s="2">
        <v>0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</row>
    <row r="6" spans="1:10">
      <c r="A6" s="2" t="s">
        <v>5</v>
      </c>
      <c r="B6" s="2">
        <v>1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</row>
    <row r="7" spans="1:10">
      <c r="A7" s="2" t="s">
        <v>6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</row>
    <row r="8" spans="1:10">
      <c r="A8" s="2" t="s">
        <v>7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</row>
    <row r="9" spans="1:10">
      <c r="A9" s="2" t="s">
        <v>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</row>
    <row r="10" spans="1:10">
      <c r="A10" s="2" t="s">
        <v>9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3643-2D8D-CD46-9D38-4122C54F12AD}">
  <dimension ref="A1:Z1006"/>
  <sheetViews>
    <sheetView tabSelected="1" topLeftCell="A841" workbookViewId="0">
      <selection activeCell="A940" sqref="A940:XFD940"/>
    </sheetView>
  </sheetViews>
  <sheetFormatPr baseColWidth="10" defaultRowHeight="15"/>
  <cols>
    <col min="1" max="1" width="11" style="13" bestFit="1" customWidth="1"/>
    <col min="2" max="2" width="10.5" style="13" customWidth="1"/>
    <col min="3" max="3" width="10.83203125" style="13"/>
    <col min="4" max="5" width="11" style="13" bestFit="1" customWidth="1"/>
    <col min="6" max="6" width="19" style="13" customWidth="1"/>
    <col min="7" max="7" width="15.1640625" style="13" customWidth="1"/>
    <col min="8" max="8" width="12.5" style="13" customWidth="1"/>
    <col min="9" max="9" width="35.1640625" style="13" customWidth="1"/>
    <col min="10" max="10" width="32.33203125" style="13" customWidth="1"/>
    <col min="11" max="11" width="4.33203125" style="13" customWidth="1"/>
    <col min="12" max="13" width="4.83203125" style="13" customWidth="1"/>
    <col min="14" max="14" width="4.1640625" style="13" customWidth="1"/>
    <col min="15" max="15" width="4.6640625" style="13" customWidth="1"/>
    <col min="16" max="16" width="4.83203125" style="13" customWidth="1"/>
    <col min="17" max="17" width="5" style="13" customWidth="1"/>
    <col min="18" max="19" width="4.6640625" style="13" customWidth="1"/>
    <col min="20" max="26" width="10.83203125" style="13"/>
  </cols>
  <sheetData>
    <row r="1" spans="1:19" ht="18">
      <c r="A1" s="20" t="s">
        <v>115</v>
      </c>
      <c r="B1" s="20" t="s">
        <v>63</v>
      </c>
      <c r="C1" s="20" t="s">
        <v>120</v>
      </c>
      <c r="D1" s="20" t="s">
        <v>121</v>
      </c>
      <c r="E1" s="20" t="s">
        <v>122</v>
      </c>
      <c r="F1" s="21" t="s">
        <v>123</v>
      </c>
      <c r="G1" s="21" t="s">
        <v>124</v>
      </c>
      <c r="H1" s="21" t="s">
        <v>125</v>
      </c>
      <c r="I1" s="20" t="s">
        <v>126</v>
      </c>
      <c r="J1" s="20" t="s">
        <v>127</v>
      </c>
      <c r="K1" s="20" t="s">
        <v>128</v>
      </c>
      <c r="L1" s="20"/>
      <c r="M1" s="20"/>
      <c r="N1" s="20"/>
      <c r="O1" s="20"/>
      <c r="P1" s="20"/>
      <c r="Q1" s="20"/>
      <c r="R1" s="20"/>
      <c r="S1" s="20"/>
    </row>
    <row r="2" spans="1:19" ht="18">
      <c r="A2" s="20"/>
      <c r="B2" s="20"/>
      <c r="C2" s="20"/>
      <c r="D2" s="20"/>
      <c r="E2" s="20"/>
      <c r="F2" s="21"/>
      <c r="G2" s="21"/>
      <c r="H2" s="21"/>
      <c r="I2" s="20"/>
      <c r="J2" s="20"/>
      <c r="K2" s="19" t="s">
        <v>1</v>
      </c>
      <c r="L2" s="19" t="s">
        <v>2</v>
      </c>
      <c r="M2" s="19" t="s">
        <v>3</v>
      </c>
      <c r="N2" s="19" t="s">
        <v>4</v>
      </c>
      <c r="O2" s="19" t="s">
        <v>5</v>
      </c>
      <c r="P2" s="19" t="s">
        <v>6</v>
      </c>
      <c r="Q2" s="19" t="s">
        <v>7</v>
      </c>
      <c r="R2" s="19" t="s">
        <v>8</v>
      </c>
      <c r="S2" s="19" t="s">
        <v>9</v>
      </c>
    </row>
    <row r="3" spans="1:19" ht="18">
      <c r="A3" s="14">
        <v>1</v>
      </c>
      <c r="B3" s="14" t="s">
        <v>99</v>
      </c>
      <c r="C3" s="14" t="str">
        <f>VLOOKUP(B3,Family!B:C,2,FALSE)</f>
        <v>N</v>
      </c>
      <c r="D3" s="15">
        <v>19</v>
      </c>
      <c r="E3" s="14">
        <f>ROUND(VLOOKUP(C3,'Production Plan'!A:B,2,FALSE),2)</f>
        <v>334.18</v>
      </c>
      <c r="F3" s="16">
        <v>45666</v>
      </c>
      <c r="G3" s="17">
        <f>F3+6*7</f>
        <v>45708</v>
      </c>
      <c r="H3" s="14">
        <f>G3-F3</f>
        <v>42</v>
      </c>
      <c r="I3" s="14">
        <f>ROUND(D3/E3,3)</f>
        <v>5.7000000000000002E-2</v>
      </c>
      <c r="J3" s="14">
        <f>I3*24</f>
        <v>1.3680000000000001</v>
      </c>
      <c r="K3" s="14">
        <f>VLOOKUP($C3,Rotation!$A$2:$J$10,2,FALSE)</f>
        <v>1</v>
      </c>
      <c r="L3" s="14">
        <f>VLOOKUP($C3,Rotation!$A$2:$J$10,3,FALSE)</f>
        <v>0</v>
      </c>
      <c r="M3" s="14">
        <f>VLOOKUP($C3,Rotation!$A$2:$J$10,4,FALSE)</f>
        <v>0</v>
      </c>
      <c r="N3" s="14">
        <f>VLOOKUP($C3,Rotation!$A$2:$J$10,5,FALSE)</f>
        <v>0</v>
      </c>
      <c r="O3" s="14">
        <f>VLOOKUP($C3,Rotation!$A$2:$J$10,6,FALSE)</f>
        <v>0</v>
      </c>
      <c r="P3" s="14">
        <f>VLOOKUP($C3,Rotation!$A$2:$J$10,7,FALSE)</f>
        <v>0</v>
      </c>
      <c r="Q3" s="14">
        <f>VLOOKUP($C3,Rotation!$A$2:$J$10,8,FALSE)</f>
        <v>1</v>
      </c>
      <c r="R3" s="14">
        <f>VLOOKUP($C3,Rotation!$A$2:$J$10,9,FALSE)</f>
        <v>0</v>
      </c>
      <c r="S3" s="14">
        <f>VLOOKUP($C3,Rotation!$A$2:$J$10,10,FALSE)</f>
        <v>0</v>
      </c>
    </row>
    <row r="4" spans="1:19" ht="18">
      <c r="A4" s="14">
        <v>2</v>
      </c>
      <c r="B4" s="14" t="s">
        <v>99</v>
      </c>
      <c r="C4" s="14" t="str">
        <f>VLOOKUP(B4,Family!B:C,2,FALSE)</f>
        <v>N</v>
      </c>
      <c r="D4" s="15">
        <v>19</v>
      </c>
      <c r="E4" s="14">
        <f>ROUND(VLOOKUP(C4,'Production Plan'!A:B,2,FALSE),2)</f>
        <v>334.18</v>
      </c>
      <c r="F4" s="16">
        <v>45666</v>
      </c>
      <c r="G4" s="17">
        <f>F4+6*7</f>
        <v>45708</v>
      </c>
      <c r="H4" s="14">
        <f>G4-F4</f>
        <v>42</v>
      </c>
      <c r="I4" s="14">
        <f>ROUND(D4/E4,3)</f>
        <v>5.7000000000000002E-2</v>
      </c>
      <c r="J4" s="14">
        <f>I4*24</f>
        <v>1.3680000000000001</v>
      </c>
      <c r="K4" s="14">
        <f>VLOOKUP($C4,Rotation!$A$2:$J$10,2,FALSE)</f>
        <v>1</v>
      </c>
      <c r="L4" s="14">
        <f>VLOOKUP($C4,Rotation!$A$2:$J$10,3,FALSE)</f>
        <v>0</v>
      </c>
      <c r="M4" s="14">
        <f>VLOOKUP($C4,Rotation!$A$2:$J$10,4,FALSE)</f>
        <v>0</v>
      </c>
      <c r="N4" s="14">
        <f>VLOOKUP($C4,Rotation!$A$2:$J$10,5,FALSE)</f>
        <v>0</v>
      </c>
      <c r="O4" s="14">
        <f>VLOOKUP($C4,Rotation!$A$2:$J$10,6,FALSE)</f>
        <v>0</v>
      </c>
      <c r="P4" s="14">
        <f>VLOOKUP($C4,Rotation!$A$2:$J$10,7,FALSE)</f>
        <v>0</v>
      </c>
      <c r="Q4" s="14">
        <f>VLOOKUP($C4,Rotation!$A$2:$J$10,8,FALSE)</f>
        <v>1</v>
      </c>
      <c r="R4" s="14">
        <f>VLOOKUP($C4,Rotation!$A$2:$J$10,9,FALSE)</f>
        <v>0</v>
      </c>
      <c r="S4" s="14">
        <f>VLOOKUP($C4,Rotation!$A$2:$J$10,10,FALSE)</f>
        <v>0</v>
      </c>
    </row>
    <row r="5" spans="1:19" ht="18">
      <c r="A5" s="14">
        <v>3</v>
      </c>
      <c r="B5" s="14" t="s">
        <v>99</v>
      </c>
      <c r="C5" s="14" t="str">
        <f>VLOOKUP(B5,Family!B:C,2,FALSE)</f>
        <v>N</v>
      </c>
      <c r="D5" s="15">
        <v>19</v>
      </c>
      <c r="E5" s="14">
        <f>ROUND(VLOOKUP(C5,'Production Plan'!A:B,2,FALSE),2)</f>
        <v>334.18</v>
      </c>
      <c r="F5" s="16">
        <v>45666</v>
      </c>
      <c r="G5" s="17">
        <f>F5+6*7</f>
        <v>45708</v>
      </c>
      <c r="H5" s="14">
        <f>G5-F5</f>
        <v>42</v>
      </c>
      <c r="I5" s="14">
        <f>ROUND(D5/E5,3)</f>
        <v>5.7000000000000002E-2</v>
      </c>
      <c r="J5" s="14">
        <f>I5*24</f>
        <v>1.3680000000000001</v>
      </c>
      <c r="K5" s="14">
        <f>VLOOKUP($C5,Rotation!$A$2:$J$10,2,FALSE)</f>
        <v>1</v>
      </c>
      <c r="L5" s="14">
        <f>VLOOKUP($C5,Rotation!$A$2:$J$10,3,FALSE)</f>
        <v>0</v>
      </c>
      <c r="M5" s="14">
        <f>VLOOKUP($C5,Rotation!$A$2:$J$10,4,FALSE)</f>
        <v>0</v>
      </c>
      <c r="N5" s="14">
        <f>VLOOKUP($C5,Rotation!$A$2:$J$10,5,FALSE)</f>
        <v>0</v>
      </c>
      <c r="O5" s="14">
        <f>VLOOKUP($C5,Rotation!$A$2:$J$10,6,FALSE)</f>
        <v>0</v>
      </c>
      <c r="P5" s="14">
        <f>VLOOKUP($C5,Rotation!$A$2:$J$10,7,FALSE)</f>
        <v>0</v>
      </c>
      <c r="Q5" s="14">
        <f>VLOOKUP($C5,Rotation!$A$2:$J$10,8,FALSE)</f>
        <v>1</v>
      </c>
      <c r="R5" s="14">
        <f>VLOOKUP($C5,Rotation!$A$2:$J$10,9,FALSE)</f>
        <v>0</v>
      </c>
      <c r="S5" s="14">
        <f>VLOOKUP($C5,Rotation!$A$2:$J$10,10,FALSE)</f>
        <v>0</v>
      </c>
    </row>
    <row r="6" spans="1:19" ht="18">
      <c r="A6" s="14">
        <v>4</v>
      </c>
      <c r="B6" s="14" t="s">
        <v>99</v>
      </c>
      <c r="C6" s="14" t="str">
        <f>VLOOKUP(B6,Family!B:C,2,FALSE)</f>
        <v>N</v>
      </c>
      <c r="D6" s="15">
        <v>19</v>
      </c>
      <c r="E6" s="14">
        <f>ROUND(VLOOKUP(C6,'Production Plan'!A:B,2,FALSE),2)</f>
        <v>334.18</v>
      </c>
      <c r="F6" s="16">
        <v>45666</v>
      </c>
      <c r="G6" s="17">
        <f>F6+6*7</f>
        <v>45708</v>
      </c>
      <c r="H6" s="14">
        <f>G6-F6</f>
        <v>42</v>
      </c>
      <c r="I6" s="14">
        <f>ROUND(D6/E6,3)</f>
        <v>5.7000000000000002E-2</v>
      </c>
      <c r="J6" s="14">
        <f>I6*24</f>
        <v>1.3680000000000001</v>
      </c>
      <c r="K6" s="14">
        <f>VLOOKUP($C6,Rotation!$A$2:$J$10,2,FALSE)</f>
        <v>1</v>
      </c>
      <c r="L6" s="14">
        <f>VLOOKUP($C6,Rotation!$A$2:$J$10,3,FALSE)</f>
        <v>0</v>
      </c>
      <c r="M6" s="14">
        <f>VLOOKUP($C6,Rotation!$A$2:$J$10,4,FALSE)</f>
        <v>0</v>
      </c>
      <c r="N6" s="14">
        <f>VLOOKUP($C6,Rotation!$A$2:$J$10,5,FALSE)</f>
        <v>0</v>
      </c>
      <c r="O6" s="14">
        <f>VLOOKUP($C6,Rotation!$A$2:$J$10,6,FALSE)</f>
        <v>0</v>
      </c>
      <c r="P6" s="14">
        <f>VLOOKUP($C6,Rotation!$A$2:$J$10,7,FALSE)</f>
        <v>0</v>
      </c>
      <c r="Q6" s="14">
        <f>VLOOKUP($C6,Rotation!$A$2:$J$10,8,FALSE)</f>
        <v>1</v>
      </c>
      <c r="R6" s="14">
        <f>VLOOKUP($C6,Rotation!$A$2:$J$10,9,FALSE)</f>
        <v>0</v>
      </c>
      <c r="S6" s="14">
        <f>VLOOKUP($C6,Rotation!$A$2:$J$10,10,FALSE)</f>
        <v>0</v>
      </c>
    </row>
    <row r="7" spans="1:19" ht="18">
      <c r="A7" s="14">
        <v>5</v>
      </c>
      <c r="B7" s="14" t="s">
        <v>99</v>
      </c>
      <c r="C7" s="14" t="str">
        <f>VLOOKUP(B7,Family!B:C,2,FALSE)</f>
        <v>N</v>
      </c>
      <c r="D7" s="15">
        <v>19</v>
      </c>
      <c r="E7" s="14">
        <f>ROUND(VLOOKUP(C7,'Production Plan'!A:B,2,FALSE),2)</f>
        <v>334.18</v>
      </c>
      <c r="F7" s="16">
        <v>45666</v>
      </c>
      <c r="G7" s="17">
        <f>F7+6*7</f>
        <v>45708</v>
      </c>
      <c r="H7" s="14">
        <f>G7-F7</f>
        <v>42</v>
      </c>
      <c r="I7" s="14">
        <f>ROUND(D7/E7,3)</f>
        <v>5.7000000000000002E-2</v>
      </c>
      <c r="J7" s="14">
        <f>I7*24</f>
        <v>1.3680000000000001</v>
      </c>
      <c r="K7" s="14">
        <f>VLOOKUP($C7,Rotation!$A$2:$J$10,2,FALSE)</f>
        <v>1</v>
      </c>
      <c r="L7" s="14">
        <f>VLOOKUP($C7,Rotation!$A$2:$J$10,3,FALSE)</f>
        <v>0</v>
      </c>
      <c r="M7" s="14">
        <f>VLOOKUP($C7,Rotation!$A$2:$J$10,4,FALSE)</f>
        <v>0</v>
      </c>
      <c r="N7" s="14">
        <f>VLOOKUP($C7,Rotation!$A$2:$J$10,5,FALSE)</f>
        <v>0</v>
      </c>
      <c r="O7" s="14">
        <f>VLOOKUP($C7,Rotation!$A$2:$J$10,6,FALSE)</f>
        <v>0</v>
      </c>
      <c r="P7" s="14">
        <f>VLOOKUP($C7,Rotation!$A$2:$J$10,7,FALSE)</f>
        <v>0</v>
      </c>
      <c r="Q7" s="14">
        <f>VLOOKUP($C7,Rotation!$A$2:$J$10,8,FALSE)</f>
        <v>1</v>
      </c>
      <c r="R7" s="14">
        <f>VLOOKUP($C7,Rotation!$A$2:$J$10,9,FALSE)</f>
        <v>0</v>
      </c>
      <c r="S7" s="14">
        <f>VLOOKUP($C7,Rotation!$A$2:$J$10,10,FALSE)</f>
        <v>0</v>
      </c>
    </row>
    <row r="8" spans="1:19" ht="18">
      <c r="A8" s="14">
        <v>6</v>
      </c>
      <c r="B8" s="14" t="s">
        <v>99</v>
      </c>
      <c r="C8" s="14" t="str">
        <f>VLOOKUP(B8,Family!B:C,2,FALSE)</f>
        <v>N</v>
      </c>
      <c r="D8" s="15">
        <v>19</v>
      </c>
      <c r="E8" s="14">
        <f>ROUND(VLOOKUP(C8,'Production Plan'!A:B,2,FALSE),2)</f>
        <v>334.18</v>
      </c>
      <c r="F8" s="16">
        <v>45666</v>
      </c>
      <c r="G8" s="17">
        <f>F8+6*7</f>
        <v>45708</v>
      </c>
      <c r="H8" s="14">
        <f>G8-F8</f>
        <v>42</v>
      </c>
      <c r="I8" s="14">
        <f>ROUND(D8/E8,3)</f>
        <v>5.7000000000000002E-2</v>
      </c>
      <c r="J8" s="14">
        <f>I8*24</f>
        <v>1.3680000000000001</v>
      </c>
      <c r="K8" s="14">
        <f>VLOOKUP($C8,Rotation!$A$2:$J$10,2,FALSE)</f>
        <v>1</v>
      </c>
      <c r="L8" s="14">
        <f>VLOOKUP($C8,Rotation!$A$2:$J$10,3,FALSE)</f>
        <v>0</v>
      </c>
      <c r="M8" s="14">
        <f>VLOOKUP($C8,Rotation!$A$2:$J$10,4,FALSE)</f>
        <v>0</v>
      </c>
      <c r="N8" s="14">
        <f>VLOOKUP($C8,Rotation!$A$2:$J$10,5,FALSE)</f>
        <v>0</v>
      </c>
      <c r="O8" s="14">
        <f>VLOOKUP($C8,Rotation!$A$2:$J$10,6,FALSE)</f>
        <v>0</v>
      </c>
      <c r="P8" s="14">
        <f>VLOOKUP($C8,Rotation!$A$2:$J$10,7,FALSE)</f>
        <v>0</v>
      </c>
      <c r="Q8" s="14">
        <f>VLOOKUP($C8,Rotation!$A$2:$J$10,8,FALSE)</f>
        <v>1</v>
      </c>
      <c r="R8" s="14">
        <f>VLOOKUP($C8,Rotation!$A$2:$J$10,9,FALSE)</f>
        <v>0</v>
      </c>
      <c r="S8" s="14">
        <f>VLOOKUP($C8,Rotation!$A$2:$J$10,10,FALSE)</f>
        <v>0</v>
      </c>
    </row>
    <row r="9" spans="1:19" ht="18">
      <c r="A9" s="14">
        <v>7</v>
      </c>
      <c r="B9" s="14" t="s">
        <v>77</v>
      </c>
      <c r="C9" s="14" t="str">
        <f>VLOOKUP(B9,Family!B:C,2,FALSE)</f>
        <v>E</v>
      </c>
      <c r="D9" s="15">
        <v>18</v>
      </c>
      <c r="E9" s="14">
        <f>ROUND(VLOOKUP(C9,'Production Plan'!A:B,2,FALSE),2)</f>
        <v>333.66</v>
      </c>
      <c r="F9" s="16">
        <v>45671</v>
      </c>
      <c r="G9" s="17">
        <f>F9+6*7</f>
        <v>45713</v>
      </c>
      <c r="H9" s="14">
        <f>G9-F9</f>
        <v>42</v>
      </c>
      <c r="I9" s="14">
        <f>ROUND(D9/E9,3)</f>
        <v>5.3999999999999999E-2</v>
      </c>
      <c r="J9" s="14">
        <f>I9*24</f>
        <v>1.296</v>
      </c>
      <c r="K9" s="14">
        <f>VLOOKUP($C9,Rotation!$A$2:$J$10,2,FALSE)</f>
        <v>1</v>
      </c>
      <c r="L9" s="14">
        <f>VLOOKUP($C9,Rotation!$A$2:$J$10,3,FALSE)</f>
        <v>0</v>
      </c>
      <c r="M9" s="14">
        <f>VLOOKUP($C9,Rotation!$A$2:$J$10,4,FALSE)</f>
        <v>0</v>
      </c>
      <c r="N9" s="14">
        <f>VLOOKUP($C9,Rotation!$A$2:$J$10,5,FALSE)</f>
        <v>0</v>
      </c>
      <c r="O9" s="14">
        <f>VLOOKUP($C9,Rotation!$A$2:$J$10,6,FALSE)</f>
        <v>0</v>
      </c>
      <c r="P9" s="14">
        <f>VLOOKUP($C9,Rotation!$A$2:$J$10,7,FALSE)</f>
        <v>1</v>
      </c>
      <c r="Q9" s="14">
        <f>VLOOKUP($C9,Rotation!$A$2:$J$10,8,FALSE)</f>
        <v>0</v>
      </c>
      <c r="R9" s="14">
        <f>VLOOKUP($C9,Rotation!$A$2:$J$10,9,FALSE)</f>
        <v>0</v>
      </c>
      <c r="S9" s="14">
        <f>VLOOKUP($C9,Rotation!$A$2:$J$10,10,FALSE)</f>
        <v>0</v>
      </c>
    </row>
    <row r="10" spans="1:19" ht="18">
      <c r="A10" s="14">
        <v>8</v>
      </c>
      <c r="B10" s="14" t="s">
        <v>77</v>
      </c>
      <c r="C10" s="14" t="str">
        <f>VLOOKUP(B10,Family!B:C,2,FALSE)</f>
        <v>E</v>
      </c>
      <c r="D10" s="15">
        <v>18</v>
      </c>
      <c r="E10" s="14">
        <f>ROUND(VLOOKUP(C10,'Production Plan'!A:B,2,FALSE),2)</f>
        <v>333.66</v>
      </c>
      <c r="F10" s="16">
        <v>45671</v>
      </c>
      <c r="G10" s="17">
        <f>F10+6*7</f>
        <v>45713</v>
      </c>
      <c r="H10" s="14">
        <f>G10-F10</f>
        <v>42</v>
      </c>
      <c r="I10" s="14">
        <f>ROUND(D10/E10,3)</f>
        <v>5.3999999999999999E-2</v>
      </c>
      <c r="J10" s="14">
        <f>I10*24</f>
        <v>1.296</v>
      </c>
      <c r="K10" s="14">
        <f>VLOOKUP($C10,Rotation!$A$2:$J$10,2,FALSE)</f>
        <v>1</v>
      </c>
      <c r="L10" s="14">
        <f>VLOOKUP($C10,Rotation!$A$2:$J$10,3,FALSE)</f>
        <v>0</v>
      </c>
      <c r="M10" s="14">
        <f>VLOOKUP($C10,Rotation!$A$2:$J$10,4,FALSE)</f>
        <v>0</v>
      </c>
      <c r="N10" s="14">
        <f>VLOOKUP($C10,Rotation!$A$2:$J$10,5,FALSE)</f>
        <v>0</v>
      </c>
      <c r="O10" s="14">
        <f>VLOOKUP($C10,Rotation!$A$2:$J$10,6,FALSE)</f>
        <v>0</v>
      </c>
      <c r="P10" s="14">
        <f>VLOOKUP($C10,Rotation!$A$2:$J$10,7,FALSE)</f>
        <v>1</v>
      </c>
      <c r="Q10" s="14">
        <f>VLOOKUP($C10,Rotation!$A$2:$J$10,8,FALSE)</f>
        <v>0</v>
      </c>
      <c r="R10" s="14">
        <f>VLOOKUP($C10,Rotation!$A$2:$J$10,9,FALSE)</f>
        <v>0</v>
      </c>
      <c r="S10" s="14">
        <f>VLOOKUP($C10,Rotation!$A$2:$J$10,10,FALSE)</f>
        <v>0</v>
      </c>
    </row>
    <row r="11" spans="1:19" ht="18">
      <c r="A11" s="14">
        <v>9</v>
      </c>
      <c r="B11" s="14" t="s">
        <v>77</v>
      </c>
      <c r="C11" s="14" t="str">
        <f>VLOOKUP(B11,Family!B:C,2,FALSE)</f>
        <v>E</v>
      </c>
      <c r="D11" s="15">
        <v>18</v>
      </c>
      <c r="E11" s="14">
        <f>ROUND(VLOOKUP(C11,'Production Plan'!A:B,2,FALSE),2)</f>
        <v>333.66</v>
      </c>
      <c r="F11" s="16">
        <v>45671</v>
      </c>
      <c r="G11" s="17">
        <f>F11+6*7</f>
        <v>45713</v>
      </c>
      <c r="H11" s="14">
        <f>G11-F11</f>
        <v>42</v>
      </c>
      <c r="I11" s="14">
        <f>ROUND(D11/E11,3)</f>
        <v>5.3999999999999999E-2</v>
      </c>
      <c r="J11" s="14">
        <f>I11*24</f>
        <v>1.296</v>
      </c>
      <c r="K11" s="14">
        <f>VLOOKUP($C11,Rotation!$A$2:$J$10,2,FALSE)</f>
        <v>1</v>
      </c>
      <c r="L11" s="14">
        <f>VLOOKUP($C11,Rotation!$A$2:$J$10,3,FALSE)</f>
        <v>0</v>
      </c>
      <c r="M11" s="14">
        <f>VLOOKUP($C11,Rotation!$A$2:$J$10,4,FALSE)</f>
        <v>0</v>
      </c>
      <c r="N11" s="14">
        <f>VLOOKUP($C11,Rotation!$A$2:$J$10,5,FALSE)</f>
        <v>0</v>
      </c>
      <c r="O11" s="14">
        <f>VLOOKUP($C11,Rotation!$A$2:$J$10,6,FALSE)</f>
        <v>0</v>
      </c>
      <c r="P11" s="14">
        <f>VLOOKUP($C11,Rotation!$A$2:$J$10,7,FALSE)</f>
        <v>1</v>
      </c>
      <c r="Q11" s="14">
        <f>VLOOKUP($C11,Rotation!$A$2:$J$10,8,FALSE)</f>
        <v>0</v>
      </c>
      <c r="R11" s="14">
        <f>VLOOKUP($C11,Rotation!$A$2:$J$10,9,FALSE)</f>
        <v>0</v>
      </c>
      <c r="S11" s="14">
        <f>VLOOKUP($C11,Rotation!$A$2:$J$10,10,FALSE)</f>
        <v>0</v>
      </c>
    </row>
    <row r="12" spans="1:19" ht="18">
      <c r="A12" s="14">
        <v>10</v>
      </c>
      <c r="B12" s="14" t="s">
        <v>85</v>
      </c>
      <c r="C12" s="14" t="str">
        <f>VLOOKUP(B12,Family!B:C,2,FALSE)</f>
        <v>E</v>
      </c>
      <c r="D12" s="15">
        <v>19</v>
      </c>
      <c r="E12" s="14">
        <f>ROUND(VLOOKUP(C12,'Production Plan'!A:B,2,FALSE),2)</f>
        <v>333.66</v>
      </c>
      <c r="F12" s="16">
        <v>45669</v>
      </c>
      <c r="G12" s="17">
        <f>F12+6*7</f>
        <v>45711</v>
      </c>
      <c r="H12" s="14">
        <f>G12-F12</f>
        <v>42</v>
      </c>
      <c r="I12" s="14">
        <f>ROUND(D12/E12,3)</f>
        <v>5.7000000000000002E-2</v>
      </c>
      <c r="J12" s="14">
        <f>I12*24</f>
        <v>1.3680000000000001</v>
      </c>
      <c r="K12" s="14">
        <f>VLOOKUP($C12,Rotation!$A$2:$J$10,2,FALSE)</f>
        <v>1</v>
      </c>
      <c r="L12" s="14">
        <f>VLOOKUP($C12,Rotation!$A$2:$J$10,3,FALSE)</f>
        <v>0</v>
      </c>
      <c r="M12" s="14">
        <f>VLOOKUP($C12,Rotation!$A$2:$J$10,4,FALSE)</f>
        <v>0</v>
      </c>
      <c r="N12" s="14">
        <f>VLOOKUP($C12,Rotation!$A$2:$J$10,5,FALSE)</f>
        <v>0</v>
      </c>
      <c r="O12" s="14">
        <f>VLOOKUP($C12,Rotation!$A$2:$J$10,6,FALSE)</f>
        <v>0</v>
      </c>
      <c r="P12" s="14">
        <f>VLOOKUP($C12,Rotation!$A$2:$J$10,7,FALSE)</f>
        <v>1</v>
      </c>
      <c r="Q12" s="14">
        <f>VLOOKUP($C12,Rotation!$A$2:$J$10,8,FALSE)</f>
        <v>0</v>
      </c>
      <c r="R12" s="14">
        <f>VLOOKUP($C12,Rotation!$A$2:$J$10,9,FALSE)</f>
        <v>0</v>
      </c>
      <c r="S12" s="14">
        <f>VLOOKUP($C12,Rotation!$A$2:$J$10,10,FALSE)</f>
        <v>0</v>
      </c>
    </row>
    <row r="13" spans="1:19" ht="18">
      <c r="A13" s="14">
        <v>11</v>
      </c>
      <c r="B13" s="14" t="s">
        <v>85</v>
      </c>
      <c r="C13" s="14" t="str">
        <f>VLOOKUP(B13,Family!B:C,2,FALSE)</f>
        <v>E</v>
      </c>
      <c r="D13" s="15">
        <v>19</v>
      </c>
      <c r="E13" s="14">
        <f>ROUND(VLOOKUP(C13,'Production Plan'!A:B,2,FALSE),2)</f>
        <v>333.66</v>
      </c>
      <c r="F13" s="16">
        <v>45669</v>
      </c>
      <c r="G13" s="17">
        <f>F13+6*7</f>
        <v>45711</v>
      </c>
      <c r="H13" s="14">
        <f>G13-F13</f>
        <v>42</v>
      </c>
      <c r="I13" s="14">
        <f>ROUND(D13/E13,3)</f>
        <v>5.7000000000000002E-2</v>
      </c>
      <c r="J13" s="14">
        <f>I13*24</f>
        <v>1.3680000000000001</v>
      </c>
      <c r="K13" s="14">
        <f>VLOOKUP($C13,Rotation!$A$2:$J$10,2,FALSE)</f>
        <v>1</v>
      </c>
      <c r="L13" s="14">
        <f>VLOOKUP($C13,Rotation!$A$2:$J$10,3,FALSE)</f>
        <v>0</v>
      </c>
      <c r="M13" s="14">
        <f>VLOOKUP($C13,Rotation!$A$2:$J$10,4,FALSE)</f>
        <v>0</v>
      </c>
      <c r="N13" s="14">
        <f>VLOOKUP($C13,Rotation!$A$2:$J$10,5,FALSE)</f>
        <v>0</v>
      </c>
      <c r="O13" s="14">
        <f>VLOOKUP($C13,Rotation!$A$2:$J$10,6,FALSE)</f>
        <v>0</v>
      </c>
      <c r="P13" s="14">
        <f>VLOOKUP($C13,Rotation!$A$2:$J$10,7,FALSE)</f>
        <v>1</v>
      </c>
      <c r="Q13" s="14">
        <f>VLOOKUP($C13,Rotation!$A$2:$J$10,8,FALSE)</f>
        <v>0</v>
      </c>
      <c r="R13" s="14">
        <f>VLOOKUP($C13,Rotation!$A$2:$J$10,9,FALSE)</f>
        <v>0</v>
      </c>
      <c r="S13" s="14">
        <f>VLOOKUP($C13,Rotation!$A$2:$J$10,10,FALSE)</f>
        <v>0</v>
      </c>
    </row>
    <row r="14" spans="1:19" ht="18">
      <c r="A14" s="14">
        <v>12</v>
      </c>
      <c r="B14" s="14" t="s">
        <v>85</v>
      </c>
      <c r="C14" s="14" t="str">
        <f>VLOOKUP(B14,Family!B:C,2,FALSE)</f>
        <v>E</v>
      </c>
      <c r="D14" s="15">
        <v>19</v>
      </c>
      <c r="E14" s="14">
        <f>ROUND(VLOOKUP(C14,'Production Plan'!A:B,2,FALSE),2)</f>
        <v>333.66</v>
      </c>
      <c r="F14" s="16">
        <v>45669</v>
      </c>
      <c r="G14" s="17">
        <f>F14+6*7</f>
        <v>45711</v>
      </c>
      <c r="H14" s="14">
        <f>G14-F14</f>
        <v>42</v>
      </c>
      <c r="I14" s="14">
        <f>ROUND(D14/E14,3)</f>
        <v>5.7000000000000002E-2</v>
      </c>
      <c r="J14" s="14">
        <f>I14*24</f>
        <v>1.3680000000000001</v>
      </c>
      <c r="K14" s="14">
        <f>VLOOKUP($C14,Rotation!$A$2:$J$10,2,FALSE)</f>
        <v>1</v>
      </c>
      <c r="L14" s="14">
        <f>VLOOKUP($C14,Rotation!$A$2:$J$10,3,FALSE)</f>
        <v>0</v>
      </c>
      <c r="M14" s="14">
        <f>VLOOKUP($C14,Rotation!$A$2:$J$10,4,FALSE)</f>
        <v>0</v>
      </c>
      <c r="N14" s="14">
        <f>VLOOKUP($C14,Rotation!$A$2:$J$10,5,FALSE)</f>
        <v>0</v>
      </c>
      <c r="O14" s="14">
        <f>VLOOKUP($C14,Rotation!$A$2:$J$10,6,FALSE)</f>
        <v>0</v>
      </c>
      <c r="P14" s="14">
        <f>VLOOKUP($C14,Rotation!$A$2:$J$10,7,FALSE)</f>
        <v>1</v>
      </c>
      <c r="Q14" s="14">
        <f>VLOOKUP($C14,Rotation!$A$2:$J$10,8,FALSE)</f>
        <v>0</v>
      </c>
      <c r="R14" s="14">
        <f>VLOOKUP($C14,Rotation!$A$2:$J$10,9,FALSE)</f>
        <v>0</v>
      </c>
      <c r="S14" s="14">
        <f>VLOOKUP($C14,Rotation!$A$2:$J$10,10,FALSE)</f>
        <v>0</v>
      </c>
    </row>
    <row r="15" spans="1:19" ht="18">
      <c r="A15" s="14">
        <v>13</v>
      </c>
      <c r="B15" s="14" t="s">
        <v>64</v>
      </c>
      <c r="C15" s="14" t="str">
        <f>VLOOKUP(B15,Family!B:C,2,FALSE)</f>
        <v>A</v>
      </c>
      <c r="D15" s="15">
        <v>37</v>
      </c>
      <c r="E15" s="14">
        <f>ROUND(VLOOKUP(C15,'Production Plan'!A:B,2,FALSE),2)</f>
        <v>407.17</v>
      </c>
      <c r="F15" s="16">
        <v>45670</v>
      </c>
      <c r="G15" s="17">
        <f>F15+6*7</f>
        <v>45712</v>
      </c>
      <c r="H15" s="14">
        <f>G15-F15</f>
        <v>42</v>
      </c>
      <c r="I15" s="14">
        <f>ROUND(D15/E15,3)</f>
        <v>9.0999999999999998E-2</v>
      </c>
      <c r="J15" s="14">
        <f>I15*24</f>
        <v>2.1840000000000002</v>
      </c>
      <c r="K15" s="14">
        <f>VLOOKUP($C15,Rotation!$A$2:$J$10,2,FALSE)</f>
        <v>1</v>
      </c>
      <c r="L15" s="14">
        <f>VLOOKUP($C15,Rotation!$A$2:$J$10,3,FALSE)</f>
        <v>1</v>
      </c>
      <c r="M15" s="14">
        <f>VLOOKUP($C15,Rotation!$A$2:$J$10,4,FALSE)</f>
        <v>1</v>
      </c>
      <c r="N15" s="14">
        <f>VLOOKUP($C15,Rotation!$A$2:$J$10,5,FALSE)</f>
        <v>0</v>
      </c>
      <c r="O15" s="14">
        <f>VLOOKUP($C15,Rotation!$A$2:$J$10,6,FALSE)</f>
        <v>0</v>
      </c>
      <c r="P15" s="14">
        <f>VLOOKUP($C15,Rotation!$A$2:$J$10,7,FALSE)</f>
        <v>0</v>
      </c>
      <c r="Q15" s="14">
        <f>VLOOKUP($C15,Rotation!$A$2:$J$10,8,FALSE)</f>
        <v>0</v>
      </c>
      <c r="R15" s="14">
        <f>VLOOKUP($C15,Rotation!$A$2:$J$10,9,FALSE)</f>
        <v>0</v>
      </c>
      <c r="S15" s="14">
        <f>VLOOKUP($C15,Rotation!$A$2:$J$10,10,FALSE)</f>
        <v>0</v>
      </c>
    </row>
    <row r="16" spans="1:19" ht="18">
      <c r="A16" s="14">
        <v>14</v>
      </c>
      <c r="B16" s="14" t="s">
        <v>64</v>
      </c>
      <c r="C16" s="14" t="str">
        <f>VLOOKUP(B16,Family!B:C,2,FALSE)</f>
        <v>A</v>
      </c>
      <c r="D16" s="15">
        <v>111</v>
      </c>
      <c r="E16" s="14">
        <f>ROUND(VLOOKUP(C16,'Production Plan'!A:B,2,FALSE),2)</f>
        <v>407.17</v>
      </c>
      <c r="F16" s="16">
        <v>45670</v>
      </c>
      <c r="G16" s="17">
        <f>F16+6*7</f>
        <v>45712</v>
      </c>
      <c r="H16" s="14">
        <f>G16-F16</f>
        <v>42</v>
      </c>
      <c r="I16" s="14">
        <f>ROUND(D16/E16,3)</f>
        <v>0.27300000000000002</v>
      </c>
      <c r="J16" s="14">
        <f>I16*24</f>
        <v>6.5520000000000005</v>
      </c>
      <c r="K16" s="14">
        <f>VLOOKUP($C16,Rotation!$A$2:$J$10,2,FALSE)</f>
        <v>1</v>
      </c>
      <c r="L16" s="14">
        <f>VLOOKUP($C16,Rotation!$A$2:$J$10,3,FALSE)</f>
        <v>1</v>
      </c>
      <c r="M16" s="14">
        <f>VLOOKUP($C16,Rotation!$A$2:$J$10,4,FALSE)</f>
        <v>1</v>
      </c>
      <c r="N16" s="14">
        <f>VLOOKUP($C16,Rotation!$A$2:$J$10,5,FALSE)</f>
        <v>0</v>
      </c>
      <c r="O16" s="14">
        <f>VLOOKUP($C16,Rotation!$A$2:$J$10,6,FALSE)</f>
        <v>0</v>
      </c>
      <c r="P16" s="14">
        <f>VLOOKUP($C16,Rotation!$A$2:$J$10,7,FALSE)</f>
        <v>0</v>
      </c>
      <c r="Q16" s="14">
        <f>VLOOKUP($C16,Rotation!$A$2:$J$10,8,FALSE)</f>
        <v>0</v>
      </c>
      <c r="R16" s="14">
        <f>VLOOKUP($C16,Rotation!$A$2:$J$10,9,FALSE)</f>
        <v>0</v>
      </c>
      <c r="S16" s="14">
        <f>VLOOKUP($C16,Rotation!$A$2:$J$10,10,FALSE)</f>
        <v>0</v>
      </c>
    </row>
    <row r="17" spans="1:19" ht="18">
      <c r="A17" s="14">
        <v>15</v>
      </c>
      <c r="B17" s="14" t="s">
        <v>65</v>
      </c>
      <c r="C17" s="14" t="str">
        <f>VLOOKUP(B17,Family!B:C,2,FALSE)</f>
        <v>A</v>
      </c>
      <c r="D17" s="15">
        <v>38</v>
      </c>
      <c r="E17" s="14">
        <f>ROUND(VLOOKUP(C17,'Production Plan'!A:B,2,FALSE),2)</f>
        <v>407.17</v>
      </c>
      <c r="F17" s="16">
        <v>45679</v>
      </c>
      <c r="G17" s="17">
        <f>F17+6*7</f>
        <v>45721</v>
      </c>
      <c r="H17" s="14">
        <f>G17-F17</f>
        <v>42</v>
      </c>
      <c r="I17" s="14">
        <f>ROUND(D17/E17,3)</f>
        <v>9.2999999999999999E-2</v>
      </c>
      <c r="J17" s="14">
        <f>I17*24</f>
        <v>2.2320000000000002</v>
      </c>
      <c r="K17" s="14">
        <f>VLOOKUP($C17,Rotation!$A$2:$J$10,2,FALSE)</f>
        <v>1</v>
      </c>
      <c r="L17" s="14">
        <f>VLOOKUP($C17,Rotation!$A$2:$J$10,3,FALSE)</f>
        <v>1</v>
      </c>
      <c r="M17" s="14">
        <f>VLOOKUP($C17,Rotation!$A$2:$J$10,4,FALSE)</f>
        <v>1</v>
      </c>
      <c r="N17" s="14">
        <f>VLOOKUP($C17,Rotation!$A$2:$J$10,5,FALSE)</f>
        <v>0</v>
      </c>
      <c r="O17" s="14">
        <f>VLOOKUP($C17,Rotation!$A$2:$J$10,6,FALSE)</f>
        <v>0</v>
      </c>
      <c r="P17" s="14">
        <f>VLOOKUP($C17,Rotation!$A$2:$J$10,7,FALSE)</f>
        <v>0</v>
      </c>
      <c r="Q17" s="14">
        <f>VLOOKUP($C17,Rotation!$A$2:$J$10,8,FALSE)</f>
        <v>0</v>
      </c>
      <c r="R17" s="14">
        <f>VLOOKUP($C17,Rotation!$A$2:$J$10,9,FALSE)</f>
        <v>0</v>
      </c>
      <c r="S17" s="14">
        <f>VLOOKUP($C17,Rotation!$A$2:$J$10,10,FALSE)</f>
        <v>0</v>
      </c>
    </row>
    <row r="18" spans="1:19" ht="18">
      <c r="A18" s="14">
        <v>16</v>
      </c>
      <c r="B18" s="14" t="s">
        <v>108</v>
      </c>
      <c r="C18" s="14" t="str">
        <f>VLOOKUP(B18,Family!B:C,2,FALSE)</f>
        <v>P</v>
      </c>
      <c r="D18" s="15">
        <v>108</v>
      </c>
      <c r="E18" s="14">
        <f>ROUND(VLOOKUP(C18,'Production Plan'!A:B,2,FALSE),2)</f>
        <v>409.15</v>
      </c>
      <c r="F18" s="16">
        <v>45674</v>
      </c>
      <c r="G18" s="17">
        <f>F18+6*7</f>
        <v>45716</v>
      </c>
      <c r="H18" s="14">
        <f>G18-F18</f>
        <v>42</v>
      </c>
      <c r="I18" s="14">
        <f>ROUND(D18/E18,3)</f>
        <v>0.26400000000000001</v>
      </c>
      <c r="J18" s="14">
        <f>I18*24</f>
        <v>6.3360000000000003</v>
      </c>
      <c r="K18" s="14">
        <f>VLOOKUP($C18,Rotation!$A$2:$J$10,2,FALSE)</f>
        <v>1</v>
      </c>
      <c r="L18" s="14">
        <f>VLOOKUP($C18,Rotation!$A$2:$J$10,3,FALSE)</f>
        <v>1</v>
      </c>
      <c r="M18" s="14">
        <f>VLOOKUP($C18,Rotation!$A$2:$J$10,4,FALSE)</f>
        <v>0</v>
      </c>
      <c r="N18" s="14">
        <f>VLOOKUP($C18,Rotation!$A$2:$J$10,5,FALSE)</f>
        <v>0</v>
      </c>
      <c r="O18" s="14">
        <f>VLOOKUP($C18,Rotation!$A$2:$J$10,6,FALSE)</f>
        <v>0</v>
      </c>
      <c r="P18" s="14">
        <f>VLOOKUP($C18,Rotation!$A$2:$J$10,7,FALSE)</f>
        <v>0</v>
      </c>
      <c r="Q18" s="14">
        <f>VLOOKUP($C18,Rotation!$A$2:$J$10,8,FALSE)</f>
        <v>0</v>
      </c>
      <c r="R18" s="14">
        <f>VLOOKUP($C18,Rotation!$A$2:$J$10,9,FALSE)</f>
        <v>0</v>
      </c>
      <c r="S18" s="14">
        <f>VLOOKUP($C18,Rotation!$A$2:$J$10,10,FALSE)</f>
        <v>0</v>
      </c>
    </row>
    <row r="19" spans="1:19" ht="18">
      <c r="A19" s="14">
        <v>17</v>
      </c>
      <c r="B19" s="14" t="s">
        <v>108</v>
      </c>
      <c r="C19" s="14" t="str">
        <f>VLOOKUP(B19,Family!B:C,2,FALSE)</f>
        <v>P</v>
      </c>
      <c r="D19" s="15">
        <v>108</v>
      </c>
      <c r="E19" s="14">
        <f>ROUND(VLOOKUP(C19,'Production Plan'!A:B,2,FALSE),2)</f>
        <v>409.15</v>
      </c>
      <c r="F19" s="16">
        <v>45674</v>
      </c>
      <c r="G19" s="17">
        <f>F19+6*7</f>
        <v>45716</v>
      </c>
      <c r="H19" s="14">
        <f>G19-F19</f>
        <v>42</v>
      </c>
      <c r="I19" s="14">
        <f>ROUND(D19/E19,3)</f>
        <v>0.26400000000000001</v>
      </c>
      <c r="J19" s="14">
        <f>I19*24</f>
        <v>6.3360000000000003</v>
      </c>
      <c r="K19" s="14">
        <f>VLOOKUP($C19,Rotation!$A$2:$J$10,2,FALSE)</f>
        <v>1</v>
      </c>
      <c r="L19" s="14">
        <f>VLOOKUP($C19,Rotation!$A$2:$J$10,3,FALSE)</f>
        <v>1</v>
      </c>
      <c r="M19" s="14">
        <f>VLOOKUP($C19,Rotation!$A$2:$J$10,4,FALSE)</f>
        <v>0</v>
      </c>
      <c r="N19" s="14">
        <f>VLOOKUP($C19,Rotation!$A$2:$J$10,5,FALSE)</f>
        <v>0</v>
      </c>
      <c r="O19" s="14">
        <f>VLOOKUP($C19,Rotation!$A$2:$J$10,6,FALSE)</f>
        <v>0</v>
      </c>
      <c r="P19" s="14">
        <f>VLOOKUP($C19,Rotation!$A$2:$J$10,7,FALSE)</f>
        <v>0</v>
      </c>
      <c r="Q19" s="14">
        <f>VLOOKUP($C19,Rotation!$A$2:$J$10,8,FALSE)</f>
        <v>0</v>
      </c>
      <c r="R19" s="14">
        <f>VLOOKUP($C19,Rotation!$A$2:$J$10,9,FALSE)</f>
        <v>0</v>
      </c>
      <c r="S19" s="14">
        <f>VLOOKUP($C19,Rotation!$A$2:$J$10,10,FALSE)</f>
        <v>0</v>
      </c>
    </row>
    <row r="20" spans="1:19" ht="18">
      <c r="A20" s="14">
        <v>18</v>
      </c>
      <c r="B20" s="14" t="s">
        <v>108</v>
      </c>
      <c r="C20" s="14" t="str">
        <f>VLOOKUP(B20,Family!B:C,2,FALSE)</f>
        <v>P</v>
      </c>
      <c r="D20" s="15">
        <v>108</v>
      </c>
      <c r="E20" s="14">
        <f>ROUND(VLOOKUP(C20,'Production Plan'!A:B,2,FALSE),2)</f>
        <v>409.15</v>
      </c>
      <c r="F20" s="16">
        <v>45674</v>
      </c>
      <c r="G20" s="17">
        <f>F20+6*7</f>
        <v>45716</v>
      </c>
      <c r="H20" s="14">
        <f>G20-F20</f>
        <v>42</v>
      </c>
      <c r="I20" s="14">
        <f>ROUND(D20/E20,3)</f>
        <v>0.26400000000000001</v>
      </c>
      <c r="J20" s="14">
        <f>I20*24</f>
        <v>6.3360000000000003</v>
      </c>
      <c r="K20" s="14">
        <f>VLOOKUP($C20,Rotation!$A$2:$J$10,2,FALSE)</f>
        <v>1</v>
      </c>
      <c r="L20" s="14">
        <f>VLOOKUP($C20,Rotation!$A$2:$J$10,3,FALSE)</f>
        <v>1</v>
      </c>
      <c r="M20" s="14">
        <f>VLOOKUP($C20,Rotation!$A$2:$J$10,4,FALSE)</f>
        <v>0</v>
      </c>
      <c r="N20" s="14">
        <f>VLOOKUP($C20,Rotation!$A$2:$J$10,5,FALSE)</f>
        <v>0</v>
      </c>
      <c r="O20" s="14">
        <f>VLOOKUP($C20,Rotation!$A$2:$J$10,6,FALSE)</f>
        <v>0</v>
      </c>
      <c r="P20" s="14">
        <f>VLOOKUP($C20,Rotation!$A$2:$J$10,7,FALSE)</f>
        <v>0</v>
      </c>
      <c r="Q20" s="14">
        <f>VLOOKUP($C20,Rotation!$A$2:$J$10,8,FALSE)</f>
        <v>0</v>
      </c>
      <c r="R20" s="14">
        <f>VLOOKUP($C20,Rotation!$A$2:$J$10,9,FALSE)</f>
        <v>0</v>
      </c>
      <c r="S20" s="14">
        <f>VLOOKUP($C20,Rotation!$A$2:$J$10,10,FALSE)</f>
        <v>0</v>
      </c>
    </row>
    <row r="21" spans="1:19" ht="18">
      <c r="A21" s="14">
        <v>19</v>
      </c>
      <c r="B21" s="14" t="s">
        <v>66</v>
      </c>
      <c r="C21" s="14" t="str">
        <f>VLOOKUP(B21,Family!B:C,2,FALSE)</f>
        <v>A</v>
      </c>
      <c r="D21" s="15">
        <v>54</v>
      </c>
      <c r="E21" s="14">
        <f>ROUND(VLOOKUP(C21,'Production Plan'!A:B,2,FALSE),2)</f>
        <v>407.17</v>
      </c>
      <c r="F21" s="16">
        <v>45674</v>
      </c>
      <c r="G21" s="17">
        <f>F21+6*7</f>
        <v>45716</v>
      </c>
      <c r="H21" s="14">
        <f>G21-F21</f>
        <v>42</v>
      </c>
      <c r="I21" s="14">
        <f>ROUND(D21/E21,3)</f>
        <v>0.13300000000000001</v>
      </c>
      <c r="J21" s="14">
        <f>I21*24</f>
        <v>3.1920000000000002</v>
      </c>
      <c r="K21" s="14">
        <f>VLOOKUP($C21,Rotation!$A$2:$J$10,2,FALSE)</f>
        <v>1</v>
      </c>
      <c r="L21" s="14">
        <f>VLOOKUP($C21,Rotation!$A$2:$J$10,3,FALSE)</f>
        <v>1</v>
      </c>
      <c r="M21" s="14">
        <f>VLOOKUP($C21,Rotation!$A$2:$J$10,4,FALSE)</f>
        <v>1</v>
      </c>
      <c r="N21" s="14">
        <f>VLOOKUP($C21,Rotation!$A$2:$J$10,5,FALSE)</f>
        <v>0</v>
      </c>
      <c r="O21" s="14">
        <f>VLOOKUP($C21,Rotation!$A$2:$J$10,6,FALSE)</f>
        <v>0</v>
      </c>
      <c r="P21" s="14">
        <f>VLOOKUP($C21,Rotation!$A$2:$J$10,7,FALSE)</f>
        <v>0</v>
      </c>
      <c r="Q21" s="14">
        <f>VLOOKUP($C21,Rotation!$A$2:$J$10,8,FALSE)</f>
        <v>0</v>
      </c>
      <c r="R21" s="14">
        <f>VLOOKUP($C21,Rotation!$A$2:$J$10,9,FALSE)</f>
        <v>0</v>
      </c>
      <c r="S21" s="14">
        <f>VLOOKUP($C21,Rotation!$A$2:$J$10,10,FALSE)</f>
        <v>0</v>
      </c>
    </row>
    <row r="22" spans="1:19" ht="18">
      <c r="A22" s="14">
        <v>20</v>
      </c>
      <c r="B22" s="14" t="s">
        <v>66</v>
      </c>
      <c r="C22" s="14" t="str">
        <f>VLOOKUP(B22,Family!B:C,2,FALSE)</f>
        <v>A</v>
      </c>
      <c r="D22" s="15">
        <v>54</v>
      </c>
      <c r="E22" s="14">
        <f>ROUND(VLOOKUP(C22,'Production Plan'!A:B,2,FALSE),2)</f>
        <v>407.17</v>
      </c>
      <c r="F22" s="16">
        <v>45674</v>
      </c>
      <c r="G22" s="17">
        <f>F22+6*7</f>
        <v>45716</v>
      </c>
      <c r="H22" s="14">
        <f>G22-F22</f>
        <v>42</v>
      </c>
      <c r="I22" s="14">
        <f>ROUND(D22/E22,3)</f>
        <v>0.13300000000000001</v>
      </c>
      <c r="J22" s="14">
        <f>I22*24</f>
        <v>3.1920000000000002</v>
      </c>
      <c r="K22" s="14">
        <f>VLOOKUP($C22,Rotation!$A$2:$J$10,2,FALSE)</f>
        <v>1</v>
      </c>
      <c r="L22" s="14">
        <f>VLOOKUP($C22,Rotation!$A$2:$J$10,3,FALSE)</f>
        <v>1</v>
      </c>
      <c r="M22" s="14">
        <f>VLOOKUP($C22,Rotation!$A$2:$J$10,4,FALSE)</f>
        <v>1</v>
      </c>
      <c r="N22" s="14">
        <f>VLOOKUP($C22,Rotation!$A$2:$J$10,5,FALSE)</f>
        <v>0</v>
      </c>
      <c r="O22" s="14">
        <f>VLOOKUP($C22,Rotation!$A$2:$J$10,6,FALSE)</f>
        <v>0</v>
      </c>
      <c r="P22" s="14">
        <f>VLOOKUP($C22,Rotation!$A$2:$J$10,7,FALSE)</f>
        <v>0</v>
      </c>
      <c r="Q22" s="14">
        <f>VLOOKUP($C22,Rotation!$A$2:$J$10,8,FALSE)</f>
        <v>0</v>
      </c>
      <c r="R22" s="14">
        <f>VLOOKUP($C22,Rotation!$A$2:$J$10,9,FALSE)</f>
        <v>0</v>
      </c>
      <c r="S22" s="14">
        <f>VLOOKUP($C22,Rotation!$A$2:$J$10,10,FALSE)</f>
        <v>0</v>
      </c>
    </row>
    <row r="23" spans="1:19" ht="18">
      <c r="A23" s="14">
        <v>21</v>
      </c>
      <c r="B23" s="14" t="s">
        <v>66</v>
      </c>
      <c r="C23" s="14" t="str">
        <f>VLOOKUP(B23,Family!B:C,2,FALSE)</f>
        <v>A</v>
      </c>
      <c r="D23" s="15">
        <v>54</v>
      </c>
      <c r="E23" s="14">
        <f>ROUND(VLOOKUP(C23,'Production Plan'!A:B,2,FALSE),2)</f>
        <v>407.17</v>
      </c>
      <c r="F23" s="16">
        <v>45674</v>
      </c>
      <c r="G23" s="17">
        <f>F23+6*7</f>
        <v>45716</v>
      </c>
      <c r="H23" s="14">
        <f>G23-F23</f>
        <v>42</v>
      </c>
      <c r="I23" s="14">
        <f>ROUND(D23/E23,3)</f>
        <v>0.13300000000000001</v>
      </c>
      <c r="J23" s="14">
        <f>I23*24</f>
        <v>3.1920000000000002</v>
      </c>
      <c r="K23" s="14">
        <f>VLOOKUP($C23,Rotation!$A$2:$J$10,2,FALSE)</f>
        <v>1</v>
      </c>
      <c r="L23" s="14">
        <f>VLOOKUP($C23,Rotation!$A$2:$J$10,3,FALSE)</f>
        <v>1</v>
      </c>
      <c r="M23" s="14">
        <f>VLOOKUP($C23,Rotation!$A$2:$J$10,4,FALSE)</f>
        <v>1</v>
      </c>
      <c r="N23" s="14">
        <f>VLOOKUP($C23,Rotation!$A$2:$J$10,5,FALSE)</f>
        <v>0</v>
      </c>
      <c r="O23" s="14">
        <f>VLOOKUP($C23,Rotation!$A$2:$J$10,6,FALSE)</f>
        <v>0</v>
      </c>
      <c r="P23" s="14">
        <f>VLOOKUP($C23,Rotation!$A$2:$J$10,7,FALSE)</f>
        <v>0</v>
      </c>
      <c r="Q23" s="14">
        <f>VLOOKUP($C23,Rotation!$A$2:$J$10,8,FALSE)</f>
        <v>0</v>
      </c>
      <c r="R23" s="14">
        <f>VLOOKUP($C23,Rotation!$A$2:$J$10,9,FALSE)</f>
        <v>0</v>
      </c>
      <c r="S23" s="14">
        <f>VLOOKUP($C23,Rotation!$A$2:$J$10,10,FALSE)</f>
        <v>0</v>
      </c>
    </row>
    <row r="24" spans="1:19" ht="18">
      <c r="A24" s="14">
        <v>22</v>
      </c>
      <c r="B24" s="14" t="s">
        <v>112</v>
      </c>
      <c r="C24" s="14" t="str">
        <f>VLOOKUP(B24,Family!B:C,2,FALSE)</f>
        <v>N</v>
      </c>
      <c r="D24" s="15">
        <v>70</v>
      </c>
      <c r="E24" s="14">
        <f>ROUND(VLOOKUP(C24,'Production Plan'!A:B,2,FALSE),2)</f>
        <v>334.18</v>
      </c>
      <c r="F24" s="16">
        <v>45678</v>
      </c>
      <c r="G24" s="17">
        <f>F24+6*7</f>
        <v>45720</v>
      </c>
      <c r="H24" s="14">
        <f>G24-F24</f>
        <v>42</v>
      </c>
      <c r="I24" s="14">
        <f>ROUND(D24/E24,3)</f>
        <v>0.20899999999999999</v>
      </c>
      <c r="J24" s="14">
        <f>I24*24</f>
        <v>5.016</v>
      </c>
      <c r="K24" s="14">
        <f>VLOOKUP($C24,Rotation!$A$2:$J$10,2,FALSE)</f>
        <v>1</v>
      </c>
      <c r="L24" s="14">
        <f>VLOOKUP($C24,Rotation!$A$2:$J$10,3,FALSE)</f>
        <v>0</v>
      </c>
      <c r="M24" s="14">
        <f>VLOOKUP($C24,Rotation!$A$2:$J$10,4,FALSE)</f>
        <v>0</v>
      </c>
      <c r="N24" s="14">
        <f>VLOOKUP($C24,Rotation!$A$2:$J$10,5,FALSE)</f>
        <v>0</v>
      </c>
      <c r="O24" s="14">
        <f>VLOOKUP($C24,Rotation!$A$2:$J$10,6,FALSE)</f>
        <v>0</v>
      </c>
      <c r="P24" s="14">
        <f>VLOOKUP($C24,Rotation!$A$2:$J$10,7,FALSE)</f>
        <v>0</v>
      </c>
      <c r="Q24" s="14">
        <f>VLOOKUP($C24,Rotation!$A$2:$J$10,8,FALSE)</f>
        <v>1</v>
      </c>
      <c r="R24" s="14">
        <f>VLOOKUP($C24,Rotation!$A$2:$J$10,9,FALSE)</f>
        <v>0</v>
      </c>
      <c r="S24" s="14">
        <f>VLOOKUP($C24,Rotation!$A$2:$J$10,10,FALSE)</f>
        <v>0</v>
      </c>
    </row>
    <row r="25" spans="1:19" ht="18">
      <c r="A25" s="14">
        <v>23</v>
      </c>
      <c r="B25" s="14" t="s">
        <v>64</v>
      </c>
      <c r="C25" s="14" t="str">
        <f>VLOOKUP(B25,Family!B:C,2,FALSE)</f>
        <v>A</v>
      </c>
      <c r="D25" s="15">
        <v>111</v>
      </c>
      <c r="E25" s="14">
        <f>ROUND(VLOOKUP(C25,'Production Plan'!A:B,2,FALSE),2)</f>
        <v>407.17</v>
      </c>
      <c r="F25" s="16">
        <v>45681</v>
      </c>
      <c r="G25" s="17">
        <f>F25+6*7</f>
        <v>45723</v>
      </c>
      <c r="H25" s="14">
        <f>G25-F25</f>
        <v>42</v>
      </c>
      <c r="I25" s="14">
        <f>ROUND(D25/E25,3)</f>
        <v>0.27300000000000002</v>
      </c>
      <c r="J25" s="14">
        <f>I25*24</f>
        <v>6.5520000000000005</v>
      </c>
      <c r="K25" s="14">
        <f>VLOOKUP($C25,Rotation!$A$2:$J$10,2,FALSE)</f>
        <v>1</v>
      </c>
      <c r="L25" s="14">
        <f>VLOOKUP($C25,Rotation!$A$2:$J$10,3,FALSE)</f>
        <v>1</v>
      </c>
      <c r="M25" s="14">
        <f>VLOOKUP($C25,Rotation!$A$2:$J$10,4,FALSE)</f>
        <v>1</v>
      </c>
      <c r="N25" s="14">
        <f>VLOOKUP($C25,Rotation!$A$2:$J$10,5,FALSE)</f>
        <v>0</v>
      </c>
      <c r="O25" s="14">
        <f>VLOOKUP($C25,Rotation!$A$2:$J$10,6,FALSE)</f>
        <v>0</v>
      </c>
      <c r="P25" s="14">
        <f>VLOOKUP($C25,Rotation!$A$2:$J$10,7,FALSE)</f>
        <v>0</v>
      </c>
      <c r="Q25" s="14">
        <f>VLOOKUP($C25,Rotation!$A$2:$J$10,8,FALSE)</f>
        <v>0</v>
      </c>
      <c r="R25" s="14">
        <f>VLOOKUP($C25,Rotation!$A$2:$J$10,9,FALSE)</f>
        <v>0</v>
      </c>
      <c r="S25" s="14">
        <f>VLOOKUP($C25,Rotation!$A$2:$J$10,10,FALSE)</f>
        <v>0</v>
      </c>
    </row>
    <row r="26" spans="1:19" ht="18">
      <c r="A26" s="14">
        <v>24</v>
      </c>
      <c r="B26" s="14" t="s">
        <v>65</v>
      </c>
      <c r="C26" s="14" t="str">
        <f>VLOOKUP(B26,Family!B:C,2,FALSE)</f>
        <v>A</v>
      </c>
      <c r="D26" s="15">
        <v>38</v>
      </c>
      <c r="E26" s="14">
        <f>ROUND(VLOOKUP(C26,'Production Plan'!A:B,2,FALSE),2)</f>
        <v>407.17</v>
      </c>
      <c r="F26" s="16">
        <v>45679</v>
      </c>
      <c r="G26" s="17">
        <f>F26+6*7</f>
        <v>45721</v>
      </c>
      <c r="H26" s="14">
        <f>G26-F26</f>
        <v>42</v>
      </c>
      <c r="I26" s="14">
        <f>ROUND(D26/E26,3)</f>
        <v>9.2999999999999999E-2</v>
      </c>
      <c r="J26" s="14">
        <f>I26*24</f>
        <v>2.2320000000000002</v>
      </c>
      <c r="K26" s="14">
        <f>VLOOKUP($C26,Rotation!$A$2:$J$10,2,FALSE)</f>
        <v>1</v>
      </c>
      <c r="L26" s="14">
        <f>VLOOKUP($C26,Rotation!$A$2:$J$10,3,FALSE)</f>
        <v>1</v>
      </c>
      <c r="M26" s="14">
        <f>VLOOKUP($C26,Rotation!$A$2:$J$10,4,FALSE)</f>
        <v>1</v>
      </c>
      <c r="N26" s="14">
        <f>VLOOKUP($C26,Rotation!$A$2:$J$10,5,FALSE)</f>
        <v>0</v>
      </c>
      <c r="O26" s="14">
        <f>VLOOKUP($C26,Rotation!$A$2:$J$10,6,FALSE)</f>
        <v>0</v>
      </c>
      <c r="P26" s="14">
        <f>VLOOKUP($C26,Rotation!$A$2:$J$10,7,FALSE)</f>
        <v>0</v>
      </c>
      <c r="Q26" s="14">
        <f>VLOOKUP($C26,Rotation!$A$2:$J$10,8,FALSE)</f>
        <v>0</v>
      </c>
      <c r="R26" s="14">
        <f>VLOOKUP($C26,Rotation!$A$2:$J$10,9,FALSE)</f>
        <v>0</v>
      </c>
      <c r="S26" s="14">
        <f>VLOOKUP($C26,Rotation!$A$2:$J$10,10,FALSE)</f>
        <v>0</v>
      </c>
    </row>
    <row r="27" spans="1:19" ht="18">
      <c r="A27" s="14">
        <v>25</v>
      </c>
      <c r="B27" s="14" t="s">
        <v>64</v>
      </c>
      <c r="C27" s="14" t="str">
        <f>VLOOKUP(B27,Family!B:C,2,FALSE)</f>
        <v>A</v>
      </c>
      <c r="D27" s="15">
        <v>111</v>
      </c>
      <c r="E27" s="14">
        <f>ROUND(VLOOKUP(C27,'Production Plan'!A:B,2,FALSE),2)</f>
        <v>407.17</v>
      </c>
      <c r="F27" s="16">
        <v>45681</v>
      </c>
      <c r="G27" s="17">
        <f>F27+6*7</f>
        <v>45723</v>
      </c>
      <c r="H27" s="14">
        <f>G27-F27</f>
        <v>42</v>
      </c>
      <c r="I27" s="14">
        <f>ROUND(D27/E27,3)</f>
        <v>0.27300000000000002</v>
      </c>
      <c r="J27" s="14">
        <f>I27*24</f>
        <v>6.5520000000000005</v>
      </c>
      <c r="K27" s="14">
        <f>VLOOKUP($C27,Rotation!$A$2:$J$10,2,FALSE)</f>
        <v>1</v>
      </c>
      <c r="L27" s="14">
        <f>VLOOKUP($C27,Rotation!$A$2:$J$10,3,FALSE)</f>
        <v>1</v>
      </c>
      <c r="M27" s="14">
        <f>VLOOKUP($C27,Rotation!$A$2:$J$10,4,FALSE)</f>
        <v>1</v>
      </c>
      <c r="N27" s="14">
        <f>VLOOKUP($C27,Rotation!$A$2:$J$10,5,FALSE)</f>
        <v>0</v>
      </c>
      <c r="O27" s="14">
        <f>VLOOKUP($C27,Rotation!$A$2:$J$10,6,FALSE)</f>
        <v>0</v>
      </c>
      <c r="P27" s="14">
        <f>VLOOKUP($C27,Rotation!$A$2:$J$10,7,FALSE)</f>
        <v>0</v>
      </c>
      <c r="Q27" s="14">
        <f>VLOOKUP($C27,Rotation!$A$2:$J$10,8,FALSE)</f>
        <v>0</v>
      </c>
      <c r="R27" s="14">
        <f>VLOOKUP($C27,Rotation!$A$2:$J$10,9,FALSE)</f>
        <v>0</v>
      </c>
      <c r="S27" s="14">
        <f>VLOOKUP($C27,Rotation!$A$2:$J$10,10,FALSE)</f>
        <v>0</v>
      </c>
    </row>
    <row r="28" spans="1:19" ht="18">
      <c r="A28" s="14">
        <v>26</v>
      </c>
      <c r="B28" s="14" t="s">
        <v>65</v>
      </c>
      <c r="C28" s="14" t="str">
        <f>VLOOKUP(B28,Family!B:C,2,FALSE)</f>
        <v>A</v>
      </c>
      <c r="D28" s="15">
        <v>38</v>
      </c>
      <c r="E28" s="14">
        <f>ROUND(VLOOKUP(C28,'Production Plan'!A:B,2,FALSE),2)</f>
        <v>407.17</v>
      </c>
      <c r="F28" s="16">
        <v>45679</v>
      </c>
      <c r="G28" s="17">
        <f>F28+6*7</f>
        <v>45721</v>
      </c>
      <c r="H28" s="14">
        <f>G28-F28</f>
        <v>42</v>
      </c>
      <c r="I28" s="14">
        <f>ROUND(D28/E28,3)</f>
        <v>9.2999999999999999E-2</v>
      </c>
      <c r="J28" s="14">
        <f>I28*24</f>
        <v>2.2320000000000002</v>
      </c>
      <c r="K28" s="14">
        <f>VLOOKUP($C28,Rotation!$A$2:$J$10,2,FALSE)</f>
        <v>1</v>
      </c>
      <c r="L28" s="14">
        <f>VLOOKUP($C28,Rotation!$A$2:$J$10,3,FALSE)</f>
        <v>1</v>
      </c>
      <c r="M28" s="14">
        <f>VLOOKUP($C28,Rotation!$A$2:$J$10,4,FALSE)</f>
        <v>1</v>
      </c>
      <c r="N28" s="14">
        <f>VLOOKUP($C28,Rotation!$A$2:$J$10,5,FALSE)</f>
        <v>0</v>
      </c>
      <c r="O28" s="14">
        <f>VLOOKUP($C28,Rotation!$A$2:$J$10,6,FALSE)</f>
        <v>0</v>
      </c>
      <c r="P28" s="14">
        <f>VLOOKUP($C28,Rotation!$A$2:$J$10,7,FALSE)</f>
        <v>0</v>
      </c>
      <c r="Q28" s="14">
        <f>VLOOKUP($C28,Rotation!$A$2:$J$10,8,FALSE)</f>
        <v>0</v>
      </c>
      <c r="R28" s="14">
        <f>VLOOKUP($C28,Rotation!$A$2:$J$10,9,FALSE)</f>
        <v>0</v>
      </c>
      <c r="S28" s="14">
        <f>VLOOKUP($C28,Rotation!$A$2:$J$10,10,FALSE)</f>
        <v>0</v>
      </c>
    </row>
    <row r="29" spans="1:19" ht="18">
      <c r="A29" s="14">
        <v>27</v>
      </c>
      <c r="B29" s="14" t="s">
        <v>64</v>
      </c>
      <c r="C29" s="14" t="str">
        <f>VLOOKUP(B29,Family!B:C,2,FALSE)</f>
        <v>A</v>
      </c>
      <c r="D29" s="15">
        <v>111</v>
      </c>
      <c r="E29" s="14">
        <f>ROUND(VLOOKUP(C29,'Production Plan'!A:B,2,FALSE),2)</f>
        <v>407.17</v>
      </c>
      <c r="F29" s="16">
        <v>45681</v>
      </c>
      <c r="G29" s="17">
        <f>F29+6*7</f>
        <v>45723</v>
      </c>
      <c r="H29" s="14">
        <f>G29-F29</f>
        <v>42</v>
      </c>
      <c r="I29" s="14">
        <f>ROUND(D29/E29,3)</f>
        <v>0.27300000000000002</v>
      </c>
      <c r="J29" s="14">
        <f>I29*24</f>
        <v>6.5520000000000005</v>
      </c>
      <c r="K29" s="14">
        <f>VLOOKUP($C29,Rotation!$A$2:$J$10,2,FALSE)</f>
        <v>1</v>
      </c>
      <c r="L29" s="14">
        <f>VLOOKUP($C29,Rotation!$A$2:$J$10,3,FALSE)</f>
        <v>1</v>
      </c>
      <c r="M29" s="14">
        <f>VLOOKUP($C29,Rotation!$A$2:$J$10,4,FALSE)</f>
        <v>1</v>
      </c>
      <c r="N29" s="14">
        <f>VLOOKUP($C29,Rotation!$A$2:$J$10,5,FALSE)</f>
        <v>0</v>
      </c>
      <c r="O29" s="14">
        <f>VLOOKUP($C29,Rotation!$A$2:$J$10,6,FALSE)</f>
        <v>0</v>
      </c>
      <c r="P29" s="14">
        <f>VLOOKUP($C29,Rotation!$A$2:$J$10,7,FALSE)</f>
        <v>0</v>
      </c>
      <c r="Q29" s="14">
        <f>VLOOKUP($C29,Rotation!$A$2:$J$10,8,FALSE)</f>
        <v>0</v>
      </c>
      <c r="R29" s="14">
        <f>VLOOKUP($C29,Rotation!$A$2:$J$10,9,FALSE)</f>
        <v>0</v>
      </c>
      <c r="S29" s="14">
        <f>VLOOKUP($C29,Rotation!$A$2:$J$10,10,FALSE)</f>
        <v>0</v>
      </c>
    </row>
    <row r="30" spans="1:19" ht="18">
      <c r="A30" s="14">
        <v>28</v>
      </c>
      <c r="B30" s="14" t="s">
        <v>64</v>
      </c>
      <c r="C30" s="14" t="str">
        <f>VLOOKUP(B30,Family!B:C,2,FALSE)</f>
        <v>A</v>
      </c>
      <c r="D30" s="15">
        <v>111</v>
      </c>
      <c r="E30" s="14">
        <f>ROUND(VLOOKUP(C30,'Production Plan'!A:B,2,FALSE),2)</f>
        <v>407.17</v>
      </c>
      <c r="F30" s="16">
        <v>45681</v>
      </c>
      <c r="G30" s="17">
        <f>F30+6*7</f>
        <v>45723</v>
      </c>
      <c r="H30" s="14">
        <f>G30-F30</f>
        <v>42</v>
      </c>
      <c r="I30" s="14">
        <f>ROUND(D30/E30,3)</f>
        <v>0.27300000000000002</v>
      </c>
      <c r="J30" s="14">
        <f>I30*24</f>
        <v>6.5520000000000005</v>
      </c>
      <c r="K30" s="14">
        <f>VLOOKUP($C30,Rotation!$A$2:$J$10,2,FALSE)</f>
        <v>1</v>
      </c>
      <c r="L30" s="14">
        <f>VLOOKUP($C30,Rotation!$A$2:$J$10,3,FALSE)</f>
        <v>1</v>
      </c>
      <c r="M30" s="14">
        <f>VLOOKUP($C30,Rotation!$A$2:$J$10,4,FALSE)</f>
        <v>1</v>
      </c>
      <c r="N30" s="14">
        <f>VLOOKUP($C30,Rotation!$A$2:$J$10,5,FALSE)</f>
        <v>0</v>
      </c>
      <c r="O30" s="14">
        <f>VLOOKUP($C30,Rotation!$A$2:$J$10,6,FALSE)</f>
        <v>0</v>
      </c>
      <c r="P30" s="14">
        <f>VLOOKUP($C30,Rotation!$A$2:$J$10,7,FALSE)</f>
        <v>0</v>
      </c>
      <c r="Q30" s="14">
        <f>VLOOKUP($C30,Rotation!$A$2:$J$10,8,FALSE)</f>
        <v>0</v>
      </c>
      <c r="R30" s="14">
        <f>VLOOKUP($C30,Rotation!$A$2:$J$10,9,FALSE)</f>
        <v>0</v>
      </c>
      <c r="S30" s="14">
        <f>VLOOKUP($C30,Rotation!$A$2:$J$10,10,FALSE)</f>
        <v>0</v>
      </c>
    </row>
    <row r="31" spans="1:19" ht="18">
      <c r="A31" s="14">
        <v>29</v>
      </c>
      <c r="B31" s="14" t="s">
        <v>113</v>
      </c>
      <c r="C31" s="14" t="str">
        <f>VLOOKUP(B31,Family!B:C,2,FALSE)</f>
        <v>P</v>
      </c>
      <c r="D31" s="15">
        <v>23</v>
      </c>
      <c r="E31" s="14">
        <f>ROUND(VLOOKUP(C31,'Production Plan'!A:B,2,FALSE),2)</f>
        <v>409.15</v>
      </c>
      <c r="F31" s="16">
        <v>45667</v>
      </c>
      <c r="G31" s="17">
        <f>F31+6*7</f>
        <v>45709</v>
      </c>
      <c r="H31" s="14">
        <f>G31-F31</f>
        <v>42</v>
      </c>
      <c r="I31" s="14">
        <f>ROUND(D31/E31,3)</f>
        <v>5.6000000000000001E-2</v>
      </c>
      <c r="J31" s="14">
        <f>I31*24</f>
        <v>1.3440000000000001</v>
      </c>
      <c r="K31" s="14">
        <f>VLOOKUP($C31,Rotation!$A$2:$J$10,2,FALSE)</f>
        <v>1</v>
      </c>
      <c r="L31" s="14">
        <f>VLOOKUP($C31,Rotation!$A$2:$J$10,3,FALSE)</f>
        <v>1</v>
      </c>
      <c r="M31" s="14">
        <f>VLOOKUP($C31,Rotation!$A$2:$J$10,4,FALSE)</f>
        <v>0</v>
      </c>
      <c r="N31" s="14">
        <f>VLOOKUP($C31,Rotation!$A$2:$J$10,5,FALSE)</f>
        <v>0</v>
      </c>
      <c r="O31" s="14">
        <f>VLOOKUP($C31,Rotation!$A$2:$J$10,6,FALSE)</f>
        <v>0</v>
      </c>
      <c r="P31" s="14">
        <f>VLOOKUP($C31,Rotation!$A$2:$J$10,7,FALSE)</f>
        <v>0</v>
      </c>
      <c r="Q31" s="14">
        <f>VLOOKUP($C31,Rotation!$A$2:$J$10,8,FALSE)</f>
        <v>0</v>
      </c>
      <c r="R31" s="14">
        <f>VLOOKUP($C31,Rotation!$A$2:$J$10,9,FALSE)</f>
        <v>0</v>
      </c>
      <c r="S31" s="14">
        <f>VLOOKUP($C31,Rotation!$A$2:$J$10,10,FALSE)</f>
        <v>0</v>
      </c>
    </row>
    <row r="32" spans="1:19" ht="18">
      <c r="A32" s="14">
        <v>30</v>
      </c>
      <c r="B32" s="14" t="s">
        <v>64</v>
      </c>
      <c r="C32" s="14" t="str">
        <f>VLOOKUP(B32,Family!B:C,2,FALSE)</f>
        <v>A</v>
      </c>
      <c r="D32" s="15">
        <v>111</v>
      </c>
      <c r="E32" s="14">
        <f>ROUND(VLOOKUP(C32,'Production Plan'!A:B,2,FALSE),2)</f>
        <v>407.17</v>
      </c>
      <c r="F32" s="16">
        <v>45681</v>
      </c>
      <c r="G32" s="17">
        <f>F32+6*7</f>
        <v>45723</v>
      </c>
      <c r="H32" s="14">
        <f>G32-F32</f>
        <v>42</v>
      </c>
      <c r="I32" s="14">
        <f>ROUND(D32/E32,3)</f>
        <v>0.27300000000000002</v>
      </c>
      <c r="J32" s="14">
        <f>I32*24</f>
        <v>6.5520000000000005</v>
      </c>
      <c r="K32" s="14">
        <f>VLOOKUP($C32,Rotation!$A$2:$J$10,2,FALSE)</f>
        <v>1</v>
      </c>
      <c r="L32" s="14">
        <f>VLOOKUP($C32,Rotation!$A$2:$J$10,3,FALSE)</f>
        <v>1</v>
      </c>
      <c r="M32" s="14">
        <f>VLOOKUP($C32,Rotation!$A$2:$J$10,4,FALSE)</f>
        <v>1</v>
      </c>
      <c r="N32" s="14">
        <f>VLOOKUP($C32,Rotation!$A$2:$J$10,5,FALSE)</f>
        <v>0</v>
      </c>
      <c r="O32" s="14">
        <f>VLOOKUP($C32,Rotation!$A$2:$J$10,6,FALSE)</f>
        <v>0</v>
      </c>
      <c r="P32" s="14">
        <f>VLOOKUP($C32,Rotation!$A$2:$J$10,7,FALSE)</f>
        <v>0</v>
      </c>
      <c r="Q32" s="14">
        <f>VLOOKUP($C32,Rotation!$A$2:$J$10,8,FALSE)</f>
        <v>0</v>
      </c>
      <c r="R32" s="14">
        <f>VLOOKUP($C32,Rotation!$A$2:$J$10,9,FALSE)</f>
        <v>0</v>
      </c>
      <c r="S32" s="14">
        <f>VLOOKUP($C32,Rotation!$A$2:$J$10,10,FALSE)</f>
        <v>0</v>
      </c>
    </row>
    <row r="33" spans="1:19" ht="18">
      <c r="A33" s="14">
        <v>31</v>
      </c>
      <c r="B33" s="14" t="s">
        <v>108</v>
      </c>
      <c r="C33" s="14" t="str">
        <f>VLOOKUP(B33,Family!B:C,2,FALSE)</f>
        <v>P</v>
      </c>
      <c r="D33" s="15">
        <v>108</v>
      </c>
      <c r="E33" s="14">
        <f>ROUND(VLOOKUP(C33,'Production Plan'!A:B,2,FALSE),2)</f>
        <v>409.15</v>
      </c>
      <c r="F33" s="16">
        <v>45674</v>
      </c>
      <c r="G33" s="17">
        <f>F33+6*7</f>
        <v>45716</v>
      </c>
      <c r="H33" s="14">
        <f>G33-F33</f>
        <v>42</v>
      </c>
      <c r="I33" s="14">
        <f>ROUND(D33/E33,3)</f>
        <v>0.26400000000000001</v>
      </c>
      <c r="J33" s="14">
        <f>I33*24</f>
        <v>6.3360000000000003</v>
      </c>
      <c r="K33" s="14">
        <f>VLOOKUP($C33,Rotation!$A$2:$J$10,2,FALSE)</f>
        <v>1</v>
      </c>
      <c r="L33" s="14">
        <f>VLOOKUP($C33,Rotation!$A$2:$J$10,3,FALSE)</f>
        <v>1</v>
      </c>
      <c r="M33" s="14">
        <f>VLOOKUP($C33,Rotation!$A$2:$J$10,4,FALSE)</f>
        <v>0</v>
      </c>
      <c r="N33" s="14">
        <f>VLOOKUP($C33,Rotation!$A$2:$J$10,5,FALSE)</f>
        <v>0</v>
      </c>
      <c r="O33" s="14">
        <f>VLOOKUP($C33,Rotation!$A$2:$J$10,6,FALSE)</f>
        <v>0</v>
      </c>
      <c r="P33" s="14">
        <f>VLOOKUP($C33,Rotation!$A$2:$J$10,7,FALSE)</f>
        <v>0</v>
      </c>
      <c r="Q33" s="14">
        <f>VLOOKUP($C33,Rotation!$A$2:$J$10,8,FALSE)</f>
        <v>0</v>
      </c>
      <c r="R33" s="14">
        <f>VLOOKUP($C33,Rotation!$A$2:$J$10,9,FALSE)</f>
        <v>0</v>
      </c>
      <c r="S33" s="14">
        <f>VLOOKUP($C33,Rotation!$A$2:$J$10,10,FALSE)</f>
        <v>0</v>
      </c>
    </row>
    <row r="34" spans="1:19" ht="18">
      <c r="A34" s="14">
        <v>32</v>
      </c>
      <c r="B34" s="14" t="s">
        <v>108</v>
      </c>
      <c r="C34" s="14" t="str">
        <f>VLOOKUP(B34,Family!B:C,2,FALSE)</f>
        <v>P</v>
      </c>
      <c r="D34" s="15">
        <v>108</v>
      </c>
      <c r="E34" s="14">
        <f>ROUND(VLOOKUP(C34,'Production Plan'!A:B,2,FALSE),2)</f>
        <v>409.15</v>
      </c>
      <c r="F34" s="16">
        <v>45674</v>
      </c>
      <c r="G34" s="17">
        <f>F34+6*7</f>
        <v>45716</v>
      </c>
      <c r="H34" s="14">
        <f>G34-F34</f>
        <v>42</v>
      </c>
      <c r="I34" s="14">
        <f>ROUND(D34/E34,3)</f>
        <v>0.26400000000000001</v>
      </c>
      <c r="J34" s="14">
        <f>I34*24</f>
        <v>6.3360000000000003</v>
      </c>
      <c r="K34" s="14">
        <f>VLOOKUP($C34,Rotation!$A$2:$J$10,2,FALSE)</f>
        <v>1</v>
      </c>
      <c r="L34" s="14">
        <f>VLOOKUP($C34,Rotation!$A$2:$J$10,3,FALSE)</f>
        <v>1</v>
      </c>
      <c r="M34" s="14">
        <f>VLOOKUP($C34,Rotation!$A$2:$J$10,4,FALSE)</f>
        <v>0</v>
      </c>
      <c r="N34" s="14">
        <f>VLOOKUP($C34,Rotation!$A$2:$J$10,5,FALSE)</f>
        <v>0</v>
      </c>
      <c r="O34" s="14">
        <f>VLOOKUP($C34,Rotation!$A$2:$J$10,6,FALSE)</f>
        <v>0</v>
      </c>
      <c r="P34" s="14">
        <f>VLOOKUP($C34,Rotation!$A$2:$J$10,7,FALSE)</f>
        <v>0</v>
      </c>
      <c r="Q34" s="14">
        <f>VLOOKUP($C34,Rotation!$A$2:$J$10,8,FALSE)</f>
        <v>0</v>
      </c>
      <c r="R34" s="14">
        <f>VLOOKUP($C34,Rotation!$A$2:$J$10,9,FALSE)</f>
        <v>0</v>
      </c>
      <c r="S34" s="14">
        <f>VLOOKUP($C34,Rotation!$A$2:$J$10,10,FALSE)</f>
        <v>0</v>
      </c>
    </row>
    <row r="35" spans="1:19" ht="18">
      <c r="A35" s="14">
        <v>33</v>
      </c>
      <c r="B35" s="14" t="s">
        <v>108</v>
      </c>
      <c r="C35" s="14" t="str">
        <f>VLOOKUP(B35,Family!B:C,2,FALSE)</f>
        <v>P</v>
      </c>
      <c r="D35" s="15">
        <v>108</v>
      </c>
      <c r="E35" s="14">
        <f>ROUND(VLOOKUP(C35,'Production Plan'!A:B,2,FALSE),2)</f>
        <v>409.15</v>
      </c>
      <c r="F35" s="16">
        <v>45674</v>
      </c>
      <c r="G35" s="17">
        <f>F35+6*7</f>
        <v>45716</v>
      </c>
      <c r="H35" s="14">
        <f>G35-F35</f>
        <v>42</v>
      </c>
      <c r="I35" s="14">
        <f>ROUND(D35/E35,3)</f>
        <v>0.26400000000000001</v>
      </c>
      <c r="J35" s="14">
        <f>I35*24</f>
        <v>6.3360000000000003</v>
      </c>
      <c r="K35" s="14">
        <f>VLOOKUP($C35,Rotation!$A$2:$J$10,2,FALSE)</f>
        <v>1</v>
      </c>
      <c r="L35" s="14">
        <f>VLOOKUP($C35,Rotation!$A$2:$J$10,3,FALSE)</f>
        <v>1</v>
      </c>
      <c r="M35" s="14">
        <f>VLOOKUP($C35,Rotation!$A$2:$J$10,4,FALSE)</f>
        <v>0</v>
      </c>
      <c r="N35" s="14">
        <f>VLOOKUP($C35,Rotation!$A$2:$J$10,5,FALSE)</f>
        <v>0</v>
      </c>
      <c r="O35" s="14">
        <f>VLOOKUP($C35,Rotation!$A$2:$J$10,6,FALSE)</f>
        <v>0</v>
      </c>
      <c r="P35" s="14">
        <f>VLOOKUP($C35,Rotation!$A$2:$J$10,7,FALSE)</f>
        <v>0</v>
      </c>
      <c r="Q35" s="14">
        <f>VLOOKUP($C35,Rotation!$A$2:$J$10,8,FALSE)</f>
        <v>0</v>
      </c>
      <c r="R35" s="14">
        <f>VLOOKUP($C35,Rotation!$A$2:$J$10,9,FALSE)</f>
        <v>0</v>
      </c>
      <c r="S35" s="14">
        <f>VLOOKUP($C35,Rotation!$A$2:$J$10,10,FALSE)</f>
        <v>0</v>
      </c>
    </row>
    <row r="36" spans="1:19" ht="18">
      <c r="A36" s="14">
        <v>34</v>
      </c>
      <c r="B36" s="14" t="s">
        <v>66</v>
      </c>
      <c r="C36" s="14" t="str">
        <f>VLOOKUP(B36,Family!B:C,2,FALSE)</f>
        <v>A</v>
      </c>
      <c r="D36" s="15">
        <v>54</v>
      </c>
      <c r="E36" s="14">
        <f>ROUND(VLOOKUP(C36,'Production Plan'!A:B,2,FALSE),2)</f>
        <v>407.17</v>
      </c>
      <c r="F36" s="16">
        <v>45674</v>
      </c>
      <c r="G36" s="17">
        <f>F36+6*7</f>
        <v>45716</v>
      </c>
      <c r="H36" s="14">
        <f>G36-F36</f>
        <v>42</v>
      </c>
      <c r="I36" s="14">
        <f>ROUND(D36/E36,3)</f>
        <v>0.13300000000000001</v>
      </c>
      <c r="J36" s="14">
        <f>I36*24</f>
        <v>3.1920000000000002</v>
      </c>
      <c r="K36" s="14">
        <f>VLOOKUP($C36,Rotation!$A$2:$J$10,2,FALSE)</f>
        <v>1</v>
      </c>
      <c r="L36" s="14">
        <f>VLOOKUP($C36,Rotation!$A$2:$J$10,3,FALSE)</f>
        <v>1</v>
      </c>
      <c r="M36" s="14">
        <f>VLOOKUP($C36,Rotation!$A$2:$J$10,4,FALSE)</f>
        <v>1</v>
      </c>
      <c r="N36" s="14">
        <f>VLOOKUP($C36,Rotation!$A$2:$J$10,5,FALSE)</f>
        <v>0</v>
      </c>
      <c r="O36" s="14">
        <f>VLOOKUP($C36,Rotation!$A$2:$J$10,6,FALSE)</f>
        <v>0</v>
      </c>
      <c r="P36" s="14">
        <f>VLOOKUP($C36,Rotation!$A$2:$J$10,7,FALSE)</f>
        <v>0</v>
      </c>
      <c r="Q36" s="14">
        <f>VLOOKUP($C36,Rotation!$A$2:$J$10,8,FALSE)</f>
        <v>0</v>
      </c>
      <c r="R36" s="14">
        <f>VLOOKUP($C36,Rotation!$A$2:$J$10,9,FALSE)</f>
        <v>0</v>
      </c>
      <c r="S36" s="14">
        <f>VLOOKUP($C36,Rotation!$A$2:$J$10,10,FALSE)</f>
        <v>0</v>
      </c>
    </row>
    <row r="37" spans="1:19" ht="18">
      <c r="A37" s="14">
        <v>35</v>
      </c>
      <c r="B37" s="14" t="s">
        <v>66</v>
      </c>
      <c r="C37" s="14" t="str">
        <f>VLOOKUP(B37,Family!B:C,2,FALSE)</f>
        <v>A</v>
      </c>
      <c r="D37" s="15">
        <v>54</v>
      </c>
      <c r="E37" s="14">
        <f>ROUND(VLOOKUP(C37,'Production Plan'!A:B,2,FALSE),2)</f>
        <v>407.17</v>
      </c>
      <c r="F37" s="16">
        <v>45674</v>
      </c>
      <c r="G37" s="17">
        <f>F37+6*7</f>
        <v>45716</v>
      </c>
      <c r="H37" s="14">
        <f>G37-F37</f>
        <v>42</v>
      </c>
      <c r="I37" s="14">
        <f>ROUND(D37/E37,3)</f>
        <v>0.13300000000000001</v>
      </c>
      <c r="J37" s="14">
        <f>I37*24</f>
        <v>3.1920000000000002</v>
      </c>
      <c r="K37" s="14">
        <f>VLOOKUP($C37,Rotation!$A$2:$J$10,2,FALSE)</f>
        <v>1</v>
      </c>
      <c r="L37" s="14">
        <f>VLOOKUP($C37,Rotation!$A$2:$J$10,3,FALSE)</f>
        <v>1</v>
      </c>
      <c r="M37" s="14">
        <f>VLOOKUP($C37,Rotation!$A$2:$J$10,4,FALSE)</f>
        <v>1</v>
      </c>
      <c r="N37" s="14">
        <f>VLOOKUP($C37,Rotation!$A$2:$J$10,5,FALSE)</f>
        <v>0</v>
      </c>
      <c r="O37" s="14">
        <f>VLOOKUP($C37,Rotation!$A$2:$J$10,6,FALSE)</f>
        <v>0</v>
      </c>
      <c r="P37" s="14">
        <f>VLOOKUP($C37,Rotation!$A$2:$J$10,7,FALSE)</f>
        <v>0</v>
      </c>
      <c r="Q37" s="14">
        <f>VLOOKUP($C37,Rotation!$A$2:$J$10,8,FALSE)</f>
        <v>0</v>
      </c>
      <c r="R37" s="14">
        <f>VLOOKUP($C37,Rotation!$A$2:$J$10,9,FALSE)</f>
        <v>0</v>
      </c>
      <c r="S37" s="14">
        <f>VLOOKUP($C37,Rotation!$A$2:$J$10,10,FALSE)</f>
        <v>0</v>
      </c>
    </row>
    <row r="38" spans="1:19" ht="18">
      <c r="A38" s="14">
        <v>36</v>
      </c>
      <c r="B38" s="14" t="s">
        <v>66</v>
      </c>
      <c r="C38" s="14" t="str">
        <f>VLOOKUP(B38,Family!B:C,2,FALSE)</f>
        <v>A</v>
      </c>
      <c r="D38" s="15">
        <v>54</v>
      </c>
      <c r="E38" s="14">
        <f>ROUND(VLOOKUP(C38,'Production Plan'!A:B,2,FALSE),2)</f>
        <v>407.17</v>
      </c>
      <c r="F38" s="16">
        <v>45674</v>
      </c>
      <c r="G38" s="17">
        <f>F38+6*7</f>
        <v>45716</v>
      </c>
      <c r="H38" s="14">
        <f>G38-F38</f>
        <v>42</v>
      </c>
      <c r="I38" s="14">
        <f>ROUND(D38/E38,3)</f>
        <v>0.13300000000000001</v>
      </c>
      <c r="J38" s="14">
        <f>I38*24</f>
        <v>3.1920000000000002</v>
      </c>
      <c r="K38" s="14">
        <f>VLOOKUP($C38,Rotation!$A$2:$J$10,2,FALSE)</f>
        <v>1</v>
      </c>
      <c r="L38" s="14">
        <f>VLOOKUP($C38,Rotation!$A$2:$J$10,3,FALSE)</f>
        <v>1</v>
      </c>
      <c r="M38" s="14">
        <f>VLOOKUP($C38,Rotation!$A$2:$J$10,4,FALSE)</f>
        <v>1</v>
      </c>
      <c r="N38" s="14">
        <f>VLOOKUP($C38,Rotation!$A$2:$J$10,5,FALSE)</f>
        <v>0</v>
      </c>
      <c r="O38" s="14">
        <f>VLOOKUP($C38,Rotation!$A$2:$J$10,6,FALSE)</f>
        <v>0</v>
      </c>
      <c r="P38" s="14">
        <f>VLOOKUP($C38,Rotation!$A$2:$J$10,7,FALSE)</f>
        <v>0</v>
      </c>
      <c r="Q38" s="14">
        <f>VLOOKUP($C38,Rotation!$A$2:$J$10,8,FALSE)</f>
        <v>0</v>
      </c>
      <c r="R38" s="14">
        <f>VLOOKUP($C38,Rotation!$A$2:$J$10,9,FALSE)</f>
        <v>0</v>
      </c>
      <c r="S38" s="14">
        <f>VLOOKUP($C38,Rotation!$A$2:$J$10,10,FALSE)</f>
        <v>0</v>
      </c>
    </row>
    <row r="39" spans="1:19" ht="18">
      <c r="A39" s="14">
        <v>37</v>
      </c>
      <c r="B39" s="14" t="s">
        <v>65</v>
      </c>
      <c r="C39" s="14" t="str">
        <f>VLOOKUP(B39,Family!B:C,2,FALSE)</f>
        <v>A</v>
      </c>
      <c r="D39" s="15">
        <v>38</v>
      </c>
      <c r="E39" s="14">
        <f>ROUND(VLOOKUP(C39,'Production Plan'!A:B,2,FALSE),2)</f>
        <v>407.17</v>
      </c>
      <c r="F39" s="16">
        <v>45679</v>
      </c>
      <c r="G39" s="17">
        <f>F39+6*7</f>
        <v>45721</v>
      </c>
      <c r="H39" s="14">
        <f>G39-F39</f>
        <v>42</v>
      </c>
      <c r="I39" s="14">
        <f>ROUND(D39/E39,3)</f>
        <v>9.2999999999999999E-2</v>
      </c>
      <c r="J39" s="14">
        <f>I39*24</f>
        <v>2.2320000000000002</v>
      </c>
      <c r="K39" s="14">
        <f>VLOOKUP($C39,Rotation!$A$2:$J$10,2,FALSE)</f>
        <v>1</v>
      </c>
      <c r="L39" s="14">
        <f>VLOOKUP($C39,Rotation!$A$2:$J$10,3,FALSE)</f>
        <v>1</v>
      </c>
      <c r="M39" s="14">
        <f>VLOOKUP($C39,Rotation!$A$2:$J$10,4,FALSE)</f>
        <v>1</v>
      </c>
      <c r="N39" s="14">
        <f>VLOOKUP($C39,Rotation!$A$2:$J$10,5,FALSE)</f>
        <v>0</v>
      </c>
      <c r="O39" s="14">
        <f>VLOOKUP($C39,Rotation!$A$2:$J$10,6,FALSE)</f>
        <v>0</v>
      </c>
      <c r="P39" s="14">
        <f>VLOOKUP($C39,Rotation!$A$2:$J$10,7,FALSE)</f>
        <v>0</v>
      </c>
      <c r="Q39" s="14">
        <f>VLOOKUP($C39,Rotation!$A$2:$J$10,8,FALSE)</f>
        <v>0</v>
      </c>
      <c r="R39" s="14">
        <f>VLOOKUP($C39,Rotation!$A$2:$J$10,9,FALSE)</f>
        <v>0</v>
      </c>
      <c r="S39" s="14">
        <f>VLOOKUP($C39,Rotation!$A$2:$J$10,10,FALSE)</f>
        <v>0</v>
      </c>
    </row>
    <row r="40" spans="1:19" ht="18">
      <c r="A40" s="14">
        <v>38</v>
      </c>
      <c r="B40" s="14" t="s">
        <v>112</v>
      </c>
      <c r="C40" s="14" t="str">
        <f>VLOOKUP(B40,Family!B:C,2,FALSE)</f>
        <v>N</v>
      </c>
      <c r="D40" s="15">
        <v>70</v>
      </c>
      <c r="E40" s="14">
        <f>ROUND(VLOOKUP(C40,'Production Plan'!A:B,2,FALSE),2)</f>
        <v>334.18</v>
      </c>
      <c r="F40" s="16">
        <v>45678</v>
      </c>
      <c r="G40" s="17">
        <f>F40+6*7</f>
        <v>45720</v>
      </c>
      <c r="H40" s="14">
        <f>G40-F40</f>
        <v>42</v>
      </c>
      <c r="I40" s="14">
        <f>ROUND(D40/E40,3)</f>
        <v>0.20899999999999999</v>
      </c>
      <c r="J40" s="14">
        <f>I40*24</f>
        <v>5.016</v>
      </c>
      <c r="K40" s="14">
        <f>VLOOKUP($C40,Rotation!$A$2:$J$10,2,FALSE)</f>
        <v>1</v>
      </c>
      <c r="L40" s="14">
        <f>VLOOKUP($C40,Rotation!$A$2:$J$10,3,FALSE)</f>
        <v>0</v>
      </c>
      <c r="M40" s="14">
        <f>VLOOKUP($C40,Rotation!$A$2:$J$10,4,FALSE)</f>
        <v>0</v>
      </c>
      <c r="N40" s="14">
        <f>VLOOKUP($C40,Rotation!$A$2:$J$10,5,FALSE)</f>
        <v>0</v>
      </c>
      <c r="O40" s="14">
        <f>VLOOKUP($C40,Rotation!$A$2:$J$10,6,FALSE)</f>
        <v>0</v>
      </c>
      <c r="P40" s="14">
        <f>VLOOKUP($C40,Rotation!$A$2:$J$10,7,FALSE)</f>
        <v>0</v>
      </c>
      <c r="Q40" s="14">
        <f>VLOOKUP($C40,Rotation!$A$2:$J$10,8,FALSE)</f>
        <v>1</v>
      </c>
      <c r="R40" s="14">
        <f>VLOOKUP($C40,Rotation!$A$2:$J$10,9,FALSE)</f>
        <v>0</v>
      </c>
      <c r="S40" s="14">
        <f>VLOOKUP($C40,Rotation!$A$2:$J$10,10,FALSE)</f>
        <v>0</v>
      </c>
    </row>
    <row r="41" spans="1:19" ht="18">
      <c r="A41" s="14">
        <v>39</v>
      </c>
      <c r="B41" s="14" t="s">
        <v>64</v>
      </c>
      <c r="C41" s="14" t="str">
        <f>VLOOKUP(B41,Family!B:C,2,FALSE)</f>
        <v>A</v>
      </c>
      <c r="D41" s="15">
        <v>111</v>
      </c>
      <c r="E41" s="14">
        <f>ROUND(VLOOKUP(C41,'Production Plan'!A:B,2,FALSE),2)</f>
        <v>407.17</v>
      </c>
      <c r="F41" s="16">
        <v>45681</v>
      </c>
      <c r="G41" s="17">
        <f>F41+6*7</f>
        <v>45723</v>
      </c>
      <c r="H41" s="14">
        <f>G41-F41</f>
        <v>42</v>
      </c>
      <c r="I41" s="14">
        <f>ROUND(D41/E41,3)</f>
        <v>0.27300000000000002</v>
      </c>
      <c r="J41" s="14">
        <f>I41*24</f>
        <v>6.5520000000000005</v>
      </c>
      <c r="K41" s="14">
        <f>VLOOKUP($C41,Rotation!$A$2:$J$10,2,FALSE)</f>
        <v>1</v>
      </c>
      <c r="L41" s="14">
        <f>VLOOKUP($C41,Rotation!$A$2:$J$10,3,FALSE)</f>
        <v>1</v>
      </c>
      <c r="M41" s="14">
        <f>VLOOKUP($C41,Rotation!$A$2:$J$10,4,FALSE)</f>
        <v>1</v>
      </c>
      <c r="N41" s="14">
        <f>VLOOKUP($C41,Rotation!$A$2:$J$10,5,FALSE)</f>
        <v>0</v>
      </c>
      <c r="O41" s="14">
        <f>VLOOKUP($C41,Rotation!$A$2:$J$10,6,FALSE)</f>
        <v>0</v>
      </c>
      <c r="P41" s="14">
        <f>VLOOKUP($C41,Rotation!$A$2:$J$10,7,FALSE)</f>
        <v>0</v>
      </c>
      <c r="Q41" s="14">
        <f>VLOOKUP($C41,Rotation!$A$2:$J$10,8,FALSE)</f>
        <v>0</v>
      </c>
      <c r="R41" s="14">
        <f>VLOOKUP($C41,Rotation!$A$2:$J$10,9,FALSE)</f>
        <v>0</v>
      </c>
      <c r="S41" s="14">
        <f>VLOOKUP($C41,Rotation!$A$2:$J$10,10,FALSE)</f>
        <v>0</v>
      </c>
    </row>
    <row r="42" spans="1:19" ht="18">
      <c r="A42" s="14">
        <v>40</v>
      </c>
      <c r="B42" s="14" t="s">
        <v>65</v>
      </c>
      <c r="C42" s="14" t="str">
        <f>VLOOKUP(B42,Family!B:C,2,FALSE)</f>
        <v>A</v>
      </c>
      <c r="D42" s="15">
        <v>38</v>
      </c>
      <c r="E42" s="14">
        <f>ROUND(VLOOKUP(C42,'Production Plan'!A:B,2,FALSE),2)</f>
        <v>407.17</v>
      </c>
      <c r="F42" s="16">
        <v>45679</v>
      </c>
      <c r="G42" s="17">
        <f>F42+6*7</f>
        <v>45721</v>
      </c>
      <c r="H42" s="14">
        <f>G42-F42</f>
        <v>42</v>
      </c>
      <c r="I42" s="14">
        <f>ROUND(D42/E42,3)</f>
        <v>9.2999999999999999E-2</v>
      </c>
      <c r="J42" s="14">
        <f>I42*24</f>
        <v>2.2320000000000002</v>
      </c>
      <c r="K42" s="14">
        <f>VLOOKUP($C42,Rotation!$A$2:$J$10,2,FALSE)</f>
        <v>1</v>
      </c>
      <c r="L42" s="14">
        <f>VLOOKUP($C42,Rotation!$A$2:$J$10,3,FALSE)</f>
        <v>1</v>
      </c>
      <c r="M42" s="14">
        <f>VLOOKUP($C42,Rotation!$A$2:$J$10,4,FALSE)</f>
        <v>1</v>
      </c>
      <c r="N42" s="14">
        <f>VLOOKUP($C42,Rotation!$A$2:$J$10,5,FALSE)</f>
        <v>0</v>
      </c>
      <c r="O42" s="14">
        <f>VLOOKUP($C42,Rotation!$A$2:$J$10,6,FALSE)</f>
        <v>0</v>
      </c>
      <c r="P42" s="14">
        <f>VLOOKUP($C42,Rotation!$A$2:$J$10,7,FALSE)</f>
        <v>0</v>
      </c>
      <c r="Q42" s="14">
        <f>VLOOKUP($C42,Rotation!$A$2:$J$10,8,FALSE)</f>
        <v>0</v>
      </c>
      <c r="R42" s="14">
        <f>VLOOKUP($C42,Rotation!$A$2:$J$10,9,FALSE)</f>
        <v>0</v>
      </c>
      <c r="S42" s="14">
        <f>VLOOKUP($C42,Rotation!$A$2:$J$10,10,FALSE)</f>
        <v>0</v>
      </c>
    </row>
    <row r="43" spans="1:19" ht="18">
      <c r="A43" s="14">
        <v>41</v>
      </c>
      <c r="B43" s="14" t="s">
        <v>64</v>
      </c>
      <c r="C43" s="14" t="str">
        <f>VLOOKUP(B43,Family!B:C,2,FALSE)</f>
        <v>A</v>
      </c>
      <c r="D43" s="15">
        <v>111</v>
      </c>
      <c r="E43" s="14">
        <f>ROUND(VLOOKUP(C43,'Production Plan'!A:B,2,FALSE),2)</f>
        <v>407.17</v>
      </c>
      <c r="F43" s="16">
        <v>45681</v>
      </c>
      <c r="G43" s="17">
        <f>F43+6*7</f>
        <v>45723</v>
      </c>
      <c r="H43" s="14">
        <f>G43-F43</f>
        <v>42</v>
      </c>
      <c r="I43" s="14">
        <f>ROUND(D43/E43,3)</f>
        <v>0.27300000000000002</v>
      </c>
      <c r="J43" s="14">
        <f>I43*24</f>
        <v>6.5520000000000005</v>
      </c>
      <c r="K43" s="14">
        <f>VLOOKUP($C43,Rotation!$A$2:$J$10,2,FALSE)</f>
        <v>1</v>
      </c>
      <c r="L43" s="14">
        <f>VLOOKUP($C43,Rotation!$A$2:$J$10,3,FALSE)</f>
        <v>1</v>
      </c>
      <c r="M43" s="14">
        <f>VLOOKUP($C43,Rotation!$A$2:$J$10,4,FALSE)</f>
        <v>1</v>
      </c>
      <c r="N43" s="14">
        <f>VLOOKUP($C43,Rotation!$A$2:$J$10,5,FALSE)</f>
        <v>0</v>
      </c>
      <c r="O43" s="14">
        <f>VLOOKUP($C43,Rotation!$A$2:$J$10,6,FALSE)</f>
        <v>0</v>
      </c>
      <c r="P43" s="14">
        <f>VLOOKUP($C43,Rotation!$A$2:$J$10,7,FALSE)</f>
        <v>0</v>
      </c>
      <c r="Q43" s="14">
        <f>VLOOKUP($C43,Rotation!$A$2:$J$10,8,FALSE)</f>
        <v>0</v>
      </c>
      <c r="R43" s="14">
        <f>VLOOKUP($C43,Rotation!$A$2:$J$10,9,FALSE)</f>
        <v>0</v>
      </c>
      <c r="S43" s="14">
        <f>VLOOKUP($C43,Rotation!$A$2:$J$10,10,FALSE)</f>
        <v>0</v>
      </c>
    </row>
    <row r="44" spans="1:19" ht="18">
      <c r="A44" s="14">
        <v>42</v>
      </c>
      <c r="B44" s="14" t="s">
        <v>65</v>
      </c>
      <c r="C44" s="14" t="str">
        <f>VLOOKUP(B44,Family!B:C,2,FALSE)</f>
        <v>A</v>
      </c>
      <c r="D44" s="15">
        <v>19</v>
      </c>
      <c r="E44" s="14">
        <f>ROUND(VLOOKUP(C44,'Production Plan'!A:B,2,FALSE),2)</f>
        <v>407.17</v>
      </c>
      <c r="F44" s="16">
        <v>45679</v>
      </c>
      <c r="G44" s="17">
        <f>F44+6*7</f>
        <v>45721</v>
      </c>
      <c r="H44" s="14">
        <f>G44-F44</f>
        <v>42</v>
      </c>
      <c r="I44" s="14">
        <f>ROUND(D44/E44,3)</f>
        <v>4.7E-2</v>
      </c>
      <c r="J44" s="14">
        <f>I44*24</f>
        <v>1.1280000000000001</v>
      </c>
      <c r="K44" s="14">
        <f>VLOOKUP($C44,Rotation!$A$2:$J$10,2,FALSE)</f>
        <v>1</v>
      </c>
      <c r="L44" s="14">
        <f>VLOOKUP($C44,Rotation!$A$2:$J$10,3,FALSE)</f>
        <v>1</v>
      </c>
      <c r="M44" s="14">
        <f>VLOOKUP($C44,Rotation!$A$2:$J$10,4,FALSE)</f>
        <v>1</v>
      </c>
      <c r="N44" s="14">
        <f>VLOOKUP($C44,Rotation!$A$2:$J$10,5,FALSE)</f>
        <v>0</v>
      </c>
      <c r="O44" s="14">
        <f>VLOOKUP($C44,Rotation!$A$2:$J$10,6,FALSE)</f>
        <v>0</v>
      </c>
      <c r="P44" s="14">
        <f>VLOOKUP($C44,Rotation!$A$2:$J$10,7,FALSE)</f>
        <v>0</v>
      </c>
      <c r="Q44" s="14">
        <f>VLOOKUP($C44,Rotation!$A$2:$J$10,8,FALSE)</f>
        <v>0</v>
      </c>
      <c r="R44" s="14">
        <f>VLOOKUP($C44,Rotation!$A$2:$J$10,9,FALSE)</f>
        <v>0</v>
      </c>
      <c r="S44" s="14">
        <f>VLOOKUP($C44,Rotation!$A$2:$J$10,10,FALSE)</f>
        <v>0</v>
      </c>
    </row>
    <row r="45" spans="1:19" ht="18">
      <c r="A45" s="14">
        <v>43</v>
      </c>
      <c r="B45" s="14" t="s">
        <v>64</v>
      </c>
      <c r="C45" s="14" t="str">
        <f>VLOOKUP(B45,Family!B:C,2,FALSE)</f>
        <v>A</v>
      </c>
      <c r="D45" s="15">
        <v>111</v>
      </c>
      <c r="E45" s="14">
        <f>ROUND(VLOOKUP(C45,'Production Plan'!A:B,2,FALSE),2)</f>
        <v>407.17</v>
      </c>
      <c r="F45" s="16">
        <v>45681</v>
      </c>
      <c r="G45" s="17">
        <f>F45+6*7</f>
        <v>45723</v>
      </c>
      <c r="H45" s="14">
        <f>G45-F45</f>
        <v>42</v>
      </c>
      <c r="I45" s="14">
        <f>ROUND(D45/E45,3)</f>
        <v>0.27300000000000002</v>
      </c>
      <c r="J45" s="14">
        <f>I45*24</f>
        <v>6.5520000000000005</v>
      </c>
      <c r="K45" s="14">
        <f>VLOOKUP($C45,Rotation!$A$2:$J$10,2,FALSE)</f>
        <v>1</v>
      </c>
      <c r="L45" s="14">
        <f>VLOOKUP($C45,Rotation!$A$2:$J$10,3,FALSE)</f>
        <v>1</v>
      </c>
      <c r="M45" s="14">
        <f>VLOOKUP($C45,Rotation!$A$2:$J$10,4,FALSE)</f>
        <v>1</v>
      </c>
      <c r="N45" s="14">
        <f>VLOOKUP($C45,Rotation!$A$2:$J$10,5,FALSE)</f>
        <v>0</v>
      </c>
      <c r="O45" s="14">
        <f>VLOOKUP($C45,Rotation!$A$2:$J$10,6,FALSE)</f>
        <v>0</v>
      </c>
      <c r="P45" s="14">
        <f>VLOOKUP($C45,Rotation!$A$2:$J$10,7,FALSE)</f>
        <v>0</v>
      </c>
      <c r="Q45" s="14">
        <f>VLOOKUP($C45,Rotation!$A$2:$J$10,8,FALSE)</f>
        <v>0</v>
      </c>
      <c r="R45" s="14">
        <f>VLOOKUP($C45,Rotation!$A$2:$J$10,9,FALSE)</f>
        <v>0</v>
      </c>
      <c r="S45" s="14">
        <f>VLOOKUP($C45,Rotation!$A$2:$J$10,10,FALSE)</f>
        <v>0</v>
      </c>
    </row>
    <row r="46" spans="1:19" ht="18">
      <c r="A46" s="14">
        <v>44</v>
      </c>
      <c r="B46" s="14" t="s">
        <v>76</v>
      </c>
      <c r="C46" s="14" t="str">
        <f>VLOOKUP(B46,Family!B:C,2,FALSE)</f>
        <v>C</v>
      </c>
      <c r="D46" s="15">
        <v>18</v>
      </c>
      <c r="E46" s="14">
        <f>ROUND(VLOOKUP(C46,'Production Plan'!A:B,2,FALSE),2)</f>
        <v>411.11</v>
      </c>
      <c r="F46" s="16">
        <v>45698</v>
      </c>
      <c r="G46" s="17">
        <f>F46+6*7</f>
        <v>45740</v>
      </c>
      <c r="H46" s="14">
        <f>G46-F46</f>
        <v>42</v>
      </c>
      <c r="I46" s="14">
        <f>ROUND(D46/E46,3)</f>
        <v>4.3999999999999997E-2</v>
      </c>
      <c r="J46" s="14">
        <f>I46*24</f>
        <v>1.056</v>
      </c>
      <c r="K46" s="14">
        <f>VLOOKUP($C46,Rotation!$A$2:$J$10,2,FALSE)</f>
        <v>1</v>
      </c>
      <c r="L46" s="14">
        <f>VLOOKUP($C46,Rotation!$A$2:$J$10,3,FALSE)</f>
        <v>0</v>
      </c>
      <c r="M46" s="14">
        <f>VLOOKUP($C46,Rotation!$A$2:$J$10,4,FALSE)</f>
        <v>0</v>
      </c>
      <c r="N46" s="14">
        <f>VLOOKUP($C46,Rotation!$A$2:$J$10,5,FALSE)</f>
        <v>0</v>
      </c>
      <c r="O46" s="14">
        <f>VLOOKUP($C46,Rotation!$A$2:$J$10,6,FALSE)</f>
        <v>1</v>
      </c>
      <c r="P46" s="14">
        <f>VLOOKUP($C46,Rotation!$A$2:$J$10,7,FALSE)</f>
        <v>0</v>
      </c>
      <c r="Q46" s="14">
        <f>VLOOKUP($C46,Rotation!$A$2:$J$10,8,FALSE)</f>
        <v>0</v>
      </c>
      <c r="R46" s="14">
        <f>VLOOKUP($C46,Rotation!$A$2:$J$10,9,FALSE)</f>
        <v>0</v>
      </c>
      <c r="S46" s="14">
        <f>VLOOKUP($C46,Rotation!$A$2:$J$10,10,FALSE)</f>
        <v>0</v>
      </c>
    </row>
    <row r="47" spans="1:19" ht="18">
      <c r="A47" s="14">
        <v>45</v>
      </c>
      <c r="B47" s="14" t="s">
        <v>64</v>
      </c>
      <c r="C47" s="14" t="str">
        <f>VLOOKUP(B47,Family!B:C,2,FALSE)</f>
        <v>A</v>
      </c>
      <c r="D47" s="15">
        <v>18</v>
      </c>
      <c r="E47" s="14">
        <f>ROUND(VLOOKUP(C47,'Production Plan'!A:B,2,FALSE),2)</f>
        <v>407.17</v>
      </c>
      <c r="F47" s="16">
        <v>45699</v>
      </c>
      <c r="G47" s="17">
        <f>F47+6*7</f>
        <v>45741</v>
      </c>
      <c r="H47" s="14">
        <f>G47-F47</f>
        <v>42</v>
      </c>
      <c r="I47" s="14">
        <f>ROUND(D47/E47,3)</f>
        <v>4.3999999999999997E-2</v>
      </c>
      <c r="J47" s="14">
        <f>I47*24</f>
        <v>1.056</v>
      </c>
      <c r="K47" s="14">
        <f>VLOOKUP($C47,Rotation!$A$2:$J$10,2,FALSE)</f>
        <v>1</v>
      </c>
      <c r="L47" s="14">
        <f>VLOOKUP($C47,Rotation!$A$2:$J$10,3,FALSE)</f>
        <v>1</v>
      </c>
      <c r="M47" s="14">
        <f>VLOOKUP($C47,Rotation!$A$2:$J$10,4,FALSE)</f>
        <v>1</v>
      </c>
      <c r="N47" s="14">
        <f>VLOOKUP($C47,Rotation!$A$2:$J$10,5,FALSE)</f>
        <v>0</v>
      </c>
      <c r="O47" s="14">
        <f>VLOOKUP($C47,Rotation!$A$2:$J$10,6,FALSE)</f>
        <v>0</v>
      </c>
      <c r="P47" s="14">
        <f>VLOOKUP($C47,Rotation!$A$2:$J$10,7,FALSE)</f>
        <v>0</v>
      </c>
      <c r="Q47" s="14">
        <f>VLOOKUP($C47,Rotation!$A$2:$J$10,8,FALSE)</f>
        <v>0</v>
      </c>
      <c r="R47" s="14">
        <f>VLOOKUP($C47,Rotation!$A$2:$J$10,9,FALSE)</f>
        <v>0</v>
      </c>
      <c r="S47" s="14">
        <f>VLOOKUP($C47,Rotation!$A$2:$J$10,10,FALSE)</f>
        <v>0</v>
      </c>
    </row>
    <row r="48" spans="1:19" ht="18">
      <c r="A48" s="14">
        <v>46</v>
      </c>
      <c r="B48" s="14" t="s">
        <v>64</v>
      </c>
      <c r="C48" s="14" t="str">
        <f>VLOOKUP(B48,Family!B:C,2,FALSE)</f>
        <v>A</v>
      </c>
      <c r="D48" s="15">
        <v>18</v>
      </c>
      <c r="E48" s="14">
        <f>ROUND(VLOOKUP(C48,'Production Plan'!A:B,2,FALSE),2)</f>
        <v>407.17</v>
      </c>
      <c r="F48" s="16">
        <v>45699</v>
      </c>
      <c r="G48" s="17">
        <f>F48+6*7</f>
        <v>45741</v>
      </c>
      <c r="H48" s="14">
        <f>G48-F48</f>
        <v>42</v>
      </c>
      <c r="I48" s="14">
        <f>ROUND(D48/E48,3)</f>
        <v>4.3999999999999997E-2</v>
      </c>
      <c r="J48" s="14">
        <f>I48*24</f>
        <v>1.056</v>
      </c>
      <c r="K48" s="14">
        <f>VLOOKUP($C48,Rotation!$A$2:$J$10,2,FALSE)</f>
        <v>1</v>
      </c>
      <c r="L48" s="14">
        <f>VLOOKUP($C48,Rotation!$A$2:$J$10,3,FALSE)</f>
        <v>1</v>
      </c>
      <c r="M48" s="14">
        <f>VLOOKUP($C48,Rotation!$A$2:$J$10,4,FALSE)</f>
        <v>1</v>
      </c>
      <c r="N48" s="14">
        <f>VLOOKUP($C48,Rotation!$A$2:$J$10,5,FALSE)</f>
        <v>0</v>
      </c>
      <c r="O48" s="14">
        <f>VLOOKUP($C48,Rotation!$A$2:$J$10,6,FALSE)</f>
        <v>0</v>
      </c>
      <c r="P48" s="14">
        <f>VLOOKUP($C48,Rotation!$A$2:$J$10,7,FALSE)</f>
        <v>0</v>
      </c>
      <c r="Q48" s="14">
        <f>VLOOKUP($C48,Rotation!$A$2:$J$10,8,FALSE)</f>
        <v>0</v>
      </c>
      <c r="R48" s="14">
        <f>VLOOKUP($C48,Rotation!$A$2:$J$10,9,FALSE)</f>
        <v>0</v>
      </c>
      <c r="S48" s="14">
        <f>VLOOKUP($C48,Rotation!$A$2:$J$10,10,FALSE)</f>
        <v>0</v>
      </c>
    </row>
    <row r="49" spans="1:19" ht="18">
      <c r="A49" s="14">
        <v>47</v>
      </c>
      <c r="B49" s="14" t="s">
        <v>64</v>
      </c>
      <c r="C49" s="14" t="str">
        <f>VLOOKUP(B49,Family!B:C,2,FALSE)</f>
        <v>A</v>
      </c>
      <c r="D49" s="15">
        <v>18</v>
      </c>
      <c r="E49" s="14">
        <f>ROUND(VLOOKUP(C49,'Production Plan'!A:B,2,FALSE),2)</f>
        <v>407.17</v>
      </c>
      <c r="F49" s="16">
        <v>45699</v>
      </c>
      <c r="G49" s="17">
        <f>F49+6*7</f>
        <v>45741</v>
      </c>
      <c r="H49" s="14">
        <f>G49-F49</f>
        <v>42</v>
      </c>
      <c r="I49" s="14">
        <f>ROUND(D49/E49,3)</f>
        <v>4.3999999999999997E-2</v>
      </c>
      <c r="J49" s="14">
        <f>I49*24</f>
        <v>1.056</v>
      </c>
      <c r="K49" s="14">
        <f>VLOOKUP($C49,Rotation!$A$2:$J$10,2,FALSE)</f>
        <v>1</v>
      </c>
      <c r="L49" s="14">
        <f>VLOOKUP($C49,Rotation!$A$2:$J$10,3,FALSE)</f>
        <v>1</v>
      </c>
      <c r="M49" s="14">
        <f>VLOOKUP($C49,Rotation!$A$2:$J$10,4,FALSE)</f>
        <v>1</v>
      </c>
      <c r="N49" s="14">
        <f>VLOOKUP($C49,Rotation!$A$2:$J$10,5,FALSE)</f>
        <v>0</v>
      </c>
      <c r="O49" s="14">
        <f>VLOOKUP($C49,Rotation!$A$2:$J$10,6,FALSE)</f>
        <v>0</v>
      </c>
      <c r="P49" s="14">
        <f>VLOOKUP($C49,Rotation!$A$2:$J$10,7,FALSE)</f>
        <v>0</v>
      </c>
      <c r="Q49" s="14">
        <f>VLOOKUP($C49,Rotation!$A$2:$J$10,8,FALSE)</f>
        <v>0</v>
      </c>
      <c r="R49" s="14">
        <f>VLOOKUP($C49,Rotation!$A$2:$J$10,9,FALSE)</f>
        <v>0</v>
      </c>
      <c r="S49" s="14">
        <f>VLOOKUP($C49,Rotation!$A$2:$J$10,10,FALSE)</f>
        <v>0</v>
      </c>
    </row>
    <row r="50" spans="1:19" ht="18">
      <c r="A50" s="14">
        <v>48</v>
      </c>
      <c r="B50" s="14" t="s">
        <v>64</v>
      </c>
      <c r="C50" s="14" t="str">
        <f>VLOOKUP(B50,Family!B:C,2,FALSE)</f>
        <v>A</v>
      </c>
      <c r="D50" s="15">
        <v>18</v>
      </c>
      <c r="E50" s="14">
        <f>ROUND(VLOOKUP(C50,'Production Plan'!A:B,2,FALSE),2)</f>
        <v>407.17</v>
      </c>
      <c r="F50" s="16">
        <v>45699</v>
      </c>
      <c r="G50" s="17">
        <f>F50+6*7</f>
        <v>45741</v>
      </c>
      <c r="H50" s="14">
        <f>G50-F50</f>
        <v>42</v>
      </c>
      <c r="I50" s="14">
        <f>ROUND(D50/E50,3)</f>
        <v>4.3999999999999997E-2</v>
      </c>
      <c r="J50" s="14">
        <f>I50*24</f>
        <v>1.056</v>
      </c>
      <c r="K50" s="14">
        <f>VLOOKUP($C50,Rotation!$A$2:$J$10,2,FALSE)</f>
        <v>1</v>
      </c>
      <c r="L50" s="14">
        <f>VLOOKUP($C50,Rotation!$A$2:$J$10,3,FALSE)</f>
        <v>1</v>
      </c>
      <c r="M50" s="14">
        <f>VLOOKUP($C50,Rotation!$A$2:$J$10,4,FALSE)</f>
        <v>1</v>
      </c>
      <c r="N50" s="14">
        <f>VLOOKUP($C50,Rotation!$A$2:$J$10,5,FALSE)</f>
        <v>0</v>
      </c>
      <c r="O50" s="14">
        <f>VLOOKUP($C50,Rotation!$A$2:$J$10,6,FALSE)</f>
        <v>0</v>
      </c>
      <c r="P50" s="14">
        <f>VLOOKUP($C50,Rotation!$A$2:$J$10,7,FALSE)</f>
        <v>0</v>
      </c>
      <c r="Q50" s="14">
        <f>VLOOKUP($C50,Rotation!$A$2:$J$10,8,FALSE)</f>
        <v>0</v>
      </c>
      <c r="R50" s="14">
        <f>VLOOKUP($C50,Rotation!$A$2:$J$10,9,FALSE)</f>
        <v>0</v>
      </c>
      <c r="S50" s="14">
        <f>VLOOKUP($C50,Rotation!$A$2:$J$10,10,FALSE)</f>
        <v>0</v>
      </c>
    </row>
    <row r="51" spans="1:19" ht="18">
      <c r="A51" s="14">
        <v>49</v>
      </c>
      <c r="B51" s="14" t="s">
        <v>64</v>
      </c>
      <c r="C51" s="14" t="str">
        <f>VLOOKUP(B51,Family!B:C,2,FALSE)</f>
        <v>A</v>
      </c>
      <c r="D51" s="15">
        <v>18</v>
      </c>
      <c r="E51" s="14">
        <f>ROUND(VLOOKUP(C51,'Production Plan'!A:B,2,FALSE),2)</f>
        <v>407.17</v>
      </c>
      <c r="F51" s="16">
        <v>45699</v>
      </c>
      <c r="G51" s="17">
        <f>F51+6*7</f>
        <v>45741</v>
      </c>
      <c r="H51" s="14">
        <f>G51-F51</f>
        <v>42</v>
      </c>
      <c r="I51" s="14">
        <f>ROUND(D51/E51,3)</f>
        <v>4.3999999999999997E-2</v>
      </c>
      <c r="J51" s="14">
        <f>I51*24</f>
        <v>1.056</v>
      </c>
      <c r="K51" s="14">
        <f>VLOOKUP($C51,Rotation!$A$2:$J$10,2,FALSE)</f>
        <v>1</v>
      </c>
      <c r="L51" s="14">
        <f>VLOOKUP($C51,Rotation!$A$2:$J$10,3,FALSE)</f>
        <v>1</v>
      </c>
      <c r="M51" s="14">
        <f>VLOOKUP($C51,Rotation!$A$2:$J$10,4,FALSE)</f>
        <v>1</v>
      </c>
      <c r="N51" s="14">
        <f>VLOOKUP($C51,Rotation!$A$2:$J$10,5,FALSE)</f>
        <v>0</v>
      </c>
      <c r="O51" s="14">
        <f>VLOOKUP($C51,Rotation!$A$2:$J$10,6,FALSE)</f>
        <v>0</v>
      </c>
      <c r="P51" s="14">
        <f>VLOOKUP($C51,Rotation!$A$2:$J$10,7,FALSE)</f>
        <v>0</v>
      </c>
      <c r="Q51" s="14">
        <f>VLOOKUP($C51,Rotation!$A$2:$J$10,8,FALSE)</f>
        <v>0</v>
      </c>
      <c r="R51" s="14">
        <f>VLOOKUP($C51,Rotation!$A$2:$J$10,9,FALSE)</f>
        <v>0</v>
      </c>
      <c r="S51" s="14">
        <f>VLOOKUP($C51,Rotation!$A$2:$J$10,10,FALSE)</f>
        <v>0</v>
      </c>
    </row>
    <row r="52" spans="1:19" ht="18">
      <c r="A52" s="14">
        <v>50</v>
      </c>
      <c r="B52" s="14" t="s">
        <v>64</v>
      </c>
      <c r="C52" s="14" t="str">
        <f>VLOOKUP(B52,Family!B:C,2,FALSE)</f>
        <v>A</v>
      </c>
      <c r="D52" s="15">
        <v>18</v>
      </c>
      <c r="E52" s="14">
        <f>ROUND(VLOOKUP(C52,'Production Plan'!A:B,2,FALSE),2)</f>
        <v>407.17</v>
      </c>
      <c r="F52" s="16">
        <v>45699</v>
      </c>
      <c r="G52" s="17">
        <f>F52+6*7</f>
        <v>45741</v>
      </c>
      <c r="H52" s="14">
        <f>G52-F52</f>
        <v>42</v>
      </c>
      <c r="I52" s="14">
        <f>ROUND(D52/E52,3)</f>
        <v>4.3999999999999997E-2</v>
      </c>
      <c r="J52" s="14">
        <f>I52*24</f>
        <v>1.056</v>
      </c>
      <c r="K52" s="14">
        <f>VLOOKUP($C52,Rotation!$A$2:$J$10,2,FALSE)</f>
        <v>1</v>
      </c>
      <c r="L52" s="14">
        <f>VLOOKUP($C52,Rotation!$A$2:$J$10,3,FALSE)</f>
        <v>1</v>
      </c>
      <c r="M52" s="14">
        <f>VLOOKUP($C52,Rotation!$A$2:$J$10,4,FALSE)</f>
        <v>1</v>
      </c>
      <c r="N52" s="14">
        <f>VLOOKUP($C52,Rotation!$A$2:$J$10,5,FALSE)</f>
        <v>0</v>
      </c>
      <c r="O52" s="14">
        <f>VLOOKUP($C52,Rotation!$A$2:$J$10,6,FALSE)</f>
        <v>0</v>
      </c>
      <c r="P52" s="14">
        <f>VLOOKUP($C52,Rotation!$A$2:$J$10,7,FALSE)</f>
        <v>0</v>
      </c>
      <c r="Q52" s="14">
        <f>VLOOKUP($C52,Rotation!$A$2:$J$10,8,FALSE)</f>
        <v>0</v>
      </c>
      <c r="R52" s="14">
        <f>VLOOKUP($C52,Rotation!$A$2:$J$10,9,FALSE)</f>
        <v>0</v>
      </c>
      <c r="S52" s="14">
        <f>VLOOKUP($C52,Rotation!$A$2:$J$10,10,FALSE)</f>
        <v>0</v>
      </c>
    </row>
    <row r="53" spans="1:19" ht="18">
      <c r="A53" s="14">
        <v>51</v>
      </c>
      <c r="B53" s="14" t="s">
        <v>64</v>
      </c>
      <c r="C53" s="14" t="str">
        <f>VLOOKUP(B53,Family!B:C,2,FALSE)</f>
        <v>A</v>
      </c>
      <c r="D53" s="15">
        <v>18</v>
      </c>
      <c r="E53" s="14">
        <f>ROUND(VLOOKUP(C53,'Production Plan'!A:B,2,FALSE),2)</f>
        <v>407.17</v>
      </c>
      <c r="F53" s="16">
        <v>45699</v>
      </c>
      <c r="G53" s="17">
        <f>F53+6*7</f>
        <v>45741</v>
      </c>
      <c r="H53" s="14">
        <f>G53-F53</f>
        <v>42</v>
      </c>
      <c r="I53" s="14">
        <f>ROUND(D53/E53,3)</f>
        <v>4.3999999999999997E-2</v>
      </c>
      <c r="J53" s="14">
        <f>I53*24</f>
        <v>1.056</v>
      </c>
      <c r="K53" s="14">
        <f>VLOOKUP($C53,Rotation!$A$2:$J$10,2,FALSE)</f>
        <v>1</v>
      </c>
      <c r="L53" s="14">
        <f>VLOOKUP($C53,Rotation!$A$2:$J$10,3,FALSE)</f>
        <v>1</v>
      </c>
      <c r="M53" s="14">
        <f>VLOOKUP($C53,Rotation!$A$2:$J$10,4,FALSE)</f>
        <v>1</v>
      </c>
      <c r="N53" s="14">
        <f>VLOOKUP($C53,Rotation!$A$2:$J$10,5,FALSE)</f>
        <v>0</v>
      </c>
      <c r="O53" s="14">
        <f>VLOOKUP($C53,Rotation!$A$2:$J$10,6,FALSE)</f>
        <v>0</v>
      </c>
      <c r="P53" s="14">
        <f>VLOOKUP($C53,Rotation!$A$2:$J$10,7,FALSE)</f>
        <v>0</v>
      </c>
      <c r="Q53" s="14">
        <f>VLOOKUP($C53,Rotation!$A$2:$J$10,8,FALSE)</f>
        <v>0</v>
      </c>
      <c r="R53" s="14">
        <f>VLOOKUP($C53,Rotation!$A$2:$J$10,9,FALSE)</f>
        <v>0</v>
      </c>
      <c r="S53" s="14">
        <f>VLOOKUP($C53,Rotation!$A$2:$J$10,10,FALSE)</f>
        <v>0</v>
      </c>
    </row>
    <row r="54" spans="1:19" ht="18">
      <c r="A54" s="14">
        <v>52</v>
      </c>
      <c r="B54" s="14" t="s">
        <v>64</v>
      </c>
      <c r="C54" s="14" t="str">
        <f>VLOOKUP(B54,Family!B:C,2,FALSE)</f>
        <v>A</v>
      </c>
      <c r="D54" s="15">
        <v>18</v>
      </c>
      <c r="E54" s="14">
        <f>ROUND(VLOOKUP(C54,'Production Plan'!A:B,2,FALSE),2)</f>
        <v>407.17</v>
      </c>
      <c r="F54" s="16">
        <v>45699</v>
      </c>
      <c r="G54" s="17">
        <f>F54+6*7</f>
        <v>45741</v>
      </c>
      <c r="H54" s="14">
        <f>G54-F54</f>
        <v>42</v>
      </c>
      <c r="I54" s="14">
        <f>ROUND(D54/E54,3)</f>
        <v>4.3999999999999997E-2</v>
      </c>
      <c r="J54" s="14">
        <f>I54*24</f>
        <v>1.056</v>
      </c>
      <c r="K54" s="14">
        <f>VLOOKUP($C54,Rotation!$A$2:$J$10,2,FALSE)</f>
        <v>1</v>
      </c>
      <c r="L54" s="14">
        <f>VLOOKUP($C54,Rotation!$A$2:$J$10,3,FALSE)</f>
        <v>1</v>
      </c>
      <c r="M54" s="14">
        <f>VLOOKUP($C54,Rotation!$A$2:$J$10,4,FALSE)</f>
        <v>1</v>
      </c>
      <c r="N54" s="14">
        <f>VLOOKUP($C54,Rotation!$A$2:$J$10,5,FALSE)</f>
        <v>0</v>
      </c>
      <c r="O54" s="14">
        <f>VLOOKUP($C54,Rotation!$A$2:$J$10,6,FALSE)</f>
        <v>0</v>
      </c>
      <c r="P54" s="14">
        <f>VLOOKUP($C54,Rotation!$A$2:$J$10,7,FALSE)</f>
        <v>0</v>
      </c>
      <c r="Q54" s="14">
        <f>VLOOKUP($C54,Rotation!$A$2:$J$10,8,FALSE)</f>
        <v>0</v>
      </c>
      <c r="R54" s="14">
        <f>VLOOKUP($C54,Rotation!$A$2:$J$10,9,FALSE)</f>
        <v>0</v>
      </c>
      <c r="S54" s="14">
        <f>VLOOKUP($C54,Rotation!$A$2:$J$10,10,FALSE)</f>
        <v>0</v>
      </c>
    </row>
    <row r="55" spans="1:19" ht="18">
      <c r="A55" s="14">
        <v>53</v>
      </c>
      <c r="B55" s="14" t="s">
        <v>94</v>
      </c>
      <c r="C55" s="14" t="str">
        <f>VLOOKUP(B55,Family!B:C,2,FALSE)</f>
        <v>H</v>
      </c>
      <c r="D55" s="15">
        <v>99</v>
      </c>
      <c r="E55" s="14">
        <f>ROUND(VLOOKUP(C55,'Production Plan'!A:B,2,FALSE),2)</f>
        <v>402.02</v>
      </c>
      <c r="F55" s="16">
        <v>45664</v>
      </c>
      <c r="G55" s="17">
        <f>F55+6*7</f>
        <v>45706</v>
      </c>
      <c r="H55" s="14">
        <f>G55-F55</f>
        <v>42</v>
      </c>
      <c r="I55" s="14">
        <f>ROUND(D55/E55,3)</f>
        <v>0.246</v>
      </c>
      <c r="J55" s="14">
        <f>I55*24</f>
        <v>5.9039999999999999</v>
      </c>
      <c r="K55" s="14">
        <f>VLOOKUP($C55,Rotation!$A$2:$J$10,2,FALSE)</f>
        <v>0</v>
      </c>
      <c r="L55" s="14">
        <f>VLOOKUP($C55,Rotation!$A$2:$J$10,3,FALSE)</f>
        <v>0</v>
      </c>
      <c r="M55" s="14">
        <f>VLOOKUP($C55,Rotation!$A$2:$J$10,4,FALSE)</f>
        <v>1</v>
      </c>
      <c r="N55" s="14">
        <f>VLOOKUP($C55,Rotation!$A$2:$J$10,5,FALSE)</f>
        <v>1</v>
      </c>
      <c r="O55" s="14">
        <f>VLOOKUP($C55,Rotation!$A$2:$J$10,6,FALSE)</f>
        <v>0</v>
      </c>
      <c r="P55" s="14">
        <f>VLOOKUP($C55,Rotation!$A$2:$J$10,7,FALSE)</f>
        <v>0</v>
      </c>
      <c r="Q55" s="14">
        <f>VLOOKUP($C55,Rotation!$A$2:$J$10,8,FALSE)</f>
        <v>0</v>
      </c>
      <c r="R55" s="14">
        <f>VLOOKUP($C55,Rotation!$A$2:$J$10,9,FALSE)</f>
        <v>0</v>
      </c>
      <c r="S55" s="14">
        <f>VLOOKUP($C55,Rotation!$A$2:$J$10,10,FALSE)</f>
        <v>0</v>
      </c>
    </row>
    <row r="56" spans="1:19" ht="18">
      <c r="A56" s="14">
        <v>54</v>
      </c>
      <c r="B56" s="14" t="s">
        <v>108</v>
      </c>
      <c r="C56" s="14" t="str">
        <f>VLOOKUP(B56,Family!B:C,2,FALSE)</f>
        <v>P</v>
      </c>
      <c r="D56" s="15">
        <v>108</v>
      </c>
      <c r="E56" s="14">
        <f>ROUND(VLOOKUP(C56,'Production Plan'!A:B,2,FALSE),2)</f>
        <v>409.15</v>
      </c>
      <c r="F56" s="16">
        <v>45674</v>
      </c>
      <c r="G56" s="17">
        <f>F56+6*7</f>
        <v>45716</v>
      </c>
      <c r="H56" s="14">
        <f>G56-F56</f>
        <v>42</v>
      </c>
      <c r="I56" s="14">
        <f>ROUND(D56/E56,3)</f>
        <v>0.26400000000000001</v>
      </c>
      <c r="J56" s="14">
        <f>I56*24</f>
        <v>6.3360000000000003</v>
      </c>
      <c r="K56" s="14">
        <f>VLOOKUP($C56,Rotation!$A$2:$J$10,2,FALSE)</f>
        <v>1</v>
      </c>
      <c r="L56" s="14">
        <f>VLOOKUP($C56,Rotation!$A$2:$J$10,3,FALSE)</f>
        <v>1</v>
      </c>
      <c r="M56" s="14">
        <f>VLOOKUP($C56,Rotation!$A$2:$J$10,4,FALSE)</f>
        <v>0</v>
      </c>
      <c r="N56" s="14">
        <f>VLOOKUP($C56,Rotation!$A$2:$J$10,5,FALSE)</f>
        <v>0</v>
      </c>
      <c r="O56" s="14">
        <f>VLOOKUP($C56,Rotation!$A$2:$J$10,6,FALSE)</f>
        <v>0</v>
      </c>
      <c r="P56" s="14">
        <f>VLOOKUP($C56,Rotation!$A$2:$J$10,7,FALSE)</f>
        <v>0</v>
      </c>
      <c r="Q56" s="14">
        <f>VLOOKUP($C56,Rotation!$A$2:$J$10,8,FALSE)</f>
        <v>0</v>
      </c>
      <c r="R56" s="14">
        <f>VLOOKUP($C56,Rotation!$A$2:$J$10,9,FALSE)</f>
        <v>0</v>
      </c>
      <c r="S56" s="14">
        <f>VLOOKUP($C56,Rotation!$A$2:$J$10,10,FALSE)</f>
        <v>0</v>
      </c>
    </row>
    <row r="57" spans="1:19" ht="18">
      <c r="A57" s="14">
        <v>55</v>
      </c>
      <c r="B57" s="14" t="s">
        <v>108</v>
      </c>
      <c r="C57" s="14" t="str">
        <f>VLOOKUP(B57,Family!B:C,2,FALSE)</f>
        <v>P</v>
      </c>
      <c r="D57" s="15">
        <v>108</v>
      </c>
      <c r="E57" s="14">
        <f>ROUND(VLOOKUP(C57,'Production Plan'!A:B,2,FALSE),2)</f>
        <v>409.15</v>
      </c>
      <c r="F57" s="16">
        <v>45674</v>
      </c>
      <c r="G57" s="17">
        <f>F57+6*7</f>
        <v>45716</v>
      </c>
      <c r="H57" s="14">
        <f>G57-F57</f>
        <v>42</v>
      </c>
      <c r="I57" s="14">
        <f>ROUND(D57/E57,3)</f>
        <v>0.26400000000000001</v>
      </c>
      <c r="J57" s="14">
        <f>I57*24</f>
        <v>6.3360000000000003</v>
      </c>
      <c r="K57" s="14">
        <f>VLOOKUP($C57,Rotation!$A$2:$J$10,2,FALSE)</f>
        <v>1</v>
      </c>
      <c r="L57" s="14">
        <f>VLOOKUP($C57,Rotation!$A$2:$J$10,3,FALSE)</f>
        <v>1</v>
      </c>
      <c r="M57" s="14">
        <f>VLOOKUP($C57,Rotation!$A$2:$J$10,4,FALSE)</f>
        <v>0</v>
      </c>
      <c r="N57" s="14">
        <f>VLOOKUP($C57,Rotation!$A$2:$J$10,5,FALSE)</f>
        <v>0</v>
      </c>
      <c r="O57" s="14">
        <f>VLOOKUP($C57,Rotation!$A$2:$J$10,6,FALSE)</f>
        <v>0</v>
      </c>
      <c r="P57" s="14">
        <f>VLOOKUP($C57,Rotation!$A$2:$J$10,7,FALSE)</f>
        <v>0</v>
      </c>
      <c r="Q57" s="14">
        <f>VLOOKUP($C57,Rotation!$A$2:$J$10,8,FALSE)</f>
        <v>0</v>
      </c>
      <c r="R57" s="14">
        <f>VLOOKUP($C57,Rotation!$A$2:$J$10,9,FALSE)</f>
        <v>0</v>
      </c>
      <c r="S57" s="14">
        <f>VLOOKUP($C57,Rotation!$A$2:$J$10,10,FALSE)</f>
        <v>0</v>
      </c>
    </row>
    <row r="58" spans="1:19" ht="18">
      <c r="A58" s="14">
        <v>56</v>
      </c>
      <c r="B58" s="14" t="s">
        <v>66</v>
      </c>
      <c r="C58" s="14" t="str">
        <f>VLOOKUP(B58,Family!B:C,2,FALSE)</f>
        <v>A</v>
      </c>
      <c r="D58" s="15">
        <v>54</v>
      </c>
      <c r="E58" s="14">
        <f>ROUND(VLOOKUP(C58,'Production Plan'!A:B,2,FALSE),2)</f>
        <v>407.17</v>
      </c>
      <c r="F58" s="16">
        <v>45674</v>
      </c>
      <c r="G58" s="17">
        <f>F58+6*7</f>
        <v>45716</v>
      </c>
      <c r="H58" s="14">
        <f>G58-F58</f>
        <v>42</v>
      </c>
      <c r="I58" s="14">
        <f>ROUND(D58/E58,3)</f>
        <v>0.13300000000000001</v>
      </c>
      <c r="J58" s="14">
        <f>I58*24</f>
        <v>3.1920000000000002</v>
      </c>
      <c r="K58" s="14">
        <f>VLOOKUP($C58,Rotation!$A$2:$J$10,2,FALSE)</f>
        <v>1</v>
      </c>
      <c r="L58" s="14">
        <f>VLOOKUP($C58,Rotation!$A$2:$J$10,3,FALSE)</f>
        <v>1</v>
      </c>
      <c r="M58" s="14">
        <f>VLOOKUP($C58,Rotation!$A$2:$J$10,4,FALSE)</f>
        <v>1</v>
      </c>
      <c r="N58" s="14">
        <f>VLOOKUP($C58,Rotation!$A$2:$J$10,5,FALSE)</f>
        <v>0</v>
      </c>
      <c r="O58" s="14">
        <f>VLOOKUP($C58,Rotation!$A$2:$J$10,6,FALSE)</f>
        <v>0</v>
      </c>
      <c r="P58" s="14">
        <f>VLOOKUP($C58,Rotation!$A$2:$J$10,7,FALSE)</f>
        <v>0</v>
      </c>
      <c r="Q58" s="14">
        <f>VLOOKUP($C58,Rotation!$A$2:$J$10,8,FALSE)</f>
        <v>0</v>
      </c>
      <c r="R58" s="14">
        <f>VLOOKUP($C58,Rotation!$A$2:$J$10,9,FALSE)</f>
        <v>0</v>
      </c>
      <c r="S58" s="14">
        <f>VLOOKUP($C58,Rotation!$A$2:$J$10,10,FALSE)</f>
        <v>0</v>
      </c>
    </row>
    <row r="59" spans="1:19" ht="18">
      <c r="A59" s="14">
        <v>57</v>
      </c>
      <c r="B59" s="14" t="s">
        <v>66</v>
      </c>
      <c r="C59" s="14" t="str">
        <f>VLOOKUP(B59,Family!B:C,2,FALSE)</f>
        <v>A</v>
      </c>
      <c r="D59" s="15">
        <v>54</v>
      </c>
      <c r="E59" s="14">
        <f>ROUND(VLOOKUP(C59,'Production Plan'!A:B,2,FALSE),2)</f>
        <v>407.17</v>
      </c>
      <c r="F59" s="16">
        <v>45674</v>
      </c>
      <c r="G59" s="17">
        <f>F59+6*7</f>
        <v>45716</v>
      </c>
      <c r="H59" s="14">
        <f>G59-F59</f>
        <v>42</v>
      </c>
      <c r="I59" s="14">
        <f>ROUND(D59/E59,3)</f>
        <v>0.13300000000000001</v>
      </c>
      <c r="J59" s="14">
        <f>I59*24</f>
        <v>3.1920000000000002</v>
      </c>
      <c r="K59" s="14">
        <f>VLOOKUP($C59,Rotation!$A$2:$J$10,2,FALSE)</f>
        <v>1</v>
      </c>
      <c r="L59" s="14">
        <f>VLOOKUP($C59,Rotation!$A$2:$J$10,3,FALSE)</f>
        <v>1</v>
      </c>
      <c r="M59" s="14">
        <f>VLOOKUP($C59,Rotation!$A$2:$J$10,4,FALSE)</f>
        <v>1</v>
      </c>
      <c r="N59" s="14">
        <f>VLOOKUP($C59,Rotation!$A$2:$J$10,5,FALSE)</f>
        <v>0</v>
      </c>
      <c r="O59" s="14">
        <f>VLOOKUP($C59,Rotation!$A$2:$J$10,6,FALSE)</f>
        <v>0</v>
      </c>
      <c r="P59" s="14">
        <f>VLOOKUP($C59,Rotation!$A$2:$J$10,7,FALSE)</f>
        <v>0</v>
      </c>
      <c r="Q59" s="14">
        <f>VLOOKUP($C59,Rotation!$A$2:$J$10,8,FALSE)</f>
        <v>0</v>
      </c>
      <c r="R59" s="14">
        <f>VLOOKUP($C59,Rotation!$A$2:$J$10,9,FALSE)</f>
        <v>0</v>
      </c>
      <c r="S59" s="14">
        <f>VLOOKUP($C59,Rotation!$A$2:$J$10,10,FALSE)</f>
        <v>0</v>
      </c>
    </row>
    <row r="60" spans="1:19" ht="18">
      <c r="A60" s="14">
        <v>58</v>
      </c>
      <c r="B60" s="14" t="s">
        <v>66</v>
      </c>
      <c r="C60" s="14" t="str">
        <f>VLOOKUP(B60,Family!B:C,2,FALSE)</f>
        <v>A</v>
      </c>
      <c r="D60" s="15">
        <v>54</v>
      </c>
      <c r="E60" s="14">
        <f>ROUND(VLOOKUP(C60,'Production Plan'!A:B,2,FALSE),2)</f>
        <v>407.17</v>
      </c>
      <c r="F60" s="16">
        <v>45674</v>
      </c>
      <c r="G60" s="17">
        <f>F60+6*7</f>
        <v>45716</v>
      </c>
      <c r="H60" s="14">
        <f>G60-F60</f>
        <v>42</v>
      </c>
      <c r="I60" s="14">
        <f>ROUND(D60/E60,3)</f>
        <v>0.13300000000000001</v>
      </c>
      <c r="J60" s="14">
        <f>I60*24</f>
        <v>3.1920000000000002</v>
      </c>
      <c r="K60" s="14">
        <f>VLOOKUP($C60,Rotation!$A$2:$J$10,2,FALSE)</f>
        <v>1</v>
      </c>
      <c r="L60" s="14">
        <f>VLOOKUP($C60,Rotation!$A$2:$J$10,3,FALSE)</f>
        <v>1</v>
      </c>
      <c r="M60" s="14">
        <f>VLOOKUP($C60,Rotation!$A$2:$J$10,4,FALSE)</f>
        <v>1</v>
      </c>
      <c r="N60" s="14">
        <f>VLOOKUP($C60,Rotation!$A$2:$J$10,5,FALSE)</f>
        <v>0</v>
      </c>
      <c r="O60" s="14">
        <f>VLOOKUP($C60,Rotation!$A$2:$J$10,6,FALSE)</f>
        <v>0</v>
      </c>
      <c r="P60" s="14">
        <f>VLOOKUP($C60,Rotation!$A$2:$J$10,7,FALSE)</f>
        <v>0</v>
      </c>
      <c r="Q60" s="14">
        <f>VLOOKUP($C60,Rotation!$A$2:$J$10,8,FALSE)</f>
        <v>0</v>
      </c>
      <c r="R60" s="14">
        <f>VLOOKUP($C60,Rotation!$A$2:$J$10,9,FALSE)</f>
        <v>0</v>
      </c>
      <c r="S60" s="14">
        <f>VLOOKUP($C60,Rotation!$A$2:$J$10,10,FALSE)</f>
        <v>0</v>
      </c>
    </row>
    <row r="61" spans="1:19" ht="18">
      <c r="A61" s="14">
        <v>59</v>
      </c>
      <c r="B61" s="14" t="s">
        <v>112</v>
      </c>
      <c r="C61" s="14" t="str">
        <f>VLOOKUP(B61,Family!B:C,2,FALSE)</f>
        <v>N</v>
      </c>
      <c r="D61" s="15">
        <v>70</v>
      </c>
      <c r="E61" s="14">
        <f>ROUND(VLOOKUP(C61,'Production Plan'!A:B,2,FALSE),2)</f>
        <v>334.18</v>
      </c>
      <c r="F61" s="16">
        <v>45678</v>
      </c>
      <c r="G61" s="17">
        <f>F61+6*7</f>
        <v>45720</v>
      </c>
      <c r="H61" s="14">
        <f>G61-F61</f>
        <v>42</v>
      </c>
      <c r="I61" s="14">
        <f>ROUND(D61/E61,3)</f>
        <v>0.20899999999999999</v>
      </c>
      <c r="J61" s="14">
        <f>I61*24</f>
        <v>5.016</v>
      </c>
      <c r="K61" s="14">
        <f>VLOOKUP($C61,Rotation!$A$2:$J$10,2,FALSE)</f>
        <v>1</v>
      </c>
      <c r="L61" s="14">
        <f>VLOOKUP($C61,Rotation!$A$2:$J$10,3,FALSE)</f>
        <v>0</v>
      </c>
      <c r="M61" s="14">
        <f>VLOOKUP($C61,Rotation!$A$2:$J$10,4,FALSE)</f>
        <v>0</v>
      </c>
      <c r="N61" s="14">
        <f>VLOOKUP($C61,Rotation!$A$2:$J$10,5,FALSE)</f>
        <v>0</v>
      </c>
      <c r="O61" s="14">
        <f>VLOOKUP($C61,Rotation!$A$2:$J$10,6,FALSE)</f>
        <v>0</v>
      </c>
      <c r="P61" s="14">
        <f>VLOOKUP($C61,Rotation!$A$2:$J$10,7,FALSE)</f>
        <v>0</v>
      </c>
      <c r="Q61" s="14">
        <f>VLOOKUP($C61,Rotation!$A$2:$J$10,8,FALSE)</f>
        <v>1</v>
      </c>
      <c r="R61" s="14">
        <f>VLOOKUP($C61,Rotation!$A$2:$J$10,9,FALSE)</f>
        <v>0</v>
      </c>
      <c r="S61" s="14">
        <f>VLOOKUP($C61,Rotation!$A$2:$J$10,10,FALSE)</f>
        <v>0</v>
      </c>
    </row>
    <row r="62" spans="1:19" ht="18">
      <c r="A62" s="14">
        <v>60</v>
      </c>
      <c r="B62" s="14" t="s">
        <v>99</v>
      </c>
      <c r="C62" s="14" t="str">
        <f>VLOOKUP(B62,Family!B:C,2,FALSE)</f>
        <v>N</v>
      </c>
      <c r="D62" s="15">
        <v>19</v>
      </c>
      <c r="E62" s="14">
        <f>ROUND(VLOOKUP(C62,'Production Plan'!A:B,2,FALSE),2)</f>
        <v>334.18</v>
      </c>
      <c r="F62" s="16">
        <v>45700</v>
      </c>
      <c r="G62" s="17">
        <f>F62+6*7</f>
        <v>45742</v>
      </c>
      <c r="H62" s="14">
        <f>G62-F62</f>
        <v>42</v>
      </c>
      <c r="I62" s="14">
        <f>ROUND(D62/E62,3)</f>
        <v>5.7000000000000002E-2</v>
      </c>
      <c r="J62" s="14">
        <f>I62*24</f>
        <v>1.3680000000000001</v>
      </c>
      <c r="K62" s="14">
        <f>VLOOKUP($C62,Rotation!$A$2:$J$10,2,FALSE)</f>
        <v>1</v>
      </c>
      <c r="L62" s="14">
        <f>VLOOKUP($C62,Rotation!$A$2:$J$10,3,FALSE)</f>
        <v>0</v>
      </c>
      <c r="M62" s="14">
        <f>VLOOKUP($C62,Rotation!$A$2:$J$10,4,FALSE)</f>
        <v>0</v>
      </c>
      <c r="N62" s="14">
        <f>VLOOKUP($C62,Rotation!$A$2:$J$10,5,FALSE)</f>
        <v>0</v>
      </c>
      <c r="O62" s="14">
        <f>VLOOKUP($C62,Rotation!$A$2:$J$10,6,FALSE)</f>
        <v>0</v>
      </c>
      <c r="P62" s="14">
        <f>VLOOKUP($C62,Rotation!$A$2:$J$10,7,FALSE)</f>
        <v>0</v>
      </c>
      <c r="Q62" s="14">
        <f>VLOOKUP($C62,Rotation!$A$2:$J$10,8,FALSE)</f>
        <v>1</v>
      </c>
      <c r="R62" s="14">
        <f>VLOOKUP($C62,Rotation!$A$2:$J$10,9,FALSE)</f>
        <v>0</v>
      </c>
      <c r="S62" s="14">
        <f>VLOOKUP($C62,Rotation!$A$2:$J$10,10,FALSE)</f>
        <v>0</v>
      </c>
    </row>
    <row r="63" spans="1:19" ht="18">
      <c r="A63" s="14">
        <v>61</v>
      </c>
      <c r="B63" s="14" t="s">
        <v>99</v>
      </c>
      <c r="C63" s="14" t="str">
        <f>VLOOKUP(B63,Family!B:C,2,FALSE)</f>
        <v>N</v>
      </c>
      <c r="D63" s="15">
        <v>19</v>
      </c>
      <c r="E63" s="14">
        <f>ROUND(VLOOKUP(C63,'Production Plan'!A:B,2,FALSE),2)</f>
        <v>334.18</v>
      </c>
      <c r="F63" s="16">
        <v>45700</v>
      </c>
      <c r="G63" s="17">
        <f>F63+6*7</f>
        <v>45742</v>
      </c>
      <c r="H63" s="14">
        <f>G63-F63</f>
        <v>42</v>
      </c>
      <c r="I63" s="14">
        <f>ROUND(D63/E63,3)</f>
        <v>5.7000000000000002E-2</v>
      </c>
      <c r="J63" s="14">
        <f>I63*24</f>
        <v>1.3680000000000001</v>
      </c>
      <c r="K63" s="14">
        <f>VLOOKUP($C63,Rotation!$A$2:$J$10,2,FALSE)</f>
        <v>1</v>
      </c>
      <c r="L63" s="14">
        <f>VLOOKUP($C63,Rotation!$A$2:$J$10,3,FALSE)</f>
        <v>0</v>
      </c>
      <c r="M63" s="14">
        <f>VLOOKUP($C63,Rotation!$A$2:$J$10,4,FALSE)</f>
        <v>0</v>
      </c>
      <c r="N63" s="14">
        <f>VLOOKUP($C63,Rotation!$A$2:$J$10,5,FALSE)</f>
        <v>0</v>
      </c>
      <c r="O63" s="14">
        <f>VLOOKUP($C63,Rotation!$A$2:$J$10,6,FALSE)</f>
        <v>0</v>
      </c>
      <c r="P63" s="14">
        <f>VLOOKUP($C63,Rotation!$A$2:$J$10,7,FALSE)</f>
        <v>0</v>
      </c>
      <c r="Q63" s="14">
        <f>VLOOKUP($C63,Rotation!$A$2:$J$10,8,FALSE)</f>
        <v>1</v>
      </c>
      <c r="R63" s="14">
        <f>VLOOKUP($C63,Rotation!$A$2:$J$10,9,FALSE)</f>
        <v>0</v>
      </c>
      <c r="S63" s="14">
        <f>VLOOKUP($C63,Rotation!$A$2:$J$10,10,FALSE)</f>
        <v>0</v>
      </c>
    </row>
    <row r="64" spans="1:19" ht="18">
      <c r="A64" s="14">
        <v>62</v>
      </c>
      <c r="B64" s="14" t="s">
        <v>99</v>
      </c>
      <c r="C64" s="14" t="str">
        <f>VLOOKUP(B64,Family!B:C,2,FALSE)</f>
        <v>N</v>
      </c>
      <c r="D64" s="15">
        <v>19</v>
      </c>
      <c r="E64" s="14">
        <f>ROUND(VLOOKUP(C64,'Production Plan'!A:B,2,FALSE),2)</f>
        <v>334.18</v>
      </c>
      <c r="F64" s="16">
        <v>45700</v>
      </c>
      <c r="G64" s="17">
        <f>F64+6*7</f>
        <v>45742</v>
      </c>
      <c r="H64" s="14">
        <f>G64-F64</f>
        <v>42</v>
      </c>
      <c r="I64" s="14">
        <f>ROUND(D64/E64,3)</f>
        <v>5.7000000000000002E-2</v>
      </c>
      <c r="J64" s="14">
        <f>I64*24</f>
        <v>1.3680000000000001</v>
      </c>
      <c r="K64" s="14">
        <f>VLOOKUP($C64,Rotation!$A$2:$J$10,2,FALSE)</f>
        <v>1</v>
      </c>
      <c r="L64" s="14">
        <f>VLOOKUP($C64,Rotation!$A$2:$J$10,3,FALSE)</f>
        <v>0</v>
      </c>
      <c r="M64" s="14">
        <f>VLOOKUP($C64,Rotation!$A$2:$J$10,4,FALSE)</f>
        <v>0</v>
      </c>
      <c r="N64" s="14">
        <f>VLOOKUP($C64,Rotation!$A$2:$J$10,5,FALSE)</f>
        <v>0</v>
      </c>
      <c r="O64" s="14">
        <f>VLOOKUP($C64,Rotation!$A$2:$J$10,6,FALSE)</f>
        <v>0</v>
      </c>
      <c r="P64" s="14">
        <f>VLOOKUP($C64,Rotation!$A$2:$J$10,7,FALSE)</f>
        <v>0</v>
      </c>
      <c r="Q64" s="14">
        <f>VLOOKUP($C64,Rotation!$A$2:$J$10,8,FALSE)</f>
        <v>1</v>
      </c>
      <c r="R64" s="14">
        <f>VLOOKUP($C64,Rotation!$A$2:$J$10,9,FALSE)</f>
        <v>0</v>
      </c>
      <c r="S64" s="14">
        <f>VLOOKUP($C64,Rotation!$A$2:$J$10,10,FALSE)</f>
        <v>0</v>
      </c>
    </row>
    <row r="65" spans="1:19" ht="18">
      <c r="A65" s="14">
        <v>63</v>
      </c>
      <c r="B65" s="14" t="s">
        <v>99</v>
      </c>
      <c r="C65" s="14" t="str">
        <f>VLOOKUP(B65,Family!B:C,2,FALSE)</f>
        <v>N</v>
      </c>
      <c r="D65" s="15">
        <v>19</v>
      </c>
      <c r="E65" s="14">
        <f>ROUND(VLOOKUP(C65,'Production Plan'!A:B,2,FALSE),2)</f>
        <v>334.18</v>
      </c>
      <c r="F65" s="16">
        <v>45700</v>
      </c>
      <c r="G65" s="17">
        <f>F65+6*7</f>
        <v>45742</v>
      </c>
      <c r="H65" s="14">
        <f>G65-F65</f>
        <v>42</v>
      </c>
      <c r="I65" s="14">
        <f>ROUND(D65/E65,3)</f>
        <v>5.7000000000000002E-2</v>
      </c>
      <c r="J65" s="14">
        <f>I65*24</f>
        <v>1.3680000000000001</v>
      </c>
      <c r="K65" s="14">
        <f>VLOOKUP($C65,Rotation!$A$2:$J$10,2,FALSE)</f>
        <v>1</v>
      </c>
      <c r="L65" s="14">
        <f>VLOOKUP($C65,Rotation!$A$2:$J$10,3,FALSE)</f>
        <v>0</v>
      </c>
      <c r="M65" s="14">
        <f>VLOOKUP($C65,Rotation!$A$2:$J$10,4,FALSE)</f>
        <v>0</v>
      </c>
      <c r="N65" s="14">
        <f>VLOOKUP($C65,Rotation!$A$2:$J$10,5,FALSE)</f>
        <v>0</v>
      </c>
      <c r="O65" s="14">
        <f>VLOOKUP($C65,Rotation!$A$2:$J$10,6,FALSE)</f>
        <v>0</v>
      </c>
      <c r="P65" s="14">
        <f>VLOOKUP($C65,Rotation!$A$2:$J$10,7,FALSE)</f>
        <v>0</v>
      </c>
      <c r="Q65" s="14">
        <f>VLOOKUP($C65,Rotation!$A$2:$J$10,8,FALSE)</f>
        <v>1</v>
      </c>
      <c r="R65" s="14">
        <f>VLOOKUP($C65,Rotation!$A$2:$J$10,9,FALSE)</f>
        <v>0</v>
      </c>
      <c r="S65" s="14">
        <f>VLOOKUP($C65,Rotation!$A$2:$J$10,10,FALSE)</f>
        <v>0</v>
      </c>
    </row>
    <row r="66" spans="1:19" ht="18">
      <c r="A66" s="14">
        <v>64</v>
      </c>
      <c r="B66" s="14" t="s">
        <v>99</v>
      </c>
      <c r="C66" s="14" t="str">
        <f>VLOOKUP(B66,Family!B:C,2,FALSE)</f>
        <v>N</v>
      </c>
      <c r="D66" s="15">
        <v>19</v>
      </c>
      <c r="E66" s="14">
        <f>ROUND(VLOOKUP(C66,'Production Plan'!A:B,2,FALSE),2)</f>
        <v>334.18</v>
      </c>
      <c r="F66" s="16">
        <v>45700</v>
      </c>
      <c r="G66" s="17">
        <f>F66+6*7</f>
        <v>45742</v>
      </c>
      <c r="H66" s="14">
        <f>G66-F66</f>
        <v>42</v>
      </c>
      <c r="I66" s="14">
        <f>ROUND(D66/E66,3)</f>
        <v>5.7000000000000002E-2</v>
      </c>
      <c r="J66" s="14">
        <f>I66*24</f>
        <v>1.3680000000000001</v>
      </c>
      <c r="K66" s="14">
        <f>VLOOKUP($C66,Rotation!$A$2:$J$10,2,FALSE)</f>
        <v>1</v>
      </c>
      <c r="L66" s="14">
        <f>VLOOKUP($C66,Rotation!$A$2:$J$10,3,FALSE)</f>
        <v>0</v>
      </c>
      <c r="M66" s="14">
        <f>VLOOKUP($C66,Rotation!$A$2:$J$10,4,FALSE)</f>
        <v>0</v>
      </c>
      <c r="N66" s="14">
        <f>VLOOKUP($C66,Rotation!$A$2:$J$10,5,FALSE)</f>
        <v>0</v>
      </c>
      <c r="O66" s="14">
        <f>VLOOKUP($C66,Rotation!$A$2:$J$10,6,FALSE)</f>
        <v>0</v>
      </c>
      <c r="P66" s="14">
        <f>VLOOKUP($C66,Rotation!$A$2:$J$10,7,FALSE)</f>
        <v>0</v>
      </c>
      <c r="Q66" s="14">
        <f>VLOOKUP($C66,Rotation!$A$2:$J$10,8,FALSE)</f>
        <v>1</v>
      </c>
      <c r="R66" s="14">
        <f>VLOOKUP($C66,Rotation!$A$2:$J$10,9,FALSE)</f>
        <v>0</v>
      </c>
      <c r="S66" s="14">
        <f>VLOOKUP($C66,Rotation!$A$2:$J$10,10,FALSE)</f>
        <v>0</v>
      </c>
    </row>
    <row r="67" spans="1:19" ht="18">
      <c r="A67" s="14">
        <v>65</v>
      </c>
      <c r="B67" s="14" t="s">
        <v>99</v>
      </c>
      <c r="C67" s="14" t="str">
        <f>VLOOKUP(B67,Family!B:C,2,FALSE)</f>
        <v>N</v>
      </c>
      <c r="D67" s="15">
        <v>19</v>
      </c>
      <c r="E67" s="14">
        <f>ROUND(VLOOKUP(C67,'Production Plan'!A:B,2,FALSE),2)</f>
        <v>334.18</v>
      </c>
      <c r="F67" s="16">
        <v>45700</v>
      </c>
      <c r="G67" s="17">
        <f>F67+6*7</f>
        <v>45742</v>
      </c>
      <c r="H67" s="14">
        <f>G67-F67</f>
        <v>42</v>
      </c>
      <c r="I67" s="14">
        <f>ROUND(D67/E67,3)</f>
        <v>5.7000000000000002E-2</v>
      </c>
      <c r="J67" s="14">
        <f>I67*24</f>
        <v>1.3680000000000001</v>
      </c>
      <c r="K67" s="14">
        <f>VLOOKUP($C67,Rotation!$A$2:$J$10,2,FALSE)</f>
        <v>1</v>
      </c>
      <c r="L67" s="14">
        <f>VLOOKUP($C67,Rotation!$A$2:$J$10,3,FALSE)</f>
        <v>0</v>
      </c>
      <c r="M67" s="14">
        <f>VLOOKUP($C67,Rotation!$A$2:$J$10,4,FALSE)</f>
        <v>0</v>
      </c>
      <c r="N67" s="14">
        <f>VLOOKUP($C67,Rotation!$A$2:$J$10,5,FALSE)</f>
        <v>0</v>
      </c>
      <c r="O67" s="14">
        <f>VLOOKUP($C67,Rotation!$A$2:$J$10,6,FALSE)</f>
        <v>0</v>
      </c>
      <c r="P67" s="14">
        <f>VLOOKUP($C67,Rotation!$A$2:$J$10,7,FALSE)</f>
        <v>0</v>
      </c>
      <c r="Q67" s="14">
        <f>VLOOKUP($C67,Rotation!$A$2:$J$10,8,FALSE)</f>
        <v>1</v>
      </c>
      <c r="R67" s="14">
        <f>VLOOKUP($C67,Rotation!$A$2:$J$10,9,FALSE)</f>
        <v>0</v>
      </c>
      <c r="S67" s="14">
        <f>VLOOKUP($C67,Rotation!$A$2:$J$10,10,FALSE)</f>
        <v>0</v>
      </c>
    </row>
    <row r="68" spans="1:19" ht="18">
      <c r="A68" s="14">
        <v>66</v>
      </c>
      <c r="B68" s="14" t="s">
        <v>99</v>
      </c>
      <c r="C68" s="14" t="str">
        <f>VLOOKUP(B68,Family!B:C,2,FALSE)</f>
        <v>N</v>
      </c>
      <c r="D68" s="15">
        <v>19</v>
      </c>
      <c r="E68" s="14">
        <f>ROUND(VLOOKUP(C68,'Production Plan'!A:B,2,FALSE),2)</f>
        <v>334.18</v>
      </c>
      <c r="F68" s="16">
        <v>45700</v>
      </c>
      <c r="G68" s="17">
        <f>F68+6*7</f>
        <v>45742</v>
      </c>
      <c r="H68" s="14">
        <f>G68-F68</f>
        <v>42</v>
      </c>
      <c r="I68" s="14">
        <f>ROUND(D68/E68,3)</f>
        <v>5.7000000000000002E-2</v>
      </c>
      <c r="J68" s="14">
        <f>I68*24</f>
        <v>1.3680000000000001</v>
      </c>
      <c r="K68" s="14">
        <f>VLOOKUP($C68,Rotation!$A$2:$J$10,2,FALSE)</f>
        <v>1</v>
      </c>
      <c r="L68" s="14">
        <f>VLOOKUP($C68,Rotation!$A$2:$J$10,3,FALSE)</f>
        <v>0</v>
      </c>
      <c r="M68" s="14">
        <f>VLOOKUP($C68,Rotation!$A$2:$J$10,4,FALSE)</f>
        <v>0</v>
      </c>
      <c r="N68" s="14">
        <f>VLOOKUP($C68,Rotation!$A$2:$J$10,5,FALSE)</f>
        <v>0</v>
      </c>
      <c r="O68" s="14">
        <f>VLOOKUP($C68,Rotation!$A$2:$J$10,6,FALSE)</f>
        <v>0</v>
      </c>
      <c r="P68" s="14">
        <f>VLOOKUP($C68,Rotation!$A$2:$J$10,7,FALSE)</f>
        <v>0</v>
      </c>
      <c r="Q68" s="14">
        <f>VLOOKUP($C68,Rotation!$A$2:$J$10,8,FALSE)</f>
        <v>1</v>
      </c>
      <c r="R68" s="14">
        <f>VLOOKUP($C68,Rotation!$A$2:$J$10,9,FALSE)</f>
        <v>0</v>
      </c>
      <c r="S68" s="14">
        <f>VLOOKUP($C68,Rotation!$A$2:$J$10,10,FALSE)</f>
        <v>0</v>
      </c>
    </row>
    <row r="69" spans="1:19" ht="18">
      <c r="A69" s="14">
        <v>67</v>
      </c>
      <c r="B69" s="14" t="s">
        <v>99</v>
      </c>
      <c r="C69" s="14" t="str">
        <f>VLOOKUP(B69,Family!B:C,2,FALSE)</f>
        <v>N</v>
      </c>
      <c r="D69" s="15">
        <v>19</v>
      </c>
      <c r="E69" s="14">
        <f>ROUND(VLOOKUP(C69,'Production Plan'!A:B,2,FALSE),2)</f>
        <v>334.18</v>
      </c>
      <c r="F69" s="16">
        <v>45700</v>
      </c>
      <c r="G69" s="17">
        <f>F69+6*7</f>
        <v>45742</v>
      </c>
      <c r="H69" s="14">
        <f>G69-F69</f>
        <v>42</v>
      </c>
      <c r="I69" s="14">
        <f>ROUND(D69/E69,3)</f>
        <v>5.7000000000000002E-2</v>
      </c>
      <c r="J69" s="14">
        <f>I69*24</f>
        <v>1.3680000000000001</v>
      </c>
      <c r="K69" s="14">
        <f>VLOOKUP($C69,Rotation!$A$2:$J$10,2,FALSE)</f>
        <v>1</v>
      </c>
      <c r="L69" s="14">
        <f>VLOOKUP($C69,Rotation!$A$2:$J$10,3,FALSE)</f>
        <v>0</v>
      </c>
      <c r="M69" s="14">
        <f>VLOOKUP($C69,Rotation!$A$2:$J$10,4,FALSE)</f>
        <v>0</v>
      </c>
      <c r="N69" s="14">
        <f>VLOOKUP($C69,Rotation!$A$2:$J$10,5,FALSE)</f>
        <v>0</v>
      </c>
      <c r="O69" s="14">
        <f>VLOOKUP($C69,Rotation!$A$2:$J$10,6,FALSE)</f>
        <v>0</v>
      </c>
      <c r="P69" s="14">
        <f>VLOOKUP($C69,Rotation!$A$2:$J$10,7,FALSE)</f>
        <v>0</v>
      </c>
      <c r="Q69" s="14">
        <f>VLOOKUP($C69,Rotation!$A$2:$J$10,8,FALSE)</f>
        <v>1</v>
      </c>
      <c r="R69" s="14">
        <f>VLOOKUP($C69,Rotation!$A$2:$J$10,9,FALSE)</f>
        <v>0</v>
      </c>
      <c r="S69" s="14">
        <f>VLOOKUP($C69,Rotation!$A$2:$J$10,10,FALSE)</f>
        <v>0</v>
      </c>
    </row>
    <row r="70" spans="1:19" ht="18">
      <c r="A70" s="14">
        <v>68</v>
      </c>
      <c r="B70" s="14" t="s">
        <v>86</v>
      </c>
      <c r="C70" s="14" t="str">
        <f>VLOOKUP(B70,Family!B:C,2,FALSE)</f>
        <v>E</v>
      </c>
      <c r="D70" s="15">
        <v>95</v>
      </c>
      <c r="E70" s="14">
        <f>ROUND(VLOOKUP(C70,'Production Plan'!A:B,2,FALSE),2)</f>
        <v>333.66</v>
      </c>
      <c r="F70" s="16">
        <v>45677</v>
      </c>
      <c r="G70" s="17">
        <f>F70+6*7</f>
        <v>45719</v>
      </c>
      <c r="H70" s="14">
        <f>G70-F70</f>
        <v>42</v>
      </c>
      <c r="I70" s="14">
        <f>ROUND(D70/E70,3)</f>
        <v>0.28499999999999998</v>
      </c>
      <c r="J70" s="14">
        <f>I70*24</f>
        <v>6.84</v>
      </c>
      <c r="K70" s="14">
        <f>VLOOKUP($C70,Rotation!$A$2:$J$10,2,FALSE)</f>
        <v>1</v>
      </c>
      <c r="L70" s="14">
        <f>VLOOKUP($C70,Rotation!$A$2:$J$10,3,FALSE)</f>
        <v>0</v>
      </c>
      <c r="M70" s="14">
        <f>VLOOKUP($C70,Rotation!$A$2:$J$10,4,FALSE)</f>
        <v>0</v>
      </c>
      <c r="N70" s="14">
        <f>VLOOKUP($C70,Rotation!$A$2:$J$10,5,FALSE)</f>
        <v>0</v>
      </c>
      <c r="O70" s="14">
        <f>VLOOKUP($C70,Rotation!$A$2:$J$10,6,FALSE)</f>
        <v>0</v>
      </c>
      <c r="P70" s="14">
        <f>VLOOKUP($C70,Rotation!$A$2:$J$10,7,FALSE)</f>
        <v>1</v>
      </c>
      <c r="Q70" s="14">
        <f>VLOOKUP($C70,Rotation!$A$2:$J$10,8,FALSE)</f>
        <v>0</v>
      </c>
      <c r="R70" s="14">
        <f>VLOOKUP($C70,Rotation!$A$2:$J$10,9,FALSE)</f>
        <v>0</v>
      </c>
      <c r="S70" s="14">
        <f>VLOOKUP($C70,Rotation!$A$2:$J$10,10,FALSE)</f>
        <v>0</v>
      </c>
    </row>
    <row r="71" spans="1:19" ht="18">
      <c r="A71" s="14">
        <v>69</v>
      </c>
      <c r="B71" s="14" t="s">
        <v>99</v>
      </c>
      <c r="C71" s="14" t="str">
        <f>VLOOKUP(B71,Family!B:C,2,FALSE)</f>
        <v>N</v>
      </c>
      <c r="D71" s="15">
        <v>310</v>
      </c>
      <c r="E71" s="14">
        <f>ROUND(VLOOKUP(C71,'Production Plan'!A:B,2,FALSE),2)</f>
        <v>334.18</v>
      </c>
      <c r="F71" s="16">
        <v>45694</v>
      </c>
      <c r="G71" s="17">
        <f>F71+6*7</f>
        <v>45736</v>
      </c>
      <c r="H71" s="14">
        <f>G71-F71</f>
        <v>42</v>
      </c>
      <c r="I71" s="14">
        <f>ROUND(D71/E71,3)</f>
        <v>0.92800000000000005</v>
      </c>
      <c r="J71" s="14">
        <f>I71*24</f>
        <v>22.272000000000002</v>
      </c>
      <c r="K71" s="14">
        <f>VLOOKUP($C71,Rotation!$A$2:$J$10,2,FALSE)</f>
        <v>1</v>
      </c>
      <c r="L71" s="14">
        <f>VLOOKUP($C71,Rotation!$A$2:$J$10,3,FALSE)</f>
        <v>0</v>
      </c>
      <c r="M71" s="14">
        <f>VLOOKUP($C71,Rotation!$A$2:$J$10,4,FALSE)</f>
        <v>0</v>
      </c>
      <c r="N71" s="14">
        <f>VLOOKUP($C71,Rotation!$A$2:$J$10,5,FALSE)</f>
        <v>0</v>
      </c>
      <c r="O71" s="14">
        <f>VLOOKUP($C71,Rotation!$A$2:$J$10,6,FALSE)</f>
        <v>0</v>
      </c>
      <c r="P71" s="14">
        <f>VLOOKUP($C71,Rotation!$A$2:$J$10,7,FALSE)</f>
        <v>0</v>
      </c>
      <c r="Q71" s="14">
        <f>VLOOKUP($C71,Rotation!$A$2:$J$10,8,FALSE)</f>
        <v>1</v>
      </c>
      <c r="R71" s="14">
        <f>VLOOKUP($C71,Rotation!$A$2:$J$10,9,FALSE)</f>
        <v>0</v>
      </c>
      <c r="S71" s="14">
        <f>VLOOKUP($C71,Rotation!$A$2:$J$10,10,FALSE)</f>
        <v>0</v>
      </c>
    </row>
    <row r="72" spans="1:19" ht="18">
      <c r="A72" s="14">
        <v>70</v>
      </c>
      <c r="B72" s="14" t="s">
        <v>65</v>
      </c>
      <c r="C72" s="14" t="str">
        <f>VLOOKUP(B72,Family!B:C,2,FALSE)</f>
        <v>A</v>
      </c>
      <c r="D72" s="15">
        <v>38</v>
      </c>
      <c r="E72" s="14">
        <f>ROUND(VLOOKUP(C72,'Production Plan'!A:B,2,FALSE),2)</f>
        <v>407.17</v>
      </c>
      <c r="F72" s="16">
        <v>45679</v>
      </c>
      <c r="G72" s="17">
        <f>F72+6*7</f>
        <v>45721</v>
      </c>
      <c r="H72" s="14">
        <f>G72-F72</f>
        <v>42</v>
      </c>
      <c r="I72" s="14">
        <f>ROUND(D72/E72,3)</f>
        <v>9.2999999999999999E-2</v>
      </c>
      <c r="J72" s="14">
        <f>I72*24</f>
        <v>2.2320000000000002</v>
      </c>
      <c r="K72" s="14">
        <f>VLOOKUP($C72,Rotation!$A$2:$J$10,2,FALSE)</f>
        <v>1</v>
      </c>
      <c r="L72" s="14">
        <f>VLOOKUP($C72,Rotation!$A$2:$J$10,3,FALSE)</f>
        <v>1</v>
      </c>
      <c r="M72" s="14">
        <f>VLOOKUP($C72,Rotation!$A$2:$J$10,4,FALSE)</f>
        <v>1</v>
      </c>
      <c r="N72" s="14">
        <f>VLOOKUP($C72,Rotation!$A$2:$J$10,5,FALSE)</f>
        <v>0</v>
      </c>
      <c r="O72" s="14">
        <f>VLOOKUP($C72,Rotation!$A$2:$J$10,6,FALSE)</f>
        <v>0</v>
      </c>
      <c r="P72" s="14">
        <f>VLOOKUP($C72,Rotation!$A$2:$J$10,7,FALSE)</f>
        <v>0</v>
      </c>
      <c r="Q72" s="14">
        <f>VLOOKUP($C72,Rotation!$A$2:$J$10,8,FALSE)</f>
        <v>0</v>
      </c>
      <c r="R72" s="14">
        <f>VLOOKUP($C72,Rotation!$A$2:$J$10,9,FALSE)</f>
        <v>0</v>
      </c>
      <c r="S72" s="14">
        <f>VLOOKUP($C72,Rotation!$A$2:$J$10,10,FALSE)</f>
        <v>0</v>
      </c>
    </row>
    <row r="73" spans="1:19" ht="18">
      <c r="A73" s="14">
        <v>71</v>
      </c>
      <c r="B73" s="14" t="s">
        <v>64</v>
      </c>
      <c r="C73" s="14" t="str">
        <f>VLOOKUP(B73,Family!B:C,2,FALSE)</f>
        <v>A</v>
      </c>
      <c r="D73" s="15">
        <v>111</v>
      </c>
      <c r="E73" s="14">
        <f>ROUND(VLOOKUP(C73,'Production Plan'!A:B,2,FALSE),2)</f>
        <v>407.17</v>
      </c>
      <c r="F73" s="16">
        <v>45681</v>
      </c>
      <c r="G73" s="17">
        <f>F73+6*7</f>
        <v>45723</v>
      </c>
      <c r="H73" s="14">
        <f>G73-F73</f>
        <v>42</v>
      </c>
      <c r="I73" s="14">
        <f>ROUND(D73/E73,3)</f>
        <v>0.27300000000000002</v>
      </c>
      <c r="J73" s="14">
        <f>I73*24</f>
        <v>6.5520000000000005</v>
      </c>
      <c r="K73" s="14">
        <f>VLOOKUP($C73,Rotation!$A$2:$J$10,2,FALSE)</f>
        <v>1</v>
      </c>
      <c r="L73" s="14">
        <f>VLOOKUP($C73,Rotation!$A$2:$J$10,3,FALSE)</f>
        <v>1</v>
      </c>
      <c r="M73" s="14">
        <f>VLOOKUP($C73,Rotation!$A$2:$J$10,4,FALSE)</f>
        <v>1</v>
      </c>
      <c r="N73" s="14">
        <f>VLOOKUP($C73,Rotation!$A$2:$J$10,5,FALSE)</f>
        <v>0</v>
      </c>
      <c r="O73" s="14">
        <f>VLOOKUP($C73,Rotation!$A$2:$J$10,6,FALSE)</f>
        <v>0</v>
      </c>
      <c r="P73" s="14">
        <f>VLOOKUP($C73,Rotation!$A$2:$J$10,7,FALSE)</f>
        <v>0</v>
      </c>
      <c r="Q73" s="14">
        <f>VLOOKUP($C73,Rotation!$A$2:$J$10,8,FALSE)</f>
        <v>0</v>
      </c>
      <c r="R73" s="14">
        <f>VLOOKUP($C73,Rotation!$A$2:$J$10,9,FALSE)</f>
        <v>0</v>
      </c>
      <c r="S73" s="14">
        <f>VLOOKUP($C73,Rotation!$A$2:$J$10,10,FALSE)</f>
        <v>0</v>
      </c>
    </row>
    <row r="74" spans="1:19" ht="18">
      <c r="A74" s="14">
        <v>72</v>
      </c>
      <c r="B74" s="14" t="s">
        <v>65</v>
      </c>
      <c r="C74" s="14" t="str">
        <f>VLOOKUP(B74,Family!B:C,2,FALSE)</f>
        <v>A</v>
      </c>
      <c r="D74" s="15">
        <v>38</v>
      </c>
      <c r="E74" s="14">
        <f>ROUND(VLOOKUP(C74,'Production Plan'!A:B,2,FALSE),2)</f>
        <v>407.17</v>
      </c>
      <c r="F74" s="16">
        <v>45679</v>
      </c>
      <c r="G74" s="17">
        <f>F74+6*7</f>
        <v>45721</v>
      </c>
      <c r="H74" s="14">
        <f>G74-F74</f>
        <v>42</v>
      </c>
      <c r="I74" s="14">
        <f>ROUND(D74/E74,3)</f>
        <v>9.2999999999999999E-2</v>
      </c>
      <c r="J74" s="14">
        <f>I74*24</f>
        <v>2.2320000000000002</v>
      </c>
      <c r="K74" s="14">
        <f>VLOOKUP($C74,Rotation!$A$2:$J$10,2,FALSE)</f>
        <v>1</v>
      </c>
      <c r="L74" s="14">
        <f>VLOOKUP($C74,Rotation!$A$2:$J$10,3,FALSE)</f>
        <v>1</v>
      </c>
      <c r="M74" s="14">
        <f>VLOOKUP($C74,Rotation!$A$2:$J$10,4,FALSE)</f>
        <v>1</v>
      </c>
      <c r="N74" s="14">
        <f>VLOOKUP($C74,Rotation!$A$2:$J$10,5,FALSE)</f>
        <v>0</v>
      </c>
      <c r="O74" s="14">
        <f>VLOOKUP($C74,Rotation!$A$2:$J$10,6,FALSE)</f>
        <v>0</v>
      </c>
      <c r="P74" s="14">
        <f>VLOOKUP($C74,Rotation!$A$2:$J$10,7,FALSE)</f>
        <v>0</v>
      </c>
      <c r="Q74" s="14">
        <f>VLOOKUP($C74,Rotation!$A$2:$J$10,8,FALSE)</f>
        <v>0</v>
      </c>
      <c r="R74" s="14">
        <f>VLOOKUP($C74,Rotation!$A$2:$J$10,9,FALSE)</f>
        <v>0</v>
      </c>
      <c r="S74" s="14">
        <f>VLOOKUP($C74,Rotation!$A$2:$J$10,10,FALSE)</f>
        <v>0</v>
      </c>
    </row>
    <row r="75" spans="1:19" ht="18">
      <c r="A75" s="14">
        <v>73</v>
      </c>
      <c r="B75" s="14" t="s">
        <v>65</v>
      </c>
      <c r="C75" s="14" t="str">
        <f>VLOOKUP(B75,Family!B:C,2,FALSE)</f>
        <v>A</v>
      </c>
      <c r="D75" s="15">
        <v>38</v>
      </c>
      <c r="E75" s="14">
        <f>ROUND(VLOOKUP(C75,'Production Plan'!A:B,2,FALSE),2)</f>
        <v>407.17</v>
      </c>
      <c r="F75" s="16">
        <v>45679</v>
      </c>
      <c r="G75" s="17">
        <f>F75+6*7</f>
        <v>45721</v>
      </c>
      <c r="H75" s="14">
        <f>G75-F75</f>
        <v>42</v>
      </c>
      <c r="I75" s="14">
        <f>ROUND(D75/E75,3)</f>
        <v>9.2999999999999999E-2</v>
      </c>
      <c r="J75" s="14">
        <f>I75*24</f>
        <v>2.2320000000000002</v>
      </c>
      <c r="K75" s="14">
        <f>VLOOKUP($C75,Rotation!$A$2:$J$10,2,FALSE)</f>
        <v>1</v>
      </c>
      <c r="L75" s="14">
        <f>VLOOKUP($C75,Rotation!$A$2:$J$10,3,FALSE)</f>
        <v>1</v>
      </c>
      <c r="M75" s="14">
        <f>VLOOKUP($C75,Rotation!$A$2:$J$10,4,FALSE)</f>
        <v>1</v>
      </c>
      <c r="N75" s="14">
        <f>VLOOKUP($C75,Rotation!$A$2:$J$10,5,FALSE)</f>
        <v>0</v>
      </c>
      <c r="O75" s="14">
        <f>VLOOKUP($C75,Rotation!$A$2:$J$10,6,FALSE)</f>
        <v>0</v>
      </c>
      <c r="P75" s="14">
        <f>VLOOKUP($C75,Rotation!$A$2:$J$10,7,FALSE)</f>
        <v>0</v>
      </c>
      <c r="Q75" s="14">
        <f>VLOOKUP($C75,Rotation!$A$2:$J$10,8,FALSE)</f>
        <v>0</v>
      </c>
      <c r="R75" s="14">
        <f>VLOOKUP($C75,Rotation!$A$2:$J$10,9,FALSE)</f>
        <v>0</v>
      </c>
      <c r="S75" s="14">
        <f>VLOOKUP($C75,Rotation!$A$2:$J$10,10,FALSE)</f>
        <v>0</v>
      </c>
    </row>
    <row r="76" spans="1:19" ht="18">
      <c r="A76" s="14">
        <v>74</v>
      </c>
      <c r="B76" s="14" t="s">
        <v>64</v>
      </c>
      <c r="C76" s="14" t="str">
        <f>VLOOKUP(B76,Family!B:C,2,FALSE)</f>
        <v>A</v>
      </c>
      <c r="D76" s="15">
        <v>111</v>
      </c>
      <c r="E76" s="14">
        <f>ROUND(VLOOKUP(C76,'Production Plan'!A:B,2,FALSE),2)</f>
        <v>407.17</v>
      </c>
      <c r="F76" s="16">
        <v>45684</v>
      </c>
      <c r="G76" s="17">
        <f>F76+6*7</f>
        <v>45726</v>
      </c>
      <c r="H76" s="14">
        <f>G76-F76</f>
        <v>42</v>
      </c>
      <c r="I76" s="14">
        <f>ROUND(D76/E76,3)</f>
        <v>0.27300000000000002</v>
      </c>
      <c r="J76" s="14">
        <f>I76*24</f>
        <v>6.5520000000000005</v>
      </c>
      <c r="K76" s="14">
        <f>VLOOKUP($C76,Rotation!$A$2:$J$10,2,FALSE)</f>
        <v>1</v>
      </c>
      <c r="L76" s="14">
        <f>VLOOKUP($C76,Rotation!$A$2:$J$10,3,FALSE)</f>
        <v>1</v>
      </c>
      <c r="M76" s="14">
        <f>VLOOKUP($C76,Rotation!$A$2:$J$10,4,FALSE)</f>
        <v>1</v>
      </c>
      <c r="N76" s="14">
        <f>VLOOKUP($C76,Rotation!$A$2:$J$10,5,FALSE)</f>
        <v>0</v>
      </c>
      <c r="O76" s="14">
        <f>VLOOKUP($C76,Rotation!$A$2:$J$10,6,FALSE)</f>
        <v>0</v>
      </c>
      <c r="P76" s="14">
        <f>VLOOKUP($C76,Rotation!$A$2:$J$10,7,FALSE)</f>
        <v>0</v>
      </c>
      <c r="Q76" s="14">
        <f>VLOOKUP($C76,Rotation!$A$2:$J$10,8,FALSE)</f>
        <v>0</v>
      </c>
      <c r="R76" s="14">
        <f>VLOOKUP($C76,Rotation!$A$2:$J$10,9,FALSE)</f>
        <v>0</v>
      </c>
      <c r="S76" s="14">
        <f>VLOOKUP($C76,Rotation!$A$2:$J$10,10,FALSE)</f>
        <v>0</v>
      </c>
    </row>
    <row r="77" spans="1:19" ht="18">
      <c r="A77" s="14">
        <v>75</v>
      </c>
      <c r="B77" s="14" t="s">
        <v>64</v>
      </c>
      <c r="C77" s="14" t="str">
        <f>VLOOKUP(B77,Family!B:C,2,FALSE)</f>
        <v>A</v>
      </c>
      <c r="D77" s="15">
        <v>111</v>
      </c>
      <c r="E77" s="14">
        <f>ROUND(VLOOKUP(C77,'Production Plan'!A:B,2,FALSE),2)</f>
        <v>407.17</v>
      </c>
      <c r="F77" s="16">
        <v>45695</v>
      </c>
      <c r="G77" s="17">
        <f>F77+6*7</f>
        <v>45737</v>
      </c>
      <c r="H77" s="14">
        <f>G77-F77</f>
        <v>42</v>
      </c>
      <c r="I77" s="14">
        <f>ROUND(D77/E77,3)</f>
        <v>0.27300000000000002</v>
      </c>
      <c r="J77" s="14">
        <f>I77*24</f>
        <v>6.5520000000000005</v>
      </c>
      <c r="K77" s="14">
        <f>VLOOKUP($C77,Rotation!$A$2:$J$10,2,FALSE)</f>
        <v>1</v>
      </c>
      <c r="L77" s="14">
        <f>VLOOKUP($C77,Rotation!$A$2:$J$10,3,FALSE)</f>
        <v>1</v>
      </c>
      <c r="M77" s="14">
        <f>VLOOKUP($C77,Rotation!$A$2:$J$10,4,FALSE)</f>
        <v>1</v>
      </c>
      <c r="N77" s="14">
        <f>VLOOKUP($C77,Rotation!$A$2:$J$10,5,FALSE)</f>
        <v>0</v>
      </c>
      <c r="O77" s="14">
        <f>VLOOKUP($C77,Rotation!$A$2:$J$10,6,FALSE)</f>
        <v>0</v>
      </c>
      <c r="P77" s="14">
        <f>VLOOKUP($C77,Rotation!$A$2:$J$10,7,FALSE)</f>
        <v>0</v>
      </c>
      <c r="Q77" s="14">
        <f>VLOOKUP($C77,Rotation!$A$2:$J$10,8,FALSE)</f>
        <v>0</v>
      </c>
      <c r="R77" s="14">
        <f>VLOOKUP($C77,Rotation!$A$2:$J$10,9,FALSE)</f>
        <v>0</v>
      </c>
      <c r="S77" s="14">
        <f>VLOOKUP($C77,Rotation!$A$2:$J$10,10,FALSE)</f>
        <v>0</v>
      </c>
    </row>
    <row r="78" spans="1:19" ht="18">
      <c r="A78" s="14">
        <v>76</v>
      </c>
      <c r="B78" s="14" t="s">
        <v>64</v>
      </c>
      <c r="C78" s="14" t="str">
        <f>VLOOKUP(B78,Family!B:C,2,FALSE)</f>
        <v>A</v>
      </c>
      <c r="D78" s="15">
        <v>37</v>
      </c>
      <c r="E78" s="14">
        <f>ROUND(VLOOKUP(C78,'Production Plan'!A:B,2,FALSE),2)</f>
        <v>407.17</v>
      </c>
      <c r="F78" s="16">
        <v>45695</v>
      </c>
      <c r="G78" s="17">
        <f>F78+6*7</f>
        <v>45737</v>
      </c>
      <c r="H78" s="14">
        <f>G78-F78</f>
        <v>42</v>
      </c>
      <c r="I78" s="14">
        <f>ROUND(D78/E78,3)</f>
        <v>9.0999999999999998E-2</v>
      </c>
      <c r="J78" s="14">
        <f>I78*24</f>
        <v>2.1840000000000002</v>
      </c>
      <c r="K78" s="14">
        <f>VLOOKUP($C78,Rotation!$A$2:$J$10,2,FALSE)</f>
        <v>1</v>
      </c>
      <c r="L78" s="14">
        <f>VLOOKUP($C78,Rotation!$A$2:$J$10,3,FALSE)</f>
        <v>1</v>
      </c>
      <c r="M78" s="14">
        <f>VLOOKUP($C78,Rotation!$A$2:$J$10,4,FALSE)</f>
        <v>1</v>
      </c>
      <c r="N78" s="14">
        <f>VLOOKUP($C78,Rotation!$A$2:$J$10,5,FALSE)</f>
        <v>0</v>
      </c>
      <c r="O78" s="14">
        <f>VLOOKUP($C78,Rotation!$A$2:$J$10,6,FALSE)</f>
        <v>0</v>
      </c>
      <c r="P78" s="14">
        <f>VLOOKUP($C78,Rotation!$A$2:$J$10,7,FALSE)</f>
        <v>0</v>
      </c>
      <c r="Q78" s="14">
        <f>VLOOKUP($C78,Rotation!$A$2:$J$10,8,FALSE)</f>
        <v>0</v>
      </c>
      <c r="R78" s="14">
        <f>VLOOKUP($C78,Rotation!$A$2:$J$10,9,FALSE)</f>
        <v>0</v>
      </c>
      <c r="S78" s="14">
        <f>VLOOKUP($C78,Rotation!$A$2:$J$10,10,FALSE)</f>
        <v>0</v>
      </c>
    </row>
    <row r="79" spans="1:19" ht="18">
      <c r="A79" s="14">
        <v>77</v>
      </c>
      <c r="B79" s="14" t="s">
        <v>87</v>
      </c>
      <c r="C79" s="14" t="str">
        <f>VLOOKUP(B79,Family!B:C,2,FALSE)</f>
        <v>E</v>
      </c>
      <c r="D79" s="15">
        <v>18</v>
      </c>
      <c r="E79" s="14">
        <f>ROUND(VLOOKUP(C79,'Production Plan'!A:B,2,FALSE),2)</f>
        <v>333.66</v>
      </c>
      <c r="F79" s="16">
        <v>45695</v>
      </c>
      <c r="G79" s="17">
        <f>F79+6*7</f>
        <v>45737</v>
      </c>
      <c r="H79" s="14">
        <f>G79-F79</f>
        <v>42</v>
      </c>
      <c r="I79" s="14">
        <f>ROUND(D79/E79,3)</f>
        <v>5.3999999999999999E-2</v>
      </c>
      <c r="J79" s="14">
        <f>I79*24</f>
        <v>1.296</v>
      </c>
      <c r="K79" s="14">
        <f>VLOOKUP($C79,Rotation!$A$2:$J$10,2,FALSE)</f>
        <v>1</v>
      </c>
      <c r="L79" s="14">
        <f>VLOOKUP($C79,Rotation!$A$2:$J$10,3,FALSE)</f>
        <v>0</v>
      </c>
      <c r="M79" s="14">
        <f>VLOOKUP($C79,Rotation!$A$2:$J$10,4,FALSE)</f>
        <v>0</v>
      </c>
      <c r="N79" s="14">
        <f>VLOOKUP($C79,Rotation!$A$2:$J$10,5,FALSE)</f>
        <v>0</v>
      </c>
      <c r="O79" s="14">
        <f>VLOOKUP($C79,Rotation!$A$2:$J$10,6,FALSE)</f>
        <v>0</v>
      </c>
      <c r="P79" s="14">
        <f>VLOOKUP($C79,Rotation!$A$2:$J$10,7,FALSE)</f>
        <v>1</v>
      </c>
      <c r="Q79" s="14">
        <f>VLOOKUP($C79,Rotation!$A$2:$J$10,8,FALSE)</f>
        <v>0</v>
      </c>
      <c r="R79" s="14">
        <f>VLOOKUP($C79,Rotation!$A$2:$J$10,9,FALSE)</f>
        <v>0</v>
      </c>
      <c r="S79" s="14">
        <f>VLOOKUP($C79,Rotation!$A$2:$J$10,10,FALSE)</f>
        <v>0</v>
      </c>
    </row>
    <row r="80" spans="1:19" ht="18">
      <c r="A80" s="14">
        <v>78</v>
      </c>
      <c r="B80" s="14" t="s">
        <v>108</v>
      </c>
      <c r="C80" s="14" t="str">
        <f>VLOOKUP(B80,Family!B:C,2,FALSE)</f>
        <v>P</v>
      </c>
      <c r="D80" s="15">
        <v>108</v>
      </c>
      <c r="E80" s="14">
        <f>ROUND(VLOOKUP(C80,'Production Plan'!A:B,2,FALSE),2)</f>
        <v>409.15</v>
      </c>
      <c r="F80" s="16">
        <v>45674</v>
      </c>
      <c r="G80" s="17">
        <f>F80+6*7</f>
        <v>45716</v>
      </c>
      <c r="H80" s="14">
        <f>G80-F80</f>
        <v>42</v>
      </c>
      <c r="I80" s="14">
        <f>ROUND(D80/E80,3)</f>
        <v>0.26400000000000001</v>
      </c>
      <c r="J80" s="14">
        <f>I80*24</f>
        <v>6.3360000000000003</v>
      </c>
      <c r="K80" s="14">
        <f>VLOOKUP($C80,Rotation!$A$2:$J$10,2,FALSE)</f>
        <v>1</v>
      </c>
      <c r="L80" s="14">
        <f>VLOOKUP($C80,Rotation!$A$2:$J$10,3,FALSE)</f>
        <v>1</v>
      </c>
      <c r="M80" s="14">
        <f>VLOOKUP($C80,Rotation!$A$2:$J$10,4,FALSE)</f>
        <v>0</v>
      </c>
      <c r="N80" s="14">
        <f>VLOOKUP($C80,Rotation!$A$2:$J$10,5,FALSE)</f>
        <v>0</v>
      </c>
      <c r="O80" s="14">
        <f>VLOOKUP($C80,Rotation!$A$2:$J$10,6,FALSE)</f>
        <v>0</v>
      </c>
      <c r="P80" s="14">
        <f>VLOOKUP($C80,Rotation!$A$2:$J$10,7,FALSE)</f>
        <v>0</v>
      </c>
      <c r="Q80" s="14">
        <f>VLOOKUP($C80,Rotation!$A$2:$J$10,8,FALSE)</f>
        <v>0</v>
      </c>
      <c r="R80" s="14">
        <f>VLOOKUP($C80,Rotation!$A$2:$J$10,9,FALSE)</f>
        <v>0</v>
      </c>
      <c r="S80" s="14">
        <f>VLOOKUP($C80,Rotation!$A$2:$J$10,10,FALSE)</f>
        <v>0</v>
      </c>
    </row>
    <row r="81" spans="1:19" ht="18">
      <c r="A81" s="14">
        <v>79</v>
      </c>
      <c r="B81" s="14" t="s">
        <v>108</v>
      </c>
      <c r="C81" s="14" t="str">
        <f>VLOOKUP(B81,Family!B:C,2,FALSE)</f>
        <v>P</v>
      </c>
      <c r="D81" s="15">
        <v>108</v>
      </c>
      <c r="E81" s="14">
        <f>ROUND(VLOOKUP(C81,'Production Plan'!A:B,2,FALSE),2)</f>
        <v>409.15</v>
      </c>
      <c r="F81" s="16">
        <v>45674</v>
      </c>
      <c r="G81" s="17">
        <f>F81+6*7</f>
        <v>45716</v>
      </c>
      <c r="H81" s="14">
        <f>G81-F81</f>
        <v>42</v>
      </c>
      <c r="I81" s="14">
        <f>ROUND(D81/E81,3)</f>
        <v>0.26400000000000001</v>
      </c>
      <c r="J81" s="14">
        <f>I81*24</f>
        <v>6.3360000000000003</v>
      </c>
      <c r="K81" s="14">
        <f>VLOOKUP($C81,Rotation!$A$2:$J$10,2,FALSE)</f>
        <v>1</v>
      </c>
      <c r="L81" s="14">
        <f>VLOOKUP($C81,Rotation!$A$2:$J$10,3,FALSE)</f>
        <v>1</v>
      </c>
      <c r="M81" s="14">
        <f>VLOOKUP($C81,Rotation!$A$2:$J$10,4,FALSE)</f>
        <v>0</v>
      </c>
      <c r="N81" s="14">
        <f>VLOOKUP($C81,Rotation!$A$2:$J$10,5,FALSE)</f>
        <v>0</v>
      </c>
      <c r="O81" s="14">
        <f>VLOOKUP($C81,Rotation!$A$2:$J$10,6,FALSE)</f>
        <v>0</v>
      </c>
      <c r="P81" s="14">
        <f>VLOOKUP($C81,Rotation!$A$2:$J$10,7,FALSE)</f>
        <v>0</v>
      </c>
      <c r="Q81" s="14">
        <f>VLOOKUP($C81,Rotation!$A$2:$J$10,8,FALSE)</f>
        <v>0</v>
      </c>
      <c r="R81" s="14">
        <f>VLOOKUP($C81,Rotation!$A$2:$J$10,9,FALSE)</f>
        <v>0</v>
      </c>
      <c r="S81" s="14">
        <f>VLOOKUP($C81,Rotation!$A$2:$J$10,10,FALSE)</f>
        <v>0</v>
      </c>
    </row>
    <row r="82" spans="1:19" ht="18">
      <c r="A82" s="14">
        <v>80</v>
      </c>
      <c r="B82" s="14" t="s">
        <v>108</v>
      </c>
      <c r="C82" s="14" t="str">
        <f>VLOOKUP(B82,Family!B:C,2,FALSE)</f>
        <v>P</v>
      </c>
      <c r="D82" s="15">
        <v>108</v>
      </c>
      <c r="E82" s="14">
        <f>ROUND(VLOOKUP(C82,'Production Plan'!A:B,2,FALSE),2)</f>
        <v>409.15</v>
      </c>
      <c r="F82" s="16">
        <v>45674</v>
      </c>
      <c r="G82" s="17">
        <f>F82+6*7</f>
        <v>45716</v>
      </c>
      <c r="H82" s="14">
        <f>G82-F82</f>
        <v>42</v>
      </c>
      <c r="I82" s="14">
        <f>ROUND(D82/E82,3)</f>
        <v>0.26400000000000001</v>
      </c>
      <c r="J82" s="14">
        <f>I82*24</f>
        <v>6.3360000000000003</v>
      </c>
      <c r="K82" s="14">
        <f>VLOOKUP($C82,Rotation!$A$2:$J$10,2,FALSE)</f>
        <v>1</v>
      </c>
      <c r="L82" s="14">
        <f>VLOOKUP($C82,Rotation!$A$2:$J$10,3,FALSE)</f>
        <v>1</v>
      </c>
      <c r="M82" s="14">
        <f>VLOOKUP($C82,Rotation!$A$2:$J$10,4,FALSE)</f>
        <v>0</v>
      </c>
      <c r="N82" s="14">
        <f>VLOOKUP($C82,Rotation!$A$2:$J$10,5,FALSE)</f>
        <v>0</v>
      </c>
      <c r="O82" s="14">
        <f>VLOOKUP($C82,Rotation!$A$2:$J$10,6,FALSE)</f>
        <v>0</v>
      </c>
      <c r="P82" s="14">
        <f>VLOOKUP($C82,Rotation!$A$2:$J$10,7,FALSE)</f>
        <v>0</v>
      </c>
      <c r="Q82" s="14">
        <f>VLOOKUP($C82,Rotation!$A$2:$J$10,8,FALSE)</f>
        <v>0</v>
      </c>
      <c r="R82" s="14">
        <f>VLOOKUP($C82,Rotation!$A$2:$J$10,9,FALSE)</f>
        <v>0</v>
      </c>
      <c r="S82" s="14">
        <f>VLOOKUP($C82,Rotation!$A$2:$J$10,10,FALSE)</f>
        <v>0</v>
      </c>
    </row>
    <row r="83" spans="1:19" ht="18">
      <c r="A83" s="14">
        <v>81</v>
      </c>
      <c r="B83" s="14" t="s">
        <v>108</v>
      </c>
      <c r="C83" s="14" t="str">
        <f>VLOOKUP(B83,Family!B:C,2,FALSE)</f>
        <v>P</v>
      </c>
      <c r="D83" s="15">
        <v>108</v>
      </c>
      <c r="E83" s="14">
        <f>ROUND(VLOOKUP(C83,'Production Plan'!A:B,2,FALSE),2)</f>
        <v>409.15</v>
      </c>
      <c r="F83" s="16">
        <v>45674</v>
      </c>
      <c r="G83" s="17">
        <f>F83+6*7</f>
        <v>45716</v>
      </c>
      <c r="H83" s="14">
        <f>G83-F83</f>
        <v>42</v>
      </c>
      <c r="I83" s="14">
        <f>ROUND(D83/E83,3)</f>
        <v>0.26400000000000001</v>
      </c>
      <c r="J83" s="14">
        <f>I83*24</f>
        <v>6.3360000000000003</v>
      </c>
      <c r="K83" s="14">
        <f>VLOOKUP($C83,Rotation!$A$2:$J$10,2,FALSE)</f>
        <v>1</v>
      </c>
      <c r="L83" s="14">
        <f>VLOOKUP($C83,Rotation!$A$2:$J$10,3,FALSE)</f>
        <v>1</v>
      </c>
      <c r="M83" s="14">
        <f>VLOOKUP($C83,Rotation!$A$2:$J$10,4,FALSE)</f>
        <v>0</v>
      </c>
      <c r="N83" s="14">
        <f>VLOOKUP($C83,Rotation!$A$2:$J$10,5,FALSE)</f>
        <v>0</v>
      </c>
      <c r="O83" s="14">
        <f>VLOOKUP($C83,Rotation!$A$2:$J$10,6,FALSE)</f>
        <v>0</v>
      </c>
      <c r="P83" s="14">
        <f>VLOOKUP($C83,Rotation!$A$2:$J$10,7,FALSE)</f>
        <v>0</v>
      </c>
      <c r="Q83" s="14">
        <f>VLOOKUP($C83,Rotation!$A$2:$J$10,8,FALSE)</f>
        <v>0</v>
      </c>
      <c r="R83" s="14">
        <f>VLOOKUP($C83,Rotation!$A$2:$J$10,9,FALSE)</f>
        <v>0</v>
      </c>
      <c r="S83" s="14">
        <f>VLOOKUP($C83,Rotation!$A$2:$J$10,10,FALSE)</f>
        <v>0</v>
      </c>
    </row>
    <row r="84" spans="1:19" ht="18">
      <c r="A84" s="14">
        <v>82</v>
      </c>
      <c r="B84" s="14" t="s">
        <v>106</v>
      </c>
      <c r="C84" s="14" t="str">
        <f>VLOOKUP(B84,Family!B:C,2,FALSE)</f>
        <v>P</v>
      </c>
      <c r="D84" s="15">
        <v>19</v>
      </c>
      <c r="E84" s="14">
        <f>ROUND(VLOOKUP(C84,'Production Plan'!A:B,2,FALSE),2)</f>
        <v>409.15</v>
      </c>
      <c r="F84" s="16">
        <v>45706</v>
      </c>
      <c r="G84" s="17">
        <f>F84+6*7</f>
        <v>45748</v>
      </c>
      <c r="H84" s="14">
        <f>G84-F84</f>
        <v>42</v>
      </c>
      <c r="I84" s="14">
        <f>ROUND(D84/E84,3)</f>
        <v>4.5999999999999999E-2</v>
      </c>
      <c r="J84" s="14">
        <f>I84*24</f>
        <v>1.1040000000000001</v>
      </c>
      <c r="K84" s="14">
        <f>VLOOKUP($C84,Rotation!$A$2:$J$10,2,FALSE)</f>
        <v>1</v>
      </c>
      <c r="L84" s="14">
        <f>VLOOKUP($C84,Rotation!$A$2:$J$10,3,FALSE)</f>
        <v>1</v>
      </c>
      <c r="M84" s="14">
        <f>VLOOKUP($C84,Rotation!$A$2:$J$10,4,FALSE)</f>
        <v>0</v>
      </c>
      <c r="N84" s="14">
        <f>VLOOKUP($C84,Rotation!$A$2:$J$10,5,FALSE)</f>
        <v>0</v>
      </c>
      <c r="O84" s="14">
        <f>VLOOKUP($C84,Rotation!$A$2:$J$10,6,FALSE)</f>
        <v>0</v>
      </c>
      <c r="P84" s="14">
        <f>VLOOKUP($C84,Rotation!$A$2:$J$10,7,FALSE)</f>
        <v>0</v>
      </c>
      <c r="Q84" s="14">
        <f>VLOOKUP($C84,Rotation!$A$2:$J$10,8,FALSE)</f>
        <v>0</v>
      </c>
      <c r="R84" s="14">
        <f>VLOOKUP($C84,Rotation!$A$2:$J$10,9,FALSE)</f>
        <v>0</v>
      </c>
      <c r="S84" s="14">
        <f>VLOOKUP($C84,Rotation!$A$2:$J$10,10,FALSE)</f>
        <v>0</v>
      </c>
    </row>
    <row r="85" spans="1:19" ht="18">
      <c r="A85" s="14">
        <v>83</v>
      </c>
      <c r="B85" s="14" t="s">
        <v>106</v>
      </c>
      <c r="C85" s="14" t="str">
        <f>VLOOKUP(B85,Family!B:C,2,FALSE)</f>
        <v>P</v>
      </c>
      <c r="D85" s="15">
        <v>19</v>
      </c>
      <c r="E85" s="14">
        <f>ROUND(VLOOKUP(C85,'Production Plan'!A:B,2,FALSE),2)</f>
        <v>409.15</v>
      </c>
      <c r="F85" s="16">
        <v>45706</v>
      </c>
      <c r="G85" s="17">
        <f>F85+6*7</f>
        <v>45748</v>
      </c>
      <c r="H85" s="14">
        <f>G85-F85</f>
        <v>42</v>
      </c>
      <c r="I85" s="14">
        <f>ROUND(D85/E85,3)</f>
        <v>4.5999999999999999E-2</v>
      </c>
      <c r="J85" s="14">
        <f>I85*24</f>
        <v>1.1040000000000001</v>
      </c>
      <c r="K85" s="14">
        <f>VLOOKUP($C85,Rotation!$A$2:$J$10,2,FALSE)</f>
        <v>1</v>
      </c>
      <c r="L85" s="14">
        <f>VLOOKUP($C85,Rotation!$A$2:$J$10,3,FALSE)</f>
        <v>1</v>
      </c>
      <c r="M85" s="14">
        <f>VLOOKUP($C85,Rotation!$A$2:$J$10,4,FALSE)</f>
        <v>0</v>
      </c>
      <c r="N85" s="14">
        <f>VLOOKUP($C85,Rotation!$A$2:$J$10,5,FALSE)</f>
        <v>0</v>
      </c>
      <c r="O85" s="14">
        <f>VLOOKUP($C85,Rotation!$A$2:$J$10,6,FALSE)</f>
        <v>0</v>
      </c>
      <c r="P85" s="14">
        <f>VLOOKUP($C85,Rotation!$A$2:$J$10,7,FALSE)</f>
        <v>0</v>
      </c>
      <c r="Q85" s="14">
        <f>VLOOKUP($C85,Rotation!$A$2:$J$10,8,FALSE)</f>
        <v>0</v>
      </c>
      <c r="R85" s="14">
        <f>VLOOKUP($C85,Rotation!$A$2:$J$10,9,FALSE)</f>
        <v>0</v>
      </c>
      <c r="S85" s="14">
        <f>VLOOKUP($C85,Rotation!$A$2:$J$10,10,FALSE)</f>
        <v>0</v>
      </c>
    </row>
    <row r="86" spans="1:19" ht="18">
      <c r="A86" s="14">
        <v>84</v>
      </c>
      <c r="B86" s="14" t="s">
        <v>106</v>
      </c>
      <c r="C86" s="14" t="str">
        <f>VLOOKUP(B86,Family!B:C,2,FALSE)</f>
        <v>P</v>
      </c>
      <c r="D86" s="15">
        <v>19</v>
      </c>
      <c r="E86" s="14">
        <f>ROUND(VLOOKUP(C86,'Production Plan'!A:B,2,FALSE),2)</f>
        <v>409.15</v>
      </c>
      <c r="F86" s="16">
        <v>45706</v>
      </c>
      <c r="G86" s="17">
        <f>F86+6*7</f>
        <v>45748</v>
      </c>
      <c r="H86" s="14">
        <f>G86-F86</f>
        <v>42</v>
      </c>
      <c r="I86" s="14">
        <f>ROUND(D86/E86,3)</f>
        <v>4.5999999999999999E-2</v>
      </c>
      <c r="J86" s="14">
        <f>I86*24</f>
        <v>1.1040000000000001</v>
      </c>
      <c r="K86" s="14">
        <f>VLOOKUP($C86,Rotation!$A$2:$J$10,2,FALSE)</f>
        <v>1</v>
      </c>
      <c r="L86" s="14">
        <f>VLOOKUP($C86,Rotation!$A$2:$J$10,3,FALSE)</f>
        <v>1</v>
      </c>
      <c r="M86" s="14">
        <f>VLOOKUP($C86,Rotation!$A$2:$J$10,4,FALSE)</f>
        <v>0</v>
      </c>
      <c r="N86" s="14">
        <f>VLOOKUP($C86,Rotation!$A$2:$J$10,5,FALSE)</f>
        <v>0</v>
      </c>
      <c r="O86" s="14">
        <f>VLOOKUP($C86,Rotation!$A$2:$J$10,6,FALSE)</f>
        <v>0</v>
      </c>
      <c r="P86" s="14">
        <f>VLOOKUP($C86,Rotation!$A$2:$J$10,7,FALSE)</f>
        <v>0</v>
      </c>
      <c r="Q86" s="14">
        <f>VLOOKUP($C86,Rotation!$A$2:$J$10,8,FALSE)</f>
        <v>0</v>
      </c>
      <c r="R86" s="14">
        <f>VLOOKUP($C86,Rotation!$A$2:$J$10,9,FALSE)</f>
        <v>0</v>
      </c>
      <c r="S86" s="14">
        <f>VLOOKUP($C86,Rotation!$A$2:$J$10,10,FALSE)</f>
        <v>0</v>
      </c>
    </row>
    <row r="87" spans="1:19" ht="18">
      <c r="A87" s="14">
        <v>85</v>
      </c>
      <c r="B87" s="14" t="s">
        <v>66</v>
      </c>
      <c r="C87" s="14" t="str">
        <f>VLOOKUP(B87,Family!B:C,2,FALSE)</f>
        <v>A</v>
      </c>
      <c r="D87" s="15">
        <v>108</v>
      </c>
      <c r="E87" s="14">
        <f>ROUND(VLOOKUP(C87,'Production Plan'!A:B,2,FALSE),2)</f>
        <v>407.17</v>
      </c>
      <c r="F87" s="16">
        <v>45674</v>
      </c>
      <c r="G87" s="17">
        <f>F87+6*7</f>
        <v>45716</v>
      </c>
      <c r="H87" s="14">
        <f>G87-F87</f>
        <v>42</v>
      </c>
      <c r="I87" s="14">
        <f>ROUND(D87/E87,3)</f>
        <v>0.26500000000000001</v>
      </c>
      <c r="J87" s="14">
        <f>I87*24</f>
        <v>6.36</v>
      </c>
      <c r="K87" s="14">
        <f>VLOOKUP($C87,Rotation!$A$2:$J$10,2,FALSE)</f>
        <v>1</v>
      </c>
      <c r="L87" s="14">
        <f>VLOOKUP($C87,Rotation!$A$2:$J$10,3,FALSE)</f>
        <v>1</v>
      </c>
      <c r="M87" s="14">
        <f>VLOOKUP($C87,Rotation!$A$2:$J$10,4,FALSE)</f>
        <v>1</v>
      </c>
      <c r="N87" s="14">
        <f>VLOOKUP($C87,Rotation!$A$2:$J$10,5,FALSE)</f>
        <v>0</v>
      </c>
      <c r="O87" s="14">
        <f>VLOOKUP($C87,Rotation!$A$2:$J$10,6,FALSE)</f>
        <v>0</v>
      </c>
      <c r="P87" s="14">
        <f>VLOOKUP($C87,Rotation!$A$2:$J$10,7,FALSE)</f>
        <v>0</v>
      </c>
      <c r="Q87" s="14">
        <f>VLOOKUP($C87,Rotation!$A$2:$J$10,8,FALSE)</f>
        <v>0</v>
      </c>
      <c r="R87" s="14">
        <f>VLOOKUP($C87,Rotation!$A$2:$J$10,9,FALSE)</f>
        <v>0</v>
      </c>
      <c r="S87" s="14">
        <f>VLOOKUP($C87,Rotation!$A$2:$J$10,10,FALSE)</f>
        <v>0</v>
      </c>
    </row>
    <row r="88" spans="1:19" ht="18">
      <c r="A88" s="14">
        <v>86</v>
      </c>
      <c r="B88" s="14" t="s">
        <v>64</v>
      </c>
      <c r="C88" s="14" t="str">
        <f>VLOOKUP(B88,Family!B:C,2,FALSE)</f>
        <v>A</v>
      </c>
      <c r="D88" s="15">
        <v>111</v>
      </c>
      <c r="E88" s="14">
        <f>ROUND(VLOOKUP(C88,'Production Plan'!A:B,2,FALSE),2)</f>
        <v>407.17</v>
      </c>
      <c r="F88" s="16">
        <v>45695</v>
      </c>
      <c r="G88" s="17">
        <f>F88+6*7</f>
        <v>45737</v>
      </c>
      <c r="H88" s="14">
        <f>G88-F88</f>
        <v>42</v>
      </c>
      <c r="I88" s="14">
        <f>ROUND(D88/E88,3)</f>
        <v>0.27300000000000002</v>
      </c>
      <c r="J88" s="14">
        <f>I88*24</f>
        <v>6.5520000000000005</v>
      </c>
      <c r="K88" s="14">
        <f>VLOOKUP($C88,Rotation!$A$2:$J$10,2,FALSE)</f>
        <v>1</v>
      </c>
      <c r="L88" s="14">
        <f>VLOOKUP($C88,Rotation!$A$2:$J$10,3,FALSE)</f>
        <v>1</v>
      </c>
      <c r="M88" s="14">
        <f>VLOOKUP($C88,Rotation!$A$2:$J$10,4,FALSE)</f>
        <v>1</v>
      </c>
      <c r="N88" s="14">
        <f>VLOOKUP($C88,Rotation!$A$2:$J$10,5,FALSE)</f>
        <v>0</v>
      </c>
      <c r="O88" s="14">
        <f>VLOOKUP($C88,Rotation!$A$2:$J$10,6,FALSE)</f>
        <v>0</v>
      </c>
      <c r="P88" s="14">
        <f>VLOOKUP($C88,Rotation!$A$2:$J$10,7,FALSE)</f>
        <v>0</v>
      </c>
      <c r="Q88" s="14">
        <f>VLOOKUP($C88,Rotation!$A$2:$J$10,8,FALSE)</f>
        <v>0</v>
      </c>
      <c r="R88" s="14">
        <f>VLOOKUP($C88,Rotation!$A$2:$J$10,9,FALSE)</f>
        <v>0</v>
      </c>
      <c r="S88" s="14">
        <f>VLOOKUP($C88,Rotation!$A$2:$J$10,10,FALSE)</f>
        <v>0</v>
      </c>
    </row>
    <row r="89" spans="1:19" ht="18">
      <c r="A89" s="14">
        <v>87</v>
      </c>
      <c r="B89" s="14" t="s">
        <v>64</v>
      </c>
      <c r="C89" s="14" t="str">
        <f>VLOOKUP(B89,Family!B:C,2,FALSE)</f>
        <v>A</v>
      </c>
      <c r="D89" s="15">
        <v>111</v>
      </c>
      <c r="E89" s="14">
        <f>ROUND(VLOOKUP(C89,'Production Plan'!A:B,2,FALSE),2)</f>
        <v>407.17</v>
      </c>
      <c r="F89" s="16">
        <v>45695</v>
      </c>
      <c r="G89" s="17">
        <f>F89+6*7</f>
        <v>45737</v>
      </c>
      <c r="H89" s="14">
        <f>G89-F89</f>
        <v>42</v>
      </c>
      <c r="I89" s="14">
        <f>ROUND(D89/E89,3)</f>
        <v>0.27300000000000002</v>
      </c>
      <c r="J89" s="14">
        <f>I89*24</f>
        <v>6.5520000000000005</v>
      </c>
      <c r="K89" s="14">
        <f>VLOOKUP($C89,Rotation!$A$2:$J$10,2,FALSE)</f>
        <v>1</v>
      </c>
      <c r="L89" s="14">
        <f>VLOOKUP($C89,Rotation!$A$2:$J$10,3,FALSE)</f>
        <v>1</v>
      </c>
      <c r="M89" s="14">
        <f>VLOOKUP($C89,Rotation!$A$2:$J$10,4,FALSE)</f>
        <v>1</v>
      </c>
      <c r="N89" s="14">
        <f>VLOOKUP($C89,Rotation!$A$2:$J$10,5,FALSE)</f>
        <v>0</v>
      </c>
      <c r="O89" s="14">
        <f>VLOOKUP($C89,Rotation!$A$2:$J$10,6,FALSE)</f>
        <v>0</v>
      </c>
      <c r="P89" s="14">
        <f>VLOOKUP($C89,Rotation!$A$2:$J$10,7,FALSE)</f>
        <v>0</v>
      </c>
      <c r="Q89" s="14">
        <f>VLOOKUP($C89,Rotation!$A$2:$J$10,8,FALSE)</f>
        <v>0</v>
      </c>
      <c r="R89" s="14">
        <f>VLOOKUP($C89,Rotation!$A$2:$J$10,9,FALSE)</f>
        <v>0</v>
      </c>
      <c r="S89" s="14">
        <f>VLOOKUP($C89,Rotation!$A$2:$J$10,10,FALSE)</f>
        <v>0</v>
      </c>
    </row>
    <row r="90" spans="1:19" ht="18">
      <c r="A90" s="14">
        <v>88</v>
      </c>
      <c r="B90" s="14" t="s">
        <v>106</v>
      </c>
      <c r="C90" s="14" t="str">
        <f>VLOOKUP(B90,Family!B:C,2,FALSE)</f>
        <v>P</v>
      </c>
      <c r="D90" s="15">
        <v>19</v>
      </c>
      <c r="E90" s="14">
        <f>ROUND(VLOOKUP(C90,'Production Plan'!A:B,2,FALSE),2)</f>
        <v>409.15</v>
      </c>
      <c r="F90" s="16">
        <v>45706</v>
      </c>
      <c r="G90" s="17">
        <f>F90+6*7</f>
        <v>45748</v>
      </c>
      <c r="H90" s="14">
        <f>G90-F90</f>
        <v>42</v>
      </c>
      <c r="I90" s="14">
        <f>ROUND(D90/E90,3)</f>
        <v>4.5999999999999999E-2</v>
      </c>
      <c r="J90" s="14">
        <f>I90*24</f>
        <v>1.1040000000000001</v>
      </c>
      <c r="K90" s="14">
        <f>VLOOKUP($C90,Rotation!$A$2:$J$10,2,FALSE)</f>
        <v>1</v>
      </c>
      <c r="L90" s="14">
        <f>VLOOKUP($C90,Rotation!$A$2:$J$10,3,FALSE)</f>
        <v>1</v>
      </c>
      <c r="M90" s="14">
        <f>VLOOKUP($C90,Rotation!$A$2:$J$10,4,FALSE)</f>
        <v>0</v>
      </c>
      <c r="N90" s="14">
        <f>VLOOKUP($C90,Rotation!$A$2:$J$10,5,FALSE)</f>
        <v>0</v>
      </c>
      <c r="O90" s="14">
        <f>VLOOKUP($C90,Rotation!$A$2:$J$10,6,FALSE)</f>
        <v>0</v>
      </c>
      <c r="P90" s="14">
        <f>VLOOKUP($C90,Rotation!$A$2:$J$10,7,FALSE)</f>
        <v>0</v>
      </c>
      <c r="Q90" s="14">
        <f>VLOOKUP($C90,Rotation!$A$2:$J$10,8,FALSE)</f>
        <v>0</v>
      </c>
      <c r="R90" s="14">
        <f>VLOOKUP($C90,Rotation!$A$2:$J$10,9,FALSE)</f>
        <v>0</v>
      </c>
      <c r="S90" s="14">
        <f>VLOOKUP($C90,Rotation!$A$2:$J$10,10,FALSE)</f>
        <v>0</v>
      </c>
    </row>
    <row r="91" spans="1:19" ht="18">
      <c r="A91" s="14">
        <v>89</v>
      </c>
      <c r="B91" s="14" t="s">
        <v>106</v>
      </c>
      <c r="C91" s="14" t="str">
        <f>VLOOKUP(B91,Family!B:C,2,FALSE)</f>
        <v>P</v>
      </c>
      <c r="D91" s="15">
        <v>19</v>
      </c>
      <c r="E91" s="14">
        <f>ROUND(VLOOKUP(C91,'Production Plan'!A:B,2,FALSE),2)</f>
        <v>409.15</v>
      </c>
      <c r="F91" s="16">
        <v>45706</v>
      </c>
      <c r="G91" s="17">
        <f>F91+6*7</f>
        <v>45748</v>
      </c>
      <c r="H91" s="14">
        <f>G91-F91</f>
        <v>42</v>
      </c>
      <c r="I91" s="14">
        <f>ROUND(D91/E91,3)</f>
        <v>4.5999999999999999E-2</v>
      </c>
      <c r="J91" s="14">
        <f>I91*24</f>
        <v>1.1040000000000001</v>
      </c>
      <c r="K91" s="14">
        <f>VLOOKUP($C91,Rotation!$A$2:$J$10,2,FALSE)</f>
        <v>1</v>
      </c>
      <c r="L91" s="14">
        <f>VLOOKUP($C91,Rotation!$A$2:$J$10,3,FALSE)</f>
        <v>1</v>
      </c>
      <c r="M91" s="14">
        <f>VLOOKUP($C91,Rotation!$A$2:$J$10,4,FALSE)</f>
        <v>0</v>
      </c>
      <c r="N91" s="14">
        <f>VLOOKUP($C91,Rotation!$A$2:$J$10,5,FALSE)</f>
        <v>0</v>
      </c>
      <c r="O91" s="14">
        <f>VLOOKUP($C91,Rotation!$A$2:$J$10,6,FALSE)</f>
        <v>0</v>
      </c>
      <c r="P91" s="14">
        <f>VLOOKUP($C91,Rotation!$A$2:$J$10,7,FALSE)</f>
        <v>0</v>
      </c>
      <c r="Q91" s="14">
        <f>VLOOKUP($C91,Rotation!$A$2:$J$10,8,FALSE)</f>
        <v>0</v>
      </c>
      <c r="R91" s="14">
        <f>VLOOKUP($C91,Rotation!$A$2:$J$10,9,FALSE)</f>
        <v>0</v>
      </c>
      <c r="S91" s="14">
        <f>VLOOKUP($C91,Rotation!$A$2:$J$10,10,FALSE)</f>
        <v>0</v>
      </c>
    </row>
    <row r="92" spans="1:19" ht="18">
      <c r="A92" s="14">
        <v>90</v>
      </c>
      <c r="B92" s="14" t="s">
        <v>108</v>
      </c>
      <c r="C92" s="14" t="str">
        <f>VLOOKUP(B92,Family!B:C,2,FALSE)</f>
        <v>P</v>
      </c>
      <c r="D92" s="15">
        <v>163</v>
      </c>
      <c r="E92" s="14">
        <f>ROUND(VLOOKUP(C92,'Production Plan'!A:B,2,FALSE),2)</f>
        <v>409.15</v>
      </c>
      <c r="F92" s="16">
        <v>45674</v>
      </c>
      <c r="G92" s="17">
        <f>F92+6*7</f>
        <v>45716</v>
      </c>
      <c r="H92" s="14">
        <f>G92-F92</f>
        <v>42</v>
      </c>
      <c r="I92" s="14">
        <f>ROUND(D92/E92,3)</f>
        <v>0.39800000000000002</v>
      </c>
      <c r="J92" s="14">
        <f>I92*24</f>
        <v>9.5519999999999996</v>
      </c>
      <c r="K92" s="14">
        <f>VLOOKUP($C92,Rotation!$A$2:$J$10,2,FALSE)</f>
        <v>1</v>
      </c>
      <c r="L92" s="14">
        <f>VLOOKUP($C92,Rotation!$A$2:$J$10,3,FALSE)</f>
        <v>1</v>
      </c>
      <c r="M92" s="14">
        <f>VLOOKUP($C92,Rotation!$A$2:$J$10,4,FALSE)</f>
        <v>0</v>
      </c>
      <c r="N92" s="14">
        <f>VLOOKUP($C92,Rotation!$A$2:$J$10,5,FALSE)</f>
        <v>0</v>
      </c>
      <c r="O92" s="14">
        <f>VLOOKUP($C92,Rotation!$A$2:$J$10,6,FALSE)</f>
        <v>0</v>
      </c>
      <c r="P92" s="14">
        <f>VLOOKUP($C92,Rotation!$A$2:$J$10,7,FALSE)</f>
        <v>0</v>
      </c>
      <c r="Q92" s="14">
        <f>VLOOKUP($C92,Rotation!$A$2:$J$10,8,FALSE)</f>
        <v>0</v>
      </c>
      <c r="R92" s="14">
        <f>VLOOKUP($C92,Rotation!$A$2:$J$10,9,FALSE)</f>
        <v>0</v>
      </c>
      <c r="S92" s="14">
        <f>VLOOKUP($C92,Rotation!$A$2:$J$10,10,FALSE)</f>
        <v>0</v>
      </c>
    </row>
    <row r="93" spans="1:19" ht="18">
      <c r="A93" s="14">
        <v>91</v>
      </c>
      <c r="B93" s="14" t="s">
        <v>66</v>
      </c>
      <c r="C93" s="14" t="str">
        <f>VLOOKUP(B93,Family!B:C,2,FALSE)</f>
        <v>A</v>
      </c>
      <c r="D93" s="15">
        <v>108</v>
      </c>
      <c r="E93" s="14">
        <f>ROUND(VLOOKUP(C93,'Production Plan'!A:B,2,FALSE),2)</f>
        <v>407.17</v>
      </c>
      <c r="F93" s="16">
        <v>45674</v>
      </c>
      <c r="G93" s="17">
        <f>F93+6*7</f>
        <v>45716</v>
      </c>
      <c r="H93" s="14">
        <f>G93-F93</f>
        <v>42</v>
      </c>
      <c r="I93" s="14">
        <f>ROUND(D93/E93,3)</f>
        <v>0.26500000000000001</v>
      </c>
      <c r="J93" s="14">
        <f>I93*24</f>
        <v>6.36</v>
      </c>
      <c r="K93" s="14">
        <f>VLOOKUP($C93,Rotation!$A$2:$J$10,2,FALSE)</f>
        <v>1</v>
      </c>
      <c r="L93" s="14">
        <f>VLOOKUP($C93,Rotation!$A$2:$J$10,3,FALSE)</f>
        <v>1</v>
      </c>
      <c r="M93" s="14">
        <f>VLOOKUP($C93,Rotation!$A$2:$J$10,4,FALSE)</f>
        <v>1</v>
      </c>
      <c r="N93" s="14">
        <f>VLOOKUP($C93,Rotation!$A$2:$J$10,5,FALSE)</f>
        <v>0</v>
      </c>
      <c r="O93" s="14">
        <f>VLOOKUP($C93,Rotation!$A$2:$J$10,6,FALSE)</f>
        <v>0</v>
      </c>
      <c r="P93" s="14">
        <f>VLOOKUP($C93,Rotation!$A$2:$J$10,7,FALSE)</f>
        <v>0</v>
      </c>
      <c r="Q93" s="14">
        <f>VLOOKUP($C93,Rotation!$A$2:$J$10,8,FALSE)</f>
        <v>0</v>
      </c>
      <c r="R93" s="14">
        <f>VLOOKUP($C93,Rotation!$A$2:$J$10,9,FALSE)</f>
        <v>0</v>
      </c>
      <c r="S93" s="14">
        <f>VLOOKUP($C93,Rotation!$A$2:$J$10,10,FALSE)</f>
        <v>0</v>
      </c>
    </row>
    <row r="94" spans="1:19" ht="18">
      <c r="A94" s="14">
        <v>92</v>
      </c>
      <c r="B94" s="14" t="s">
        <v>65</v>
      </c>
      <c r="C94" s="14" t="str">
        <f>VLOOKUP(B94,Family!B:C,2,FALSE)</f>
        <v>A</v>
      </c>
      <c r="D94" s="15">
        <v>38</v>
      </c>
      <c r="E94" s="14">
        <f>ROUND(VLOOKUP(C94,'Production Plan'!A:B,2,FALSE),2)</f>
        <v>407.17</v>
      </c>
      <c r="F94" s="16">
        <v>45686</v>
      </c>
      <c r="G94" s="17">
        <f>F94+6*7</f>
        <v>45728</v>
      </c>
      <c r="H94" s="14">
        <f>G94-F94</f>
        <v>42</v>
      </c>
      <c r="I94" s="14">
        <f>ROUND(D94/E94,3)</f>
        <v>9.2999999999999999E-2</v>
      </c>
      <c r="J94" s="14">
        <f>I94*24</f>
        <v>2.2320000000000002</v>
      </c>
      <c r="K94" s="14">
        <f>VLOOKUP($C94,Rotation!$A$2:$J$10,2,FALSE)</f>
        <v>1</v>
      </c>
      <c r="L94" s="14">
        <f>VLOOKUP($C94,Rotation!$A$2:$J$10,3,FALSE)</f>
        <v>1</v>
      </c>
      <c r="M94" s="14">
        <f>VLOOKUP($C94,Rotation!$A$2:$J$10,4,FALSE)</f>
        <v>1</v>
      </c>
      <c r="N94" s="14">
        <f>VLOOKUP($C94,Rotation!$A$2:$J$10,5,FALSE)</f>
        <v>0</v>
      </c>
      <c r="O94" s="14">
        <f>VLOOKUP($C94,Rotation!$A$2:$J$10,6,FALSE)</f>
        <v>0</v>
      </c>
      <c r="P94" s="14">
        <f>VLOOKUP($C94,Rotation!$A$2:$J$10,7,FALSE)</f>
        <v>0</v>
      </c>
      <c r="Q94" s="14">
        <f>VLOOKUP($C94,Rotation!$A$2:$J$10,8,FALSE)</f>
        <v>0</v>
      </c>
      <c r="R94" s="14">
        <f>VLOOKUP($C94,Rotation!$A$2:$J$10,9,FALSE)</f>
        <v>0</v>
      </c>
      <c r="S94" s="14">
        <f>VLOOKUP($C94,Rotation!$A$2:$J$10,10,FALSE)</f>
        <v>0</v>
      </c>
    </row>
    <row r="95" spans="1:19" ht="18">
      <c r="A95" s="14">
        <v>93</v>
      </c>
      <c r="B95" s="14" t="s">
        <v>65</v>
      </c>
      <c r="C95" s="14" t="str">
        <f>VLOOKUP(B95,Family!B:C,2,FALSE)</f>
        <v>A</v>
      </c>
      <c r="D95" s="15">
        <v>38</v>
      </c>
      <c r="E95" s="14">
        <f>ROUND(VLOOKUP(C95,'Production Plan'!A:B,2,FALSE),2)</f>
        <v>407.17</v>
      </c>
      <c r="F95" s="16">
        <v>45686</v>
      </c>
      <c r="G95" s="17">
        <f>F95+6*7</f>
        <v>45728</v>
      </c>
      <c r="H95" s="14">
        <f>G95-F95</f>
        <v>42</v>
      </c>
      <c r="I95" s="14">
        <f>ROUND(D95/E95,3)</f>
        <v>9.2999999999999999E-2</v>
      </c>
      <c r="J95" s="14">
        <f>I95*24</f>
        <v>2.2320000000000002</v>
      </c>
      <c r="K95" s="14">
        <f>VLOOKUP($C95,Rotation!$A$2:$J$10,2,FALSE)</f>
        <v>1</v>
      </c>
      <c r="L95" s="14">
        <f>VLOOKUP($C95,Rotation!$A$2:$J$10,3,FALSE)</f>
        <v>1</v>
      </c>
      <c r="M95" s="14">
        <f>VLOOKUP($C95,Rotation!$A$2:$J$10,4,FALSE)</f>
        <v>1</v>
      </c>
      <c r="N95" s="14">
        <f>VLOOKUP($C95,Rotation!$A$2:$J$10,5,FALSE)</f>
        <v>0</v>
      </c>
      <c r="O95" s="14">
        <f>VLOOKUP($C95,Rotation!$A$2:$J$10,6,FALSE)</f>
        <v>0</v>
      </c>
      <c r="P95" s="14">
        <f>VLOOKUP($C95,Rotation!$A$2:$J$10,7,FALSE)</f>
        <v>0</v>
      </c>
      <c r="Q95" s="14">
        <f>VLOOKUP($C95,Rotation!$A$2:$J$10,8,FALSE)</f>
        <v>0</v>
      </c>
      <c r="R95" s="14">
        <f>VLOOKUP($C95,Rotation!$A$2:$J$10,9,FALSE)</f>
        <v>0</v>
      </c>
      <c r="S95" s="14">
        <f>VLOOKUP($C95,Rotation!$A$2:$J$10,10,FALSE)</f>
        <v>0</v>
      </c>
    </row>
    <row r="96" spans="1:19" ht="18">
      <c r="A96" s="14">
        <v>94</v>
      </c>
      <c r="B96" s="14" t="s">
        <v>87</v>
      </c>
      <c r="C96" s="14" t="str">
        <f>VLOOKUP(B96,Family!B:C,2,FALSE)</f>
        <v>E</v>
      </c>
      <c r="D96" s="15">
        <v>18</v>
      </c>
      <c r="E96" s="14">
        <f>ROUND(VLOOKUP(C96,'Production Plan'!A:B,2,FALSE),2)</f>
        <v>333.66</v>
      </c>
      <c r="F96" s="16">
        <v>45695</v>
      </c>
      <c r="G96" s="17">
        <f>F96+6*7</f>
        <v>45737</v>
      </c>
      <c r="H96" s="14">
        <f>G96-F96</f>
        <v>42</v>
      </c>
      <c r="I96" s="14">
        <f>ROUND(D96/E96,3)</f>
        <v>5.3999999999999999E-2</v>
      </c>
      <c r="J96" s="14">
        <f>I96*24</f>
        <v>1.296</v>
      </c>
      <c r="K96" s="14">
        <f>VLOOKUP($C96,Rotation!$A$2:$J$10,2,FALSE)</f>
        <v>1</v>
      </c>
      <c r="L96" s="14">
        <f>VLOOKUP($C96,Rotation!$A$2:$J$10,3,FALSE)</f>
        <v>0</v>
      </c>
      <c r="M96" s="14">
        <f>VLOOKUP($C96,Rotation!$A$2:$J$10,4,FALSE)</f>
        <v>0</v>
      </c>
      <c r="N96" s="14">
        <f>VLOOKUP($C96,Rotation!$A$2:$J$10,5,FALSE)</f>
        <v>0</v>
      </c>
      <c r="O96" s="14">
        <f>VLOOKUP($C96,Rotation!$A$2:$J$10,6,FALSE)</f>
        <v>0</v>
      </c>
      <c r="P96" s="14">
        <f>VLOOKUP($C96,Rotation!$A$2:$J$10,7,FALSE)</f>
        <v>1</v>
      </c>
      <c r="Q96" s="14">
        <f>VLOOKUP($C96,Rotation!$A$2:$J$10,8,FALSE)</f>
        <v>0</v>
      </c>
      <c r="R96" s="14">
        <f>VLOOKUP($C96,Rotation!$A$2:$J$10,9,FALSE)</f>
        <v>0</v>
      </c>
      <c r="S96" s="14">
        <f>VLOOKUP($C96,Rotation!$A$2:$J$10,10,FALSE)</f>
        <v>0</v>
      </c>
    </row>
    <row r="97" spans="1:19" ht="18">
      <c r="A97" s="14">
        <v>95</v>
      </c>
      <c r="B97" s="14" t="s">
        <v>106</v>
      </c>
      <c r="C97" s="14" t="str">
        <f>VLOOKUP(B97,Family!B:C,2,FALSE)</f>
        <v>P</v>
      </c>
      <c r="D97" s="15">
        <v>19</v>
      </c>
      <c r="E97" s="14">
        <f>ROUND(VLOOKUP(C97,'Production Plan'!A:B,2,FALSE),2)</f>
        <v>409.15</v>
      </c>
      <c r="F97" s="16">
        <v>45706</v>
      </c>
      <c r="G97" s="17">
        <f>F97+6*7</f>
        <v>45748</v>
      </c>
      <c r="H97" s="14">
        <f>G97-F97</f>
        <v>42</v>
      </c>
      <c r="I97" s="14">
        <f>ROUND(D97/E97,3)</f>
        <v>4.5999999999999999E-2</v>
      </c>
      <c r="J97" s="14">
        <f>I97*24</f>
        <v>1.1040000000000001</v>
      </c>
      <c r="K97" s="14">
        <f>VLOOKUP($C97,Rotation!$A$2:$J$10,2,FALSE)</f>
        <v>1</v>
      </c>
      <c r="L97" s="14">
        <f>VLOOKUP($C97,Rotation!$A$2:$J$10,3,FALSE)</f>
        <v>1</v>
      </c>
      <c r="M97" s="14">
        <f>VLOOKUP($C97,Rotation!$A$2:$J$10,4,FALSE)</f>
        <v>0</v>
      </c>
      <c r="N97" s="14">
        <f>VLOOKUP($C97,Rotation!$A$2:$J$10,5,FALSE)</f>
        <v>0</v>
      </c>
      <c r="O97" s="14">
        <f>VLOOKUP($C97,Rotation!$A$2:$J$10,6,FALSE)</f>
        <v>0</v>
      </c>
      <c r="P97" s="14">
        <f>VLOOKUP($C97,Rotation!$A$2:$J$10,7,FALSE)</f>
        <v>0</v>
      </c>
      <c r="Q97" s="14">
        <f>VLOOKUP($C97,Rotation!$A$2:$J$10,8,FALSE)</f>
        <v>0</v>
      </c>
      <c r="R97" s="14">
        <f>VLOOKUP($C97,Rotation!$A$2:$J$10,9,FALSE)</f>
        <v>0</v>
      </c>
      <c r="S97" s="14">
        <f>VLOOKUP($C97,Rotation!$A$2:$J$10,10,FALSE)</f>
        <v>0</v>
      </c>
    </row>
    <row r="98" spans="1:19" ht="18">
      <c r="A98" s="14">
        <v>96</v>
      </c>
      <c r="B98" s="14" t="s">
        <v>99</v>
      </c>
      <c r="C98" s="14" t="str">
        <f>VLOOKUP(B98,Family!B:C,2,FALSE)</f>
        <v>N</v>
      </c>
      <c r="D98" s="15">
        <v>19</v>
      </c>
      <c r="E98" s="14">
        <f>ROUND(VLOOKUP(C98,'Production Plan'!A:B,2,FALSE),2)</f>
        <v>334.18</v>
      </c>
      <c r="F98" s="16">
        <v>45712</v>
      </c>
      <c r="G98" s="17">
        <f>F98+6*7</f>
        <v>45754</v>
      </c>
      <c r="H98" s="14">
        <f>G98-F98</f>
        <v>42</v>
      </c>
      <c r="I98" s="14">
        <f>ROUND(D98/E98,3)</f>
        <v>5.7000000000000002E-2</v>
      </c>
      <c r="J98" s="14">
        <f>I98*24</f>
        <v>1.3680000000000001</v>
      </c>
      <c r="K98" s="14">
        <f>VLOOKUP($C98,Rotation!$A$2:$J$10,2,FALSE)</f>
        <v>1</v>
      </c>
      <c r="L98" s="14">
        <f>VLOOKUP($C98,Rotation!$A$2:$J$10,3,FALSE)</f>
        <v>0</v>
      </c>
      <c r="M98" s="14">
        <f>VLOOKUP($C98,Rotation!$A$2:$J$10,4,FALSE)</f>
        <v>0</v>
      </c>
      <c r="N98" s="14">
        <f>VLOOKUP($C98,Rotation!$A$2:$J$10,5,FALSE)</f>
        <v>0</v>
      </c>
      <c r="O98" s="14">
        <f>VLOOKUP($C98,Rotation!$A$2:$J$10,6,FALSE)</f>
        <v>0</v>
      </c>
      <c r="P98" s="14">
        <f>VLOOKUP($C98,Rotation!$A$2:$J$10,7,FALSE)</f>
        <v>0</v>
      </c>
      <c r="Q98" s="14">
        <f>VLOOKUP($C98,Rotation!$A$2:$J$10,8,FALSE)</f>
        <v>1</v>
      </c>
      <c r="R98" s="14">
        <f>VLOOKUP($C98,Rotation!$A$2:$J$10,9,FALSE)</f>
        <v>0</v>
      </c>
      <c r="S98" s="14">
        <f>VLOOKUP($C98,Rotation!$A$2:$J$10,10,FALSE)</f>
        <v>0</v>
      </c>
    </row>
    <row r="99" spans="1:19" ht="18">
      <c r="A99" s="14">
        <v>97</v>
      </c>
      <c r="B99" s="14" t="s">
        <v>99</v>
      </c>
      <c r="C99" s="14" t="str">
        <f>VLOOKUP(B99,Family!B:C,2,FALSE)</f>
        <v>N</v>
      </c>
      <c r="D99" s="15">
        <v>19</v>
      </c>
      <c r="E99" s="14">
        <f>ROUND(VLOOKUP(C99,'Production Plan'!A:B,2,FALSE),2)</f>
        <v>334.18</v>
      </c>
      <c r="F99" s="16">
        <v>45712</v>
      </c>
      <c r="G99" s="17">
        <f>F99+6*7</f>
        <v>45754</v>
      </c>
      <c r="H99" s="14">
        <f>G99-F99</f>
        <v>42</v>
      </c>
      <c r="I99" s="14">
        <f>ROUND(D99/E99,3)</f>
        <v>5.7000000000000002E-2</v>
      </c>
      <c r="J99" s="14">
        <f>I99*24</f>
        <v>1.3680000000000001</v>
      </c>
      <c r="K99" s="14">
        <f>VLOOKUP($C99,Rotation!$A$2:$J$10,2,FALSE)</f>
        <v>1</v>
      </c>
      <c r="L99" s="14">
        <f>VLOOKUP($C99,Rotation!$A$2:$J$10,3,FALSE)</f>
        <v>0</v>
      </c>
      <c r="M99" s="14">
        <f>VLOOKUP($C99,Rotation!$A$2:$J$10,4,FALSE)</f>
        <v>0</v>
      </c>
      <c r="N99" s="14">
        <f>VLOOKUP($C99,Rotation!$A$2:$J$10,5,FALSE)</f>
        <v>0</v>
      </c>
      <c r="O99" s="14">
        <f>VLOOKUP($C99,Rotation!$A$2:$J$10,6,FALSE)</f>
        <v>0</v>
      </c>
      <c r="P99" s="14">
        <f>VLOOKUP($C99,Rotation!$A$2:$J$10,7,FALSE)</f>
        <v>0</v>
      </c>
      <c r="Q99" s="14">
        <f>VLOOKUP($C99,Rotation!$A$2:$J$10,8,FALSE)</f>
        <v>1</v>
      </c>
      <c r="R99" s="14">
        <f>VLOOKUP($C99,Rotation!$A$2:$J$10,9,FALSE)</f>
        <v>0</v>
      </c>
      <c r="S99" s="14">
        <f>VLOOKUP($C99,Rotation!$A$2:$J$10,10,FALSE)</f>
        <v>0</v>
      </c>
    </row>
    <row r="100" spans="1:19" ht="18">
      <c r="A100" s="14">
        <v>98</v>
      </c>
      <c r="B100" s="14" t="s">
        <v>99</v>
      </c>
      <c r="C100" s="14" t="str">
        <f>VLOOKUP(B100,Family!B:C,2,FALSE)</f>
        <v>N</v>
      </c>
      <c r="D100" s="15">
        <v>19</v>
      </c>
      <c r="E100" s="14">
        <f>ROUND(VLOOKUP(C100,'Production Plan'!A:B,2,FALSE),2)</f>
        <v>334.18</v>
      </c>
      <c r="F100" s="16">
        <v>45712</v>
      </c>
      <c r="G100" s="17">
        <f>F100+6*7</f>
        <v>45754</v>
      </c>
      <c r="H100" s="14">
        <f>G100-F100</f>
        <v>42</v>
      </c>
      <c r="I100" s="14">
        <f>ROUND(D100/E100,3)</f>
        <v>5.7000000000000002E-2</v>
      </c>
      <c r="J100" s="14">
        <f>I100*24</f>
        <v>1.3680000000000001</v>
      </c>
      <c r="K100" s="14">
        <f>VLOOKUP($C100,Rotation!$A$2:$J$10,2,FALSE)</f>
        <v>1</v>
      </c>
      <c r="L100" s="14">
        <f>VLOOKUP($C100,Rotation!$A$2:$J$10,3,FALSE)</f>
        <v>0</v>
      </c>
      <c r="M100" s="14">
        <f>VLOOKUP($C100,Rotation!$A$2:$J$10,4,FALSE)</f>
        <v>0</v>
      </c>
      <c r="N100" s="14">
        <f>VLOOKUP($C100,Rotation!$A$2:$J$10,5,FALSE)</f>
        <v>0</v>
      </c>
      <c r="O100" s="14">
        <f>VLOOKUP($C100,Rotation!$A$2:$J$10,6,FALSE)</f>
        <v>0</v>
      </c>
      <c r="P100" s="14">
        <f>VLOOKUP($C100,Rotation!$A$2:$J$10,7,FALSE)</f>
        <v>0</v>
      </c>
      <c r="Q100" s="14">
        <f>VLOOKUP($C100,Rotation!$A$2:$J$10,8,FALSE)</f>
        <v>1</v>
      </c>
      <c r="R100" s="14">
        <f>VLOOKUP($C100,Rotation!$A$2:$J$10,9,FALSE)</f>
        <v>0</v>
      </c>
      <c r="S100" s="14">
        <f>VLOOKUP($C100,Rotation!$A$2:$J$10,10,FALSE)</f>
        <v>0</v>
      </c>
    </row>
    <row r="101" spans="1:19" ht="18">
      <c r="A101" s="14">
        <v>99</v>
      </c>
      <c r="B101" s="14" t="s">
        <v>99</v>
      </c>
      <c r="C101" s="14" t="str">
        <f>VLOOKUP(B101,Family!B:C,2,FALSE)</f>
        <v>N</v>
      </c>
      <c r="D101" s="15">
        <v>19</v>
      </c>
      <c r="E101" s="14">
        <f>ROUND(VLOOKUP(C101,'Production Plan'!A:B,2,FALSE),2)</f>
        <v>334.18</v>
      </c>
      <c r="F101" s="16">
        <v>45712</v>
      </c>
      <c r="G101" s="17">
        <f>F101+6*7</f>
        <v>45754</v>
      </c>
      <c r="H101" s="14">
        <f>G101-F101</f>
        <v>42</v>
      </c>
      <c r="I101" s="14">
        <f>ROUND(D101/E101,3)</f>
        <v>5.7000000000000002E-2</v>
      </c>
      <c r="J101" s="14">
        <f>I101*24</f>
        <v>1.3680000000000001</v>
      </c>
      <c r="K101" s="14">
        <f>VLOOKUP($C101,Rotation!$A$2:$J$10,2,FALSE)</f>
        <v>1</v>
      </c>
      <c r="L101" s="14">
        <f>VLOOKUP($C101,Rotation!$A$2:$J$10,3,FALSE)</f>
        <v>0</v>
      </c>
      <c r="M101" s="14">
        <f>VLOOKUP($C101,Rotation!$A$2:$J$10,4,FALSE)</f>
        <v>0</v>
      </c>
      <c r="N101" s="14">
        <f>VLOOKUP($C101,Rotation!$A$2:$J$10,5,FALSE)</f>
        <v>0</v>
      </c>
      <c r="O101" s="14">
        <f>VLOOKUP($C101,Rotation!$A$2:$J$10,6,FALSE)</f>
        <v>0</v>
      </c>
      <c r="P101" s="14">
        <f>VLOOKUP($C101,Rotation!$A$2:$J$10,7,FALSE)</f>
        <v>0</v>
      </c>
      <c r="Q101" s="14">
        <f>VLOOKUP($C101,Rotation!$A$2:$J$10,8,FALSE)</f>
        <v>1</v>
      </c>
      <c r="R101" s="14">
        <f>VLOOKUP($C101,Rotation!$A$2:$J$10,9,FALSE)</f>
        <v>0</v>
      </c>
      <c r="S101" s="14">
        <f>VLOOKUP($C101,Rotation!$A$2:$J$10,10,FALSE)</f>
        <v>0</v>
      </c>
    </row>
    <row r="102" spans="1:19" ht="18">
      <c r="A102" s="14">
        <v>100</v>
      </c>
      <c r="B102" s="14" t="s">
        <v>99</v>
      </c>
      <c r="C102" s="14" t="str">
        <f>VLOOKUP(B102,Family!B:C,2,FALSE)</f>
        <v>N</v>
      </c>
      <c r="D102" s="15">
        <v>19</v>
      </c>
      <c r="E102" s="14">
        <f>ROUND(VLOOKUP(C102,'Production Plan'!A:B,2,FALSE),2)</f>
        <v>334.18</v>
      </c>
      <c r="F102" s="16">
        <v>45712</v>
      </c>
      <c r="G102" s="17">
        <f>F102+6*7</f>
        <v>45754</v>
      </c>
      <c r="H102" s="14">
        <f>G102-F102</f>
        <v>42</v>
      </c>
      <c r="I102" s="14">
        <f>ROUND(D102/E102,3)</f>
        <v>5.7000000000000002E-2</v>
      </c>
      <c r="J102" s="14">
        <f>I102*24</f>
        <v>1.3680000000000001</v>
      </c>
      <c r="K102" s="14">
        <f>VLOOKUP($C102,Rotation!$A$2:$J$10,2,FALSE)</f>
        <v>1</v>
      </c>
      <c r="L102" s="14">
        <f>VLOOKUP($C102,Rotation!$A$2:$J$10,3,FALSE)</f>
        <v>0</v>
      </c>
      <c r="M102" s="14">
        <f>VLOOKUP($C102,Rotation!$A$2:$J$10,4,FALSE)</f>
        <v>0</v>
      </c>
      <c r="N102" s="14">
        <f>VLOOKUP($C102,Rotation!$A$2:$J$10,5,FALSE)</f>
        <v>0</v>
      </c>
      <c r="O102" s="14">
        <f>VLOOKUP($C102,Rotation!$A$2:$J$10,6,FALSE)</f>
        <v>0</v>
      </c>
      <c r="P102" s="14">
        <f>VLOOKUP($C102,Rotation!$A$2:$J$10,7,FALSE)</f>
        <v>0</v>
      </c>
      <c r="Q102" s="14">
        <f>VLOOKUP($C102,Rotation!$A$2:$J$10,8,FALSE)</f>
        <v>1</v>
      </c>
      <c r="R102" s="14">
        <f>VLOOKUP($C102,Rotation!$A$2:$J$10,9,FALSE)</f>
        <v>0</v>
      </c>
      <c r="S102" s="14">
        <f>VLOOKUP($C102,Rotation!$A$2:$J$10,10,FALSE)</f>
        <v>0</v>
      </c>
    </row>
    <row r="103" spans="1:19" ht="18">
      <c r="A103" s="14">
        <v>101</v>
      </c>
      <c r="B103" s="14" t="s">
        <v>99</v>
      </c>
      <c r="C103" s="14" t="str">
        <f>VLOOKUP(B103,Family!B:C,2,FALSE)</f>
        <v>N</v>
      </c>
      <c r="D103" s="15">
        <v>19</v>
      </c>
      <c r="E103" s="14">
        <f>ROUND(VLOOKUP(C103,'Production Plan'!A:B,2,FALSE),2)</f>
        <v>334.18</v>
      </c>
      <c r="F103" s="16">
        <v>45712</v>
      </c>
      <c r="G103" s="17">
        <f>F103+6*7</f>
        <v>45754</v>
      </c>
      <c r="H103" s="14">
        <f>G103-F103</f>
        <v>42</v>
      </c>
      <c r="I103" s="14">
        <f>ROUND(D103/E103,3)</f>
        <v>5.7000000000000002E-2</v>
      </c>
      <c r="J103" s="14">
        <f>I103*24</f>
        <v>1.3680000000000001</v>
      </c>
      <c r="K103" s="14">
        <f>VLOOKUP($C103,Rotation!$A$2:$J$10,2,FALSE)</f>
        <v>1</v>
      </c>
      <c r="L103" s="14">
        <f>VLOOKUP($C103,Rotation!$A$2:$J$10,3,FALSE)</f>
        <v>0</v>
      </c>
      <c r="M103" s="14">
        <f>VLOOKUP($C103,Rotation!$A$2:$J$10,4,FALSE)</f>
        <v>0</v>
      </c>
      <c r="N103" s="14">
        <f>VLOOKUP($C103,Rotation!$A$2:$J$10,5,FALSE)</f>
        <v>0</v>
      </c>
      <c r="O103" s="14">
        <f>VLOOKUP($C103,Rotation!$A$2:$J$10,6,FALSE)</f>
        <v>0</v>
      </c>
      <c r="P103" s="14">
        <f>VLOOKUP($C103,Rotation!$A$2:$J$10,7,FALSE)</f>
        <v>0</v>
      </c>
      <c r="Q103" s="14">
        <f>VLOOKUP($C103,Rotation!$A$2:$J$10,8,FALSE)</f>
        <v>1</v>
      </c>
      <c r="R103" s="14">
        <f>VLOOKUP($C103,Rotation!$A$2:$J$10,9,FALSE)</f>
        <v>0</v>
      </c>
      <c r="S103" s="14">
        <f>VLOOKUP($C103,Rotation!$A$2:$J$10,10,FALSE)</f>
        <v>0</v>
      </c>
    </row>
    <row r="104" spans="1:19" ht="18">
      <c r="A104" s="14">
        <v>102</v>
      </c>
      <c r="B104" s="14" t="s">
        <v>99</v>
      </c>
      <c r="C104" s="14" t="str">
        <f>VLOOKUP(B104,Family!B:C,2,FALSE)</f>
        <v>N</v>
      </c>
      <c r="D104" s="15">
        <v>19</v>
      </c>
      <c r="E104" s="14">
        <f>ROUND(VLOOKUP(C104,'Production Plan'!A:B,2,FALSE),2)</f>
        <v>334.18</v>
      </c>
      <c r="F104" s="16">
        <v>45712</v>
      </c>
      <c r="G104" s="17">
        <f>F104+6*7</f>
        <v>45754</v>
      </c>
      <c r="H104" s="14">
        <f>G104-F104</f>
        <v>42</v>
      </c>
      <c r="I104" s="14">
        <f>ROUND(D104/E104,3)</f>
        <v>5.7000000000000002E-2</v>
      </c>
      <c r="J104" s="14">
        <f>I104*24</f>
        <v>1.3680000000000001</v>
      </c>
      <c r="K104" s="14">
        <f>VLOOKUP($C104,Rotation!$A$2:$J$10,2,FALSE)</f>
        <v>1</v>
      </c>
      <c r="L104" s="14">
        <f>VLOOKUP($C104,Rotation!$A$2:$J$10,3,FALSE)</f>
        <v>0</v>
      </c>
      <c r="M104" s="14">
        <f>VLOOKUP($C104,Rotation!$A$2:$J$10,4,FALSE)</f>
        <v>0</v>
      </c>
      <c r="N104" s="14">
        <f>VLOOKUP($C104,Rotation!$A$2:$J$10,5,FALSE)</f>
        <v>0</v>
      </c>
      <c r="O104" s="14">
        <f>VLOOKUP($C104,Rotation!$A$2:$J$10,6,FALSE)</f>
        <v>0</v>
      </c>
      <c r="P104" s="14">
        <f>VLOOKUP($C104,Rotation!$A$2:$J$10,7,FALSE)</f>
        <v>0</v>
      </c>
      <c r="Q104" s="14">
        <f>VLOOKUP($C104,Rotation!$A$2:$J$10,8,FALSE)</f>
        <v>1</v>
      </c>
      <c r="R104" s="14">
        <f>VLOOKUP($C104,Rotation!$A$2:$J$10,9,FALSE)</f>
        <v>0</v>
      </c>
      <c r="S104" s="14">
        <f>VLOOKUP($C104,Rotation!$A$2:$J$10,10,FALSE)</f>
        <v>0</v>
      </c>
    </row>
    <row r="105" spans="1:19" ht="18">
      <c r="A105" s="14">
        <v>103</v>
      </c>
      <c r="B105" s="14" t="s">
        <v>99</v>
      </c>
      <c r="C105" s="14" t="str">
        <f>VLOOKUP(B105,Family!B:C,2,FALSE)</f>
        <v>N</v>
      </c>
      <c r="D105" s="15">
        <v>19</v>
      </c>
      <c r="E105" s="14">
        <f>ROUND(VLOOKUP(C105,'Production Plan'!A:B,2,FALSE),2)</f>
        <v>334.18</v>
      </c>
      <c r="F105" s="16">
        <v>45712</v>
      </c>
      <c r="G105" s="17">
        <f>F105+6*7</f>
        <v>45754</v>
      </c>
      <c r="H105" s="14">
        <f>G105-F105</f>
        <v>42</v>
      </c>
      <c r="I105" s="14">
        <f>ROUND(D105/E105,3)</f>
        <v>5.7000000000000002E-2</v>
      </c>
      <c r="J105" s="14">
        <f>I105*24</f>
        <v>1.3680000000000001</v>
      </c>
      <c r="K105" s="14">
        <f>VLOOKUP($C105,Rotation!$A$2:$J$10,2,FALSE)</f>
        <v>1</v>
      </c>
      <c r="L105" s="14">
        <f>VLOOKUP($C105,Rotation!$A$2:$J$10,3,FALSE)</f>
        <v>0</v>
      </c>
      <c r="M105" s="14">
        <f>VLOOKUP($C105,Rotation!$A$2:$J$10,4,FALSE)</f>
        <v>0</v>
      </c>
      <c r="N105" s="14">
        <f>VLOOKUP($C105,Rotation!$A$2:$J$10,5,FALSE)</f>
        <v>0</v>
      </c>
      <c r="O105" s="14">
        <f>VLOOKUP($C105,Rotation!$A$2:$J$10,6,FALSE)</f>
        <v>0</v>
      </c>
      <c r="P105" s="14">
        <f>VLOOKUP($C105,Rotation!$A$2:$J$10,7,FALSE)</f>
        <v>0</v>
      </c>
      <c r="Q105" s="14">
        <f>VLOOKUP($C105,Rotation!$A$2:$J$10,8,FALSE)</f>
        <v>1</v>
      </c>
      <c r="R105" s="14">
        <f>VLOOKUP($C105,Rotation!$A$2:$J$10,9,FALSE)</f>
        <v>0</v>
      </c>
      <c r="S105" s="14">
        <f>VLOOKUP($C105,Rotation!$A$2:$J$10,10,FALSE)</f>
        <v>0</v>
      </c>
    </row>
    <row r="106" spans="1:19" ht="18">
      <c r="A106" s="14">
        <v>104</v>
      </c>
      <c r="B106" s="14" t="s">
        <v>98</v>
      </c>
      <c r="C106" s="14" t="str">
        <f>VLOOKUP(B106,Family!B:C,2,FALSE)</f>
        <v>H</v>
      </c>
      <c r="D106" s="15">
        <v>19</v>
      </c>
      <c r="E106" s="14">
        <f>ROUND(VLOOKUP(C106,'Production Plan'!A:B,2,FALSE),2)</f>
        <v>402.02</v>
      </c>
      <c r="F106" s="16">
        <v>45669</v>
      </c>
      <c r="G106" s="17">
        <f>F106+6*7</f>
        <v>45711</v>
      </c>
      <c r="H106" s="14">
        <f>G106-F106</f>
        <v>42</v>
      </c>
      <c r="I106" s="14">
        <f>ROUND(D106/E106,3)</f>
        <v>4.7E-2</v>
      </c>
      <c r="J106" s="14">
        <f>I106*24</f>
        <v>1.1280000000000001</v>
      </c>
      <c r="K106" s="14">
        <f>VLOOKUP($C106,Rotation!$A$2:$J$10,2,FALSE)</f>
        <v>0</v>
      </c>
      <c r="L106" s="14">
        <f>VLOOKUP($C106,Rotation!$A$2:$J$10,3,FALSE)</f>
        <v>0</v>
      </c>
      <c r="M106" s="14">
        <f>VLOOKUP($C106,Rotation!$A$2:$J$10,4,FALSE)</f>
        <v>1</v>
      </c>
      <c r="N106" s="14">
        <f>VLOOKUP($C106,Rotation!$A$2:$J$10,5,FALSE)</f>
        <v>1</v>
      </c>
      <c r="O106" s="14">
        <f>VLOOKUP($C106,Rotation!$A$2:$J$10,6,FALSE)</f>
        <v>0</v>
      </c>
      <c r="P106" s="14">
        <f>VLOOKUP($C106,Rotation!$A$2:$J$10,7,FALSE)</f>
        <v>0</v>
      </c>
      <c r="Q106" s="14">
        <f>VLOOKUP($C106,Rotation!$A$2:$J$10,8,FALSE)</f>
        <v>0</v>
      </c>
      <c r="R106" s="14">
        <f>VLOOKUP($C106,Rotation!$A$2:$J$10,9,FALSE)</f>
        <v>0</v>
      </c>
      <c r="S106" s="14">
        <f>VLOOKUP($C106,Rotation!$A$2:$J$10,10,FALSE)</f>
        <v>0</v>
      </c>
    </row>
    <row r="107" spans="1:19" ht="18">
      <c r="A107" s="14">
        <v>105</v>
      </c>
      <c r="B107" s="14" t="s">
        <v>65</v>
      </c>
      <c r="C107" s="14" t="str">
        <f>VLOOKUP(B107,Family!B:C,2,FALSE)</f>
        <v>A</v>
      </c>
      <c r="D107" s="15">
        <v>19</v>
      </c>
      <c r="E107" s="14">
        <f>ROUND(VLOOKUP(C107,'Production Plan'!A:B,2,FALSE),2)</f>
        <v>407.17</v>
      </c>
      <c r="F107" s="16">
        <v>45686</v>
      </c>
      <c r="G107" s="17">
        <f>F107+6*7</f>
        <v>45728</v>
      </c>
      <c r="H107" s="14">
        <f>G107-F107</f>
        <v>42</v>
      </c>
      <c r="I107" s="14">
        <f>ROUND(D107/E107,3)</f>
        <v>4.7E-2</v>
      </c>
      <c r="J107" s="14">
        <f>I107*24</f>
        <v>1.1280000000000001</v>
      </c>
      <c r="K107" s="14">
        <f>VLOOKUP($C107,Rotation!$A$2:$J$10,2,FALSE)</f>
        <v>1</v>
      </c>
      <c r="L107" s="14">
        <f>VLOOKUP($C107,Rotation!$A$2:$J$10,3,FALSE)</f>
        <v>1</v>
      </c>
      <c r="M107" s="14">
        <f>VLOOKUP($C107,Rotation!$A$2:$J$10,4,FALSE)</f>
        <v>1</v>
      </c>
      <c r="N107" s="14">
        <f>VLOOKUP($C107,Rotation!$A$2:$J$10,5,FALSE)</f>
        <v>0</v>
      </c>
      <c r="O107" s="14">
        <f>VLOOKUP($C107,Rotation!$A$2:$J$10,6,FALSE)</f>
        <v>0</v>
      </c>
      <c r="P107" s="14">
        <f>VLOOKUP($C107,Rotation!$A$2:$J$10,7,FALSE)</f>
        <v>0</v>
      </c>
      <c r="Q107" s="14">
        <f>VLOOKUP($C107,Rotation!$A$2:$J$10,8,FALSE)</f>
        <v>0</v>
      </c>
      <c r="R107" s="14">
        <f>VLOOKUP($C107,Rotation!$A$2:$J$10,9,FALSE)</f>
        <v>0</v>
      </c>
      <c r="S107" s="14">
        <f>VLOOKUP($C107,Rotation!$A$2:$J$10,10,FALSE)</f>
        <v>0</v>
      </c>
    </row>
    <row r="108" spans="1:19" ht="18">
      <c r="A108" s="14">
        <v>106</v>
      </c>
      <c r="B108" s="14" t="s">
        <v>64</v>
      </c>
      <c r="C108" s="14" t="str">
        <f>VLOOKUP(B108,Family!B:C,2,FALSE)</f>
        <v>A</v>
      </c>
      <c r="D108" s="15">
        <v>111</v>
      </c>
      <c r="E108" s="14">
        <f>ROUND(VLOOKUP(C108,'Production Plan'!A:B,2,FALSE),2)</f>
        <v>407.17</v>
      </c>
      <c r="F108" s="16">
        <v>45695</v>
      </c>
      <c r="G108" s="17">
        <f>F108+6*7</f>
        <v>45737</v>
      </c>
      <c r="H108" s="14">
        <f>G108-F108</f>
        <v>42</v>
      </c>
      <c r="I108" s="14">
        <f>ROUND(D108/E108,3)</f>
        <v>0.27300000000000002</v>
      </c>
      <c r="J108" s="14">
        <f>I108*24</f>
        <v>6.5520000000000005</v>
      </c>
      <c r="K108" s="14">
        <f>VLOOKUP($C108,Rotation!$A$2:$J$10,2,FALSE)</f>
        <v>1</v>
      </c>
      <c r="L108" s="14">
        <f>VLOOKUP($C108,Rotation!$A$2:$J$10,3,FALSE)</f>
        <v>1</v>
      </c>
      <c r="M108" s="14">
        <f>VLOOKUP($C108,Rotation!$A$2:$J$10,4,FALSE)</f>
        <v>1</v>
      </c>
      <c r="N108" s="14">
        <f>VLOOKUP($C108,Rotation!$A$2:$J$10,5,FALSE)</f>
        <v>0</v>
      </c>
      <c r="O108" s="14">
        <f>VLOOKUP($C108,Rotation!$A$2:$J$10,6,FALSE)</f>
        <v>0</v>
      </c>
      <c r="P108" s="14">
        <f>VLOOKUP($C108,Rotation!$A$2:$J$10,7,FALSE)</f>
        <v>0</v>
      </c>
      <c r="Q108" s="14">
        <f>VLOOKUP($C108,Rotation!$A$2:$J$10,8,FALSE)</f>
        <v>0</v>
      </c>
      <c r="R108" s="14">
        <f>VLOOKUP($C108,Rotation!$A$2:$J$10,9,FALSE)</f>
        <v>0</v>
      </c>
      <c r="S108" s="14">
        <f>VLOOKUP($C108,Rotation!$A$2:$J$10,10,FALSE)</f>
        <v>0</v>
      </c>
    </row>
    <row r="109" spans="1:19" ht="18">
      <c r="A109" s="14">
        <v>107</v>
      </c>
      <c r="B109" s="14" t="s">
        <v>64</v>
      </c>
      <c r="C109" s="14" t="str">
        <f>VLOOKUP(B109,Family!B:C,2,FALSE)</f>
        <v>A</v>
      </c>
      <c r="D109" s="15">
        <v>111</v>
      </c>
      <c r="E109" s="14">
        <f>ROUND(VLOOKUP(C109,'Production Plan'!A:B,2,FALSE),2)</f>
        <v>407.17</v>
      </c>
      <c r="F109" s="16">
        <v>45695</v>
      </c>
      <c r="G109" s="17">
        <f>F109+6*7</f>
        <v>45737</v>
      </c>
      <c r="H109" s="14">
        <f>G109-F109</f>
        <v>42</v>
      </c>
      <c r="I109" s="14">
        <f>ROUND(D109/E109,3)</f>
        <v>0.27300000000000002</v>
      </c>
      <c r="J109" s="14">
        <f>I109*24</f>
        <v>6.5520000000000005</v>
      </c>
      <c r="K109" s="14">
        <f>VLOOKUP($C109,Rotation!$A$2:$J$10,2,FALSE)</f>
        <v>1</v>
      </c>
      <c r="L109" s="14">
        <f>VLOOKUP($C109,Rotation!$A$2:$J$10,3,FALSE)</f>
        <v>1</v>
      </c>
      <c r="M109" s="14">
        <f>VLOOKUP($C109,Rotation!$A$2:$J$10,4,FALSE)</f>
        <v>1</v>
      </c>
      <c r="N109" s="14">
        <f>VLOOKUP($C109,Rotation!$A$2:$J$10,5,FALSE)</f>
        <v>0</v>
      </c>
      <c r="O109" s="14">
        <f>VLOOKUP($C109,Rotation!$A$2:$J$10,6,FALSE)</f>
        <v>0</v>
      </c>
      <c r="P109" s="14">
        <f>VLOOKUP($C109,Rotation!$A$2:$J$10,7,FALSE)</f>
        <v>0</v>
      </c>
      <c r="Q109" s="14">
        <f>VLOOKUP($C109,Rotation!$A$2:$J$10,8,FALSE)</f>
        <v>0</v>
      </c>
      <c r="R109" s="14">
        <f>VLOOKUP($C109,Rotation!$A$2:$J$10,9,FALSE)</f>
        <v>0</v>
      </c>
      <c r="S109" s="14">
        <f>VLOOKUP($C109,Rotation!$A$2:$J$10,10,FALSE)</f>
        <v>0</v>
      </c>
    </row>
    <row r="110" spans="1:19" ht="18">
      <c r="A110" s="14">
        <v>108</v>
      </c>
      <c r="B110" s="14" t="s">
        <v>85</v>
      </c>
      <c r="C110" s="14" t="str">
        <f>VLOOKUP(B110,Family!B:C,2,FALSE)</f>
        <v>E</v>
      </c>
      <c r="D110" s="15">
        <v>19</v>
      </c>
      <c r="E110" s="14">
        <f>ROUND(VLOOKUP(C110,'Production Plan'!A:B,2,FALSE),2)</f>
        <v>333.66</v>
      </c>
      <c r="F110" s="16">
        <v>45669</v>
      </c>
      <c r="G110" s="17">
        <f>F110+6*7</f>
        <v>45711</v>
      </c>
      <c r="H110" s="14">
        <f>G110-F110</f>
        <v>42</v>
      </c>
      <c r="I110" s="14">
        <f>ROUND(D110/E110,3)</f>
        <v>5.7000000000000002E-2</v>
      </c>
      <c r="J110" s="14">
        <f>I110*24</f>
        <v>1.3680000000000001</v>
      </c>
      <c r="K110" s="14">
        <f>VLOOKUP($C110,Rotation!$A$2:$J$10,2,FALSE)</f>
        <v>1</v>
      </c>
      <c r="L110" s="14">
        <f>VLOOKUP($C110,Rotation!$A$2:$J$10,3,FALSE)</f>
        <v>0</v>
      </c>
      <c r="M110" s="14">
        <f>VLOOKUP($C110,Rotation!$A$2:$J$10,4,FALSE)</f>
        <v>0</v>
      </c>
      <c r="N110" s="14">
        <f>VLOOKUP($C110,Rotation!$A$2:$J$10,5,FALSE)</f>
        <v>0</v>
      </c>
      <c r="O110" s="14">
        <f>VLOOKUP($C110,Rotation!$A$2:$J$10,6,FALSE)</f>
        <v>0</v>
      </c>
      <c r="P110" s="14">
        <f>VLOOKUP($C110,Rotation!$A$2:$J$10,7,FALSE)</f>
        <v>1</v>
      </c>
      <c r="Q110" s="14">
        <f>VLOOKUP($C110,Rotation!$A$2:$J$10,8,FALSE)</f>
        <v>0</v>
      </c>
      <c r="R110" s="14">
        <f>VLOOKUP($C110,Rotation!$A$2:$J$10,9,FALSE)</f>
        <v>0</v>
      </c>
      <c r="S110" s="14">
        <f>VLOOKUP($C110,Rotation!$A$2:$J$10,10,FALSE)</f>
        <v>0</v>
      </c>
    </row>
    <row r="111" spans="1:19" ht="18">
      <c r="A111" s="14">
        <v>109</v>
      </c>
      <c r="B111" s="14" t="s">
        <v>64</v>
      </c>
      <c r="C111" s="14" t="str">
        <f>VLOOKUP(B111,Family!B:C,2,FALSE)</f>
        <v>A</v>
      </c>
      <c r="D111" s="15">
        <v>111</v>
      </c>
      <c r="E111" s="14">
        <f>ROUND(VLOOKUP(C111,'Production Plan'!A:B,2,FALSE),2)</f>
        <v>407.17</v>
      </c>
      <c r="F111" s="16">
        <v>45695</v>
      </c>
      <c r="G111" s="17">
        <f>F111+6*7</f>
        <v>45737</v>
      </c>
      <c r="H111" s="14">
        <f>G111-F111</f>
        <v>42</v>
      </c>
      <c r="I111" s="14">
        <f>ROUND(D111/E111,3)</f>
        <v>0.27300000000000002</v>
      </c>
      <c r="J111" s="14">
        <f>I111*24</f>
        <v>6.5520000000000005</v>
      </c>
      <c r="K111" s="14">
        <f>VLOOKUP($C111,Rotation!$A$2:$J$10,2,FALSE)</f>
        <v>1</v>
      </c>
      <c r="L111" s="14">
        <f>VLOOKUP($C111,Rotation!$A$2:$J$10,3,FALSE)</f>
        <v>1</v>
      </c>
      <c r="M111" s="14">
        <f>VLOOKUP($C111,Rotation!$A$2:$J$10,4,FALSE)</f>
        <v>1</v>
      </c>
      <c r="N111" s="14">
        <f>VLOOKUP($C111,Rotation!$A$2:$J$10,5,FALSE)</f>
        <v>0</v>
      </c>
      <c r="O111" s="14">
        <f>VLOOKUP($C111,Rotation!$A$2:$J$10,6,FALSE)</f>
        <v>0</v>
      </c>
      <c r="P111" s="14">
        <f>VLOOKUP($C111,Rotation!$A$2:$J$10,7,FALSE)</f>
        <v>0</v>
      </c>
      <c r="Q111" s="14">
        <f>VLOOKUP($C111,Rotation!$A$2:$J$10,8,FALSE)</f>
        <v>0</v>
      </c>
      <c r="R111" s="14">
        <f>VLOOKUP($C111,Rotation!$A$2:$J$10,9,FALSE)</f>
        <v>0</v>
      </c>
      <c r="S111" s="14">
        <f>VLOOKUP($C111,Rotation!$A$2:$J$10,10,FALSE)</f>
        <v>0</v>
      </c>
    </row>
    <row r="112" spans="1:19" ht="18">
      <c r="A112" s="14">
        <v>110</v>
      </c>
      <c r="B112" s="14" t="s">
        <v>64</v>
      </c>
      <c r="C112" s="14" t="str">
        <f>VLOOKUP(B112,Family!B:C,2,FALSE)</f>
        <v>A</v>
      </c>
      <c r="D112" s="15">
        <v>111</v>
      </c>
      <c r="E112" s="14">
        <f>ROUND(VLOOKUP(C112,'Production Plan'!A:B,2,FALSE),2)</f>
        <v>407.17</v>
      </c>
      <c r="F112" s="16">
        <v>45695</v>
      </c>
      <c r="G112" s="17">
        <f>F112+6*7</f>
        <v>45737</v>
      </c>
      <c r="H112" s="14">
        <f>G112-F112</f>
        <v>42</v>
      </c>
      <c r="I112" s="14">
        <f>ROUND(D112/E112,3)</f>
        <v>0.27300000000000002</v>
      </c>
      <c r="J112" s="14">
        <f>I112*24</f>
        <v>6.5520000000000005</v>
      </c>
      <c r="K112" s="14">
        <f>VLOOKUP($C112,Rotation!$A$2:$J$10,2,FALSE)</f>
        <v>1</v>
      </c>
      <c r="L112" s="14">
        <f>VLOOKUP($C112,Rotation!$A$2:$J$10,3,FALSE)</f>
        <v>1</v>
      </c>
      <c r="M112" s="14">
        <f>VLOOKUP($C112,Rotation!$A$2:$J$10,4,FALSE)</f>
        <v>1</v>
      </c>
      <c r="N112" s="14">
        <f>VLOOKUP($C112,Rotation!$A$2:$J$10,5,FALSE)</f>
        <v>0</v>
      </c>
      <c r="O112" s="14">
        <f>VLOOKUP($C112,Rotation!$A$2:$J$10,6,FALSE)</f>
        <v>0</v>
      </c>
      <c r="P112" s="14">
        <f>VLOOKUP($C112,Rotation!$A$2:$J$10,7,FALSE)</f>
        <v>0</v>
      </c>
      <c r="Q112" s="14">
        <f>VLOOKUP($C112,Rotation!$A$2:$J$10,8,FALSE)</f>
        <v>0</v>
      </c>
      <c r="R112" s="14">
        <f>VLOOKUP($C112,Rotation!$A$2:$J$10,9,FALSE)</f>
        <v>0</v>
      </c>
      <c r="S112" s="14">
        <f>VLOOKUP($C112,Rotation!$A$2:$J$10,10,FALSE)</f>
        <v>0</v>
      </c>
    </row>
    <row r="113" spans="1:19" ht="18">
      <c r="A113" s="14">
        <v>111</v>
      </c>
      <c r="B113" s="14" t="s">
        <v>106</v>
      </c>
      <c r="C113" s="14" t="str">
        <f>VLOOKUP(B113,Family!B:C,2,FALSE)</f>
        <v>P</v>
      </c>
      <c r="D113" s="15">
        <v>19</v>
      </c>
      <c r="E113" s="14">
        <f>ROUND(VLOOKUP(C113,'Production Plan'!A:B,2,FALSE),2)</f>
        <v>409.15</v>
      </c>
      <c r="F113" s="16">
        <v>45669</v>
      </c>
      <c r="G113" s="17">
        <f>F113+6*7</f>
        <v>45711</v>
      </c>
      <c r="H113" s="14">
        <f>G113-F113</f>
        <v>42</v>
      </c>
      <c r="I113" s="14">
        <f>ROUND(D113/E113,3)</f>
        <v>4.5999999999999999E-2</v>
      </c>
      <c r="J113" s="14">
        <f>I113*24</f>
        <v>1.1040000000000001</v>
      </c>
      <c r="K113" s="14">
        <f>VLOOKUP($C113,Rotation!$A$2:$J$10,2,FALSE)</f>
        <v>1</v>
      </c>
      <c r="L113" s="14">
        <f>VLOOKUP($C113,Rotation!$A$2:$J$10,3,FALSE)</f>
        <v>1</v>
      </c>
      <c r="M113" s="14">
        <f>VLOOKUP($C113,Rotation!$A$2:$J$10,4,FALSE)</f>
        <v>0</v>
      </c>
      <c r="N113" s="14">
        <f>VLOOKUP($C113,Rotation!$A$2:$J$10,5,FALSE)</f>
        <v>0</v>
      </c>
      <c r="O113" s="14">
        <f>VLOOKUP($C113,Rotation!$A$2:$J$10,6,FALSE)</f>
        <v>0</v>
      </c>
      <c r="P113" s="14">
        <f>VLOOKUP($C113,Rotation!$A$2:$J$10,7,FALSE)</f>
        <v>0</v>
      </c>
      <c r="Q113" s="14">
        <f>VLOOKUP($C113,Rotation!$A$2:$J$10,8,FALSE)</f>
        <v>0</v>
      </c>
      <c r="R113" s="14">
        <f>VLOOKUP($C113,Rotation!$A$2:$J$10,9,FALSE)</f>
        <v>0</v>
      </c>
      <c r="S113" s="14">
        <f>VLOOKUP($C113,Rotation!$A$2:$J$10,10,FALSE)</f>
        <v>0</v>
      </c>
    </row>
    <row r="114" spans="1:19" ht="18">
      <c r="A114" s="14">
        <v>112</v>
      </c>
      <c r="B114" s="14" t="s">
        <v>106</v>
      </c>
      <c r="C114" s="14" t="str">
        <f>VLOOKUP(B114,Family!B:C,2,FALSE)</f>
        <v>P</v>
      </c>
      <c r="D114" s="15">
        <v>19</v>
      </c>
      <c r="E114" s="14">
        <f>ROUND(VLOOKUP(C114,'Production Plan'!A:B,2,FALSE),2)</f>
        <v>409.15</v>
      </c>
      <c r="F114" s="16">
        <v>45669</v>
      </c>
      <c r="G114" s="17">
        <f>F114+6*7</f>
        <v>45711</v>
      </c>
      <c r="H114" s="14">
        <f>G114-F114</f>
        <v>42</v>
      </c>
      <c r="I114" s="14">
        <f>ROUND(D114/E114,3)</f>
        <v>4.5999999999999999E-2</v>
      </c>
      <c r="J114" s="14">
        <f>I114*24</f>
        <v>1.1040000000000001</v>
      </c>
      <c r="K114" s="14">
        <f>VLOOKUP($C114,Rotation!$A$2:$J$10,2,FALSE)</f>
        <v>1</v>
      </c>
      <c r="L114" s="14">
        <f>VLOOKUP($C114,Rotation!$A$2:$J$10,3,FALSE)</f>
        <v>1</v>
      </c>
      <c r="M114" s="14">
        <f>VLOOKUP($C114,Rotation!$A$2:$J$10,4,FALSE)</f>
        <v>0</v>
      </c>
      <c r="N114" s="14">
        <f>VLOOKUP($C114,Rotation!$A$2:$J$10,5,FALSE)</f>
        <v>0</v>
      </c>
      <c r="O114" s="14">
        <f>VLOOKUP($C114,Rotation!$A$2:$J$10,6,FALSE)</f>
        <v>0</v>
      </c>
      <c r="P114" s="14">
        <f>VLOOKUP($C114,Rotation!$A$2:$J$10,7,FALSE)</f>
        <v>0</v>
      </c>
      <c r="Q114" s="14">
        <f>VLOOKUP($C114,Rotation!$A$2:$J$10,8,FALSE)</f>
        <v>0</v>
      </c>
      <c r="R114" s="14">
        <f>VLOOKUP($C114,Rotation!$A$2:$J$10,9,FALSE)</f>
        <v>0</v>
      </c>
      <c r="S114" s="14">
        <f>VLOOKUP($C114,Rotation!$A$2:$J$10,10,FALSE)</f>
        <v>0</v>
      </c>
    </row>
    <row r="115" spans="1:19" ht="18">
      <c r="A115" s="14">
        <v>113</v>
      </c>
      <c r="B115" s="14" t="s">
        <v>106</v>
      </c>
      <c r="C115" s="14" t="str">
        <f>VLOOKUP(B115,Family!B:C,2,FALSE)</f>
        <v>P</v>
      </c>
      <c r="D115" s="15">
        <v>19</v>
      </c>
      <c r="E115" s="14">
        <f>ROUND(VLOOKUP(C115,'Production Plan'!A:B,2,FALSE),2)</f>
        <v>409.15</v>
      </c>
      <c r="F115" s="16">
        <v>45669</v>
      </c>
      <c r="G115" s="17">
        <f>F115+6*7</f>
        <v>45711</v>
      </c>
      <c r="H115" s="14">
        <f>G115-F115</f>
        <v>42</v>
      </c>
      <c r="I115" s="14">
        <f>ROUND(D115/E115,3)</f>
        <v>4.5999999999999999E-2</v>
      </c>
      <c r="J115" s="14">
        <f>I115*24</f>
        <v>1.1040000000000001</v>
      </c>
      <c r="K115" s="14">
        <f>VLOOKUP($C115,Rotation!$A$2:$J$10,2,FALSE)</f>
        <v>1</v>
      </c>
      <c r="L115" s="14">
        <f>VLOOKUP($C115,Rotation!$A$2:$J$10,3,FALSE)</f>
        <v>1</v>
      </c>
      <c r="M115" s="14">
        <f>VLOOKUP($C115,Rotation!$A$2:$J$10,4,FALSE)</f>
        <v>0</v>
      </c>
      <c r="N115" s="14">
        <f>VLOOKUP($C115,Rotation!$A$2:$J$10,5,FALSE)</f>
        <v>0</v>
      </c>
      <c r="O115" s="14">
        <f>VLOOKUP($C115,Rotation!$A$2:$J$10,6,FALSE)</f>
        <v>0</v>
      </c>
      <c r="P115" s="14">
        <f>VLOOKUP($C115,Rotation!$A$2:$J$10,7,FALSE)</f>
        <v>0</v>
      </c>
      <c r="Q115" s="14">
        <f>VLOOKUP($C115,Rotation!$A$2:$J$10,8,FALSE)</f>
        <v>0</v>
      </c>
      <c r="R115" s="14">
        <f>VLOOKUP($C115,Rotation!$A$2:$J$10,9,FALSE)</f>
        <v>0</v>
      </c>
      <c r="S115" s="14">
        <f>VLOOKUP($C115,Rotation!$A$2:$J$10,10,FALSE)</f>
        <v>0</v>
      </c>
    </row>
    <row r="116" spans="1:19" ht="18">
      <c r="A116" s="14">
        <v>114</v>
      </c>
      <c r="B116" s="14" t="s">
        <v>85</v>
      </c>
      <c r="C116" s="14" t="str">
        <f>VLOOKUP(B116,Family!B:C,2,FALSE)</f>
        <v>E</v>
      </c>
      <c r="D116" s="15">
        <v>19</v>
      </c>
      <c r="E116" s="14">
        <f>ROUND(VLOOKUP(C116,'Production Plan'!A:B,2,FALSE),2)</f>
        <v>333.66</v>
      </c>
      <c r="F116" s="16">
        <v>45669</v>
      </c>
      <c r="G116" s="17">
        <f>F116+6*7</f>
        <v>45711</v>
      </c>
      <c r="H116" s="14">
        <f>G116-F116</f>
        <v>42</v>
      </c>
      <c r="I116" s="14">
        <f>ROUND(D116/E116,3)</f>
        <v>5.7000000000000002E-2</v>
      </c>
      <c r="J116" s="14">
        <f>I116*24</f>
        <v>1.3680000000000001</v>
      </c>
      <c r="K116" s="14">
        <f>VLOOKUP($C116,Rotation!$A$2:$J$10,2,FALSE)</f>
        <v>1</v>
      </c>
      <c r="L116" s="14">
        <f>VLOOKUP($C116,Rotation!$A$2:$J$10,3,FALSE)</f>
        <v>0</v>
      </c>
      <c r="M116" s="14">
        <f>VLOOKUP($C116,Rotation!$A$2:$J$10,4,FALSE)</f>
        <v>0</v>
      </c>
      <c r="N116" s="14">
        <f>VLOOKUP($C116,Rotation!$A$2:$J$10,5,FALSE)</f>
        <v>0</v>
      </c>
      <c r="O116" s="14">
        <f>VLOOKUP($C116,Rotation!$A$2:$J$10,6,FALSE)</f>
        <v>0</v>
      </c>
      <c r="P116" s="14">
        <f>VLOOKUP($C116,Rotation!$A$2:$J$10,7,FALSE)</f>
        <v>1</v>
      </c>
      <c r="Q116" s="14">
        <f>VLOOKUP($C116,Rotation!$A$2:$J$10,8,FALSE)</f>
        <v>0</v>
      </c>
      <c r="R116" s="14">
        <f>VLOOKUP($C116,Rotation!$A$2:$J$10,9,FALSE)</f>
        <v>0</v>
      </c>
      <c r="S116" s="14">
        <f>VLOOKUP($C116,Rotation!$A$2:$J$10,10,FALSE)</f>
        <v>0</v>
      </c>
    </row>
    <row r="117" spans="1:19" ht="18">
      <c r="A117" s="14">
        <v>115</v>
      </c>
      <c r="B117" s="14" t="s">
        <v>65</v>
      </c>
      <c r="C117" s="14" t="str">
        <f>VLOOKUP(B117,Family!B:C,2,FALSE)</f>
        <v>A</v>
      </c>
      <c r="D117" s="15">
        <v>38</v>
      </c>
      <c r="E117" s="14">
        <f>ROUND(VLOOKUP(C117,'Production Plan'!A:B,2,FALSE),2)</f>
        <v>407.17</v>
      </c>
      <c r="F117" s="16">
        <v>45686</v>
      </c>
      <c r="G117" s="17">
        <f>F117+6*7</f>
        <v>45728</v>
      </c>
      <c r="H117" s="14">
        <f>G117-F117</f>
        <v>42</v>
      </c>
      <c r="I117" s="14">
        <f>ROUND(D117/E117,3)</f>
        <v>9.2999999999999999E-2</v>
      </c>
      <c r="J117" s="14">
        <f>I117*24</f>
        <v>2.2320000000000002</v>
      </c>
      <c r="K117" s="14">
        <f>VLOOKUP($C117,Rotation!$A$2:$J$10,2,FALSE)</f>
        <v>1</v>
      </c>
      <c r="L117" s="14">
        <f>VLOOKUP($C117,Rotation!$A$2:$J$10,3,FALSE)</f>
        <v>1</v>
      </c>
      <c r="M117" s="14">
        <f>VLOOKUP($C117,Rotation!$A$2:$J$10,4,FALSE)</f>
        <v>1</v>
      </c>
      <c r="N117" s="14">
        <f>VLOOKUP($C117,Rotation!$A$2:$J$10,5,FALSE)</f>
        <v>0</v>
      </c>
      <c r="O117" s="14">
        <f>VLOOKUP($C117,Rotation!$A$2:$J$10,6,FALSE)</f>
        <v>0</v>
      </c>
      <c r="P117" s="14">
        <f>VLOOKUP($C117,Rotation!$A$2:$J$10,7,FALSE)</f>
        <v>0</v>
      </c>
      <c r="Q117" s="14">
        <f>VLOOKUP($C117,Rotation!$A$2:$J$10,8,FALSE)</f>
        <v>0</v>
      </c>
      <c r="R117" s="14">
        <f>VLOOKUP($C117,Rotation!$A$2:$J$10,9,FALSE)</f>
        <v>0</v>
      </c>
      <c r="S117" s="14">
        <f>VLOOKUP($C117,Rotation!$A$2:$J$10,10,FALSE)</f>
        <v>0</v>
      </c>
    </row>
    <row r="118" spans="1:19" ht="18">
      <c r="A118" s="14">
        <v>116</v>
      </c>
      <c r="B118" s="14" t="s">
        <v>105</v>
      </c>
      <c r="C118" s="14" t="str">
        <f>VLOOKUP(B118,Family!B:C,2,FALSE)</f>
        <v>N</v>
      </c>
      <c r="D118" s="15">
        <v>358</v>
      </c>
      <c r="E118" s="14">
        <f>ROUND(VLOOKUP(C118,'Production Plan'!A:B,2,FALSE),2)</f>
        <v>334.18</v>
      </c>
      <c r="F118" s="16">
        <v>45680</v>
      </c>
      <c r="G118" s="17">
        <f>F118+6*7</f>
        <v>45722</v>
      </c>
      <c r="H118" s="14">
        <f>G118-F118</f>
        <v>42</v>
      </c>
      <c r="I118" s="14">
        <f>ROUND(D118/E118,3)</f>
        <v>1.071</v>
      </c>
      <c r="J118" s="14">
        <f>I118*24</f>
        <v>25.704000000000001</v>
      </c>
      <c r="K118" s="14">
        <f>VLOOKUP($C118,Rotation!$A$2:$J$10,2,FALSE)</f>
        <v>1</v>
      </c>
      <c r="L118" s="14">
        <f>VLOOKUP($C118,Rotation!$A$2:$J$10,3,FALSE)</f>
        <v>0</v>
      </c>
      <c r="M118" s="14">
        <f>VLOOKUP($C118,Rotation!$A$2:$J$10,4,FALSE)</f>
        <v>0</v>
      </c>
      <c r="N118" s="14">
        <f>VLOOKUP($C118,Rotation!$A$2:$J$10,5,FALSE)</f>
        <v>0</v>
      </c>
      <c r="O118" s="14">
        <f>VLOOKUP($C118,Rotation!$A$2:$J$10,6,FALSE)</f>
        <v>0</v>
      </c>
      <c r="P118" s="14">
        <f>VLOOKUP($C118,Rotation!$A$2:$J$10,7,FALSE)</f>
        <v>0</v>
      </c>
      <c r="Q118" s="14">
        <f>VLOOKUP($C118,Rotation!$A$2:$J$10,8,FALSE)</f>
        <v>1</v>
      </c>
      <c r="R118" s="14">
        <f>VLOOKUP($C118,Rotation!$A$2:$J$10,9,FALSE)</f>
        <v>0</v>
      </c>
      <c r="S118" s="14">
        <f>VLOOKUP($C118,Rotation!$A$2:$J$10,10,FALSE)</f>
        <v>0</v>
      </c>
    </row>
    <row r="119" spans="1:19" ht="18">
      <c r="A119" s="14">
        <v>117</v>
      </c>
      <c r="B119" s="14" t="s">
        <v>64</v>
      </c>
      <c r="C119" s="14" t="str">
        <f>VLOOKUP(B119,Family!B:C,2,FALSE)</f>
        <v>A</v>
      </c>
      <c r="D119" s="15">
        <v>111</v>
      </c>
      <c r="E119" s="14">
        <f>ROUND(VLOOKUP(C119,'Production Plan'!A:B,2,FALSE),2)</f>
        <v>407.17</v>
      </c>
      <c r="F119" s="16">
        <v>45695</v>
      </c>
      <c r="G119" s="17">
        <f>F119+6*7</f>
        <v>45737</v>
      </c>
      <c r="H119" s="14">
        <f>G119-F119</f>
        <v>42</v>
      </c>
      <c r="I119" s="14">
        <f>ROUND(D119/E119,3)</f>
        <v>0.27300000000000002</v>
      </c>
      <c r="J119" s="14">
        <f>I119*24</f>
        <v>6.5520000000000005</v>
      </c>
      <c r="K119" s="14">
        <f>VLOOKUP($C119,Rotation!$A$2:$J$10,2,FALSE)</f>
        <v>1</v>
      </c>
      <c r="L119" s="14">
        <f>VLOOKUP($C119,Rotation!$A$2:$J$10,3,FALSE)</f>
        <v>1</v>
      </c>
      <c r="M119" s="14">
        <f>VLOOKUP($C119,Rotation!$A$2:$J$10,4,FALSE)</f>
        <v>1</v>
      </c>
      <c r="N119" s="14">
        <f>VLOOKUP($C119,Rotation!$A$2:$J$10,5,FALSE)</f>
        <v>0</v>
      </c>
      <c r="O119" s="14">
        <f>VLOOKUP($C119,Rotation!$A$2:$J$10,6,FALSE)</f>
        <v>0</v>
      </c>
      <c r="P119" s="14">
        <f>VLOOKUP($C119,Rotation!$A$2:$J$10,7,FALSE)</f>
        <v>0</v>
      </c>
      <c r="Q119" s="14">
        <f>VLOOKUP($C119,Rotation!$A$2:$J$10,8,FALSE)</f>
        <v>0</v>
      </c>
      <c r="R119" s="14">
        <f>VLOOKUP($C119,Rotation!$A$2:$J$10,9,FALSE)</f>
        <v>0</v>
      </c>
      <c r="S119" s="14">
        <f>VLOOKUP($C119,Rotation!$A$2:$J$10,10,FALSE)</f>
        <v>0</v>
      </c>
    </row>
    <row r="120" spans="1:19" ht="18">
      <c r="A120" s="14">
        <v>118</v>
      </c>
      <c r="B120" s="14" t="s">
        <v>99</v>
      </c>
      <c r="C120" s="14" t="str">
        <f>VLOOKUP(B120,Family!B:C,2,FALSE)</f>
        <v>N</v>
      </c>
      <c r="D120" s="15">
        <v>310</v>
      </c>
      <c r="E120" s="14">
        <f>ROUND(VLOOKUP(C120,'Production Plan'!A:B,2,FALSE),2)</f>
        <v>334.18</v>
      </c>
      <c r="F120" s="16">
        <v>45700</v>
      </c>
      <c r="G120" s="17">
        <f>F120+6*7</f>
        <v>45742</v>
      </c>
      <c r="H120" s="14">
        <f>G120-F120</f>
        <v>42</v>
      </c>
      <c r="I120" s="14">
        <f>ROUND(D120/E120,3)</f>
        <v>0.92800000000000005</v>
      </c>
      <c r="J120" s="14">
        <f>I120*24</f>
        <v>22.272000000000002</v>
      </c>
      <c r="K120" s="14">
        <f>VLOOKUP($C120,Rotation!$A$2:$J$10,2,FALSE)</f>
        <v>1</v>
      </c>
      <c r="L120" s="14">
        <f>VLOOKUP($C120,Rotation!$A$2:$J$10,3,FALSE)</f>
        <v>0</v>
      </c>
      <c r="M120" s="14">
        <f>VLOOKUP($C120,Rotation!$A$2:$J$10,4,FALSE)</f>
        <v>0</v>
      </c>
      <c r="N120" s="14">
        <f>VLOOKUP($C120,Rotation!$A$2:$J$10,5,FALSE)</f>
        <v>0</v>
      </c>
      <c r="O120" s="14">
        <f>VLOOKUP($C120,Rotation!$A$2:$J$10,6,FALSE)</f>
        <v>0</v>
      </c>
      <c r="P120" s="14">
        <f>VLOOKUP($C120,Rotation!$A$2:$J$10,7,FALSE)</f>
        <v>0</v>
      </c>
      <c r="Q120" s="14">
        <f>VLOOKUP($C120,Rotation!$A$2:$J$10,8,FALSE)</f>
        <v>1</v>
      </c>
      <c r="R120" s="14">
        <f>VLOOKUP($C120,Rotation!$A$2:$J$10,9,FALSE)</f>
        <v>0</v>
      </c>
      <c r="S120" s="14">
        <f>VLOOKUP($C120,Rotation!$A$2:$J$10,10,FALSE)</f>
        <v>0</v>
      </c>
    </row>
    <row r="121" spans="1:19" ht="18">
      <c r="A121" s="14">
        <v>119</v>
      </c>
      <c r="B121" s="14" t="s">
        <v>94</v>
      </c>
      <c r="C121" s="14" t="str">
        <f>VLOOKUP(B121,Family!B:C,2,FALSE)</f>
        <v>H</v>
      </c>
      <c r="D121" s="15">
        <v>99</v>
      </c>
      <c r="E121" s="14">
        <f>ROUND(VLOOKUP(C121,'Production Plan'!A:B,2,FALSE),2)</f>
        <v>402.02</v>
      </c>
      <c r="F121" s="16">
        <v>45664</v>
      </c>
      <c r="G121" s="17">
        <f>F121+6*7</f>
        <v>45706</v>
      </c>
      <c r="H121" s="14">
        <f>G121-F121</f>
        <v>42</v>
      </c>
      <c r="I121" s="14">
        <f>ROUND(D121/E121,3)</f>
        <v>0.246</v>
      </c>
      <c r="J121" s="14">
        <f>I121*24</f>
        <v>5.9039999999999999</v>
      </c>
      <c r="K121" s="14">
        <f>VLOOKUP($C121,Rotation!$A$2:$J$10,2,FALSE)</f>
        <v>0</v>
      </c>
      <c r="L121" s="14">
        <f>VLOOKUP($C121,Rotation!$A$2:$J$10,3,FALSE)</f>
        <v>0</v>
      </c>
      <c r="M121" s="14">
        <f>VLOOKUP($C121,Rotation!$A$2:$J$10,4,FALSE)</f>
        <v>1</v>
      </c>
      <c r="N121" s="14">
        <f>VLOOKUP($C121,Rotation!$A$2:$J$10,5,FALSE)</f>
        <v>1</v>
      </c>
      <c r="O121" s="14">
        <f>VLOOKUP($C121,Rotation!$A$2:$J$10,6,FALSE)</f>
        <v>0</v>
      </c>
      <c r="P121" s="14">
        <f>VLOOKUP($C121,Rotation!$A$2:$J$10,7,FALSE)</f>
        <v>0</v>
      </c>
      <c r="Q121" s="14">
        <f>VLOOKUP($C121,Rotation!$A$2:$J$10,8,FALSE)</f>
        <v>0</v>
      </c>
      <c r="R121" s="14">
        <f>VLOOKUP($C121,Rotation!$A$2:$J$10,9,FALSE)</f>
        <v>0</v>
      </c>
      <c r="S121" s="14">
        <f>VLOOKUP($C121,Rotation!$A$2:$J$10,10,FALSE)</f>
        <v>0</v>
      </c>
    </row>
    <row r="122" spans="1:19" ht="18">
      <c r="A122" s="14">
        <v>120</v>
      </c>
      <c r="B122" s="14" t="s">
        <v>93</v>
      </c>
      <c r="C122" s="14" t="str">
        <f>VLOOKUP(B122,Family!B:C,2,FALSE)</f>
        <v>F</v>
      </c>
      <c r="D122" s="15">
        <v>504</v>
      </c>
      <c r="E122" s="14">
        <f>ROUND(VLOOKUP(C122,'Production Plan'!A:B,2,FALSE),2)</f>
        <v>394.98</v>
      </c>
      <c r="F122" s="16">
        <v>45694</v>
      </c>
      <c r="G122" s="17">
        <f>F122+6*7</f>
        <v>45736</v>
      </c>
      <c r="H122" s="14">
        <f>G122-F122</f>
        <v>42</v>
      </c>
      <c r="I122" s="14">
        <f>ROUND(D122/E122,3)</f>
        <v>1.276</v>
      </c>
      <c r="J122" s="14">
        <f>I122*24</f>
        <v>30.624000000000002</v>
      </c>
      <c r="K122" s="14">
        <f>VLOOKUP($C122,Rotation!$A$2:$J$10,2,FALSE)</f>
        <v>1</v>
      </c>
      <c r="L122" s="14">
        <f>VLOOKUP($C122,Rotation!$A$2:$J$10,3,FALSE)</f>
        <v>0</v>
      </c>
      <c r="M122" s="14">
        <f>VLOOKUP($C122,Rotation!$A$2:$J$10,4,FALSE)</f>
        <v>0</v>
      </c>
      <c r="N122" s="14">
        <f>VLOOKUP($C122,Rotation!$A$2:$J$10,5,FALSE)</f>
        <v>1</v>
      </c>
      <c r="O122" s="14">
        <f>VLOOKUP($C122,Rotation!$A$2:$J$10,6,FALSE)</f>
        <v>1</v>
      </c>
      <c r="P122" s="14">
        <f>VLOOKUP($C122,Rotation!$A$2:$J$10,7,FALSE)</f>
        <v>1</v>
      </c>
      <c r="Q122" s="14">
        <f>VLOOKUP($C122,Rotation!$A$2:$J$10,8,FALSE)</f>
        <v>1</v>
      </c>
      <c r="R122" s="14">
        <f>VLOOKUP($C122,Rotation!$A$2:$J$10,9,FALSE)</f>
        <v>1</v>
      </c>
      <c r="S122" s="14">
        <f>VLOOKUP($C122,Rotation!$A$2:$J$10,10,FALSE)</f>
        <v>1</v>
      </c>
    </row>
    <row r="123" spans="1:19" ht="18">
      <c r="A123" s="14">
        <v>121</v>
      </c>
      <c r="B123" s="14" t="s">
        <v>93</v>
      </c>
      <c r="C123" s="14" t="str">
        <f>VLOOKUP(B123,Family!B:C,2,FALSE)</f>
        <v>F</v>
      </c>
      <c r="D123" s="15">
        <v>504</v>
      </c>
      <c r="E123" s="14">
        <f>ROUND(VLOOKUP(C123,'Production Plan'!A:B,2,FALSE),2)</f>
        <v>394.98</v>
      </c>
      <c r="F123" s="16">
        <v>45694</v>
      </c>
      <c r="G123" s="17">
        <f>F123+6*7</f>
        <v>45736</v>
      </c>
      <c r="H123" s="14">
        <f>G123-F123</f>
        <v>42</v>
      </c>
      <c r="I123" s="14">
        <f>ROUND(D123/E123,3)</f>
        <v>1.276</v>
      </c>
      <c r="J123" s="14">
        <f>I123*24</f>
        <v>30.624000000000002</v>
      </c>
      <c r="K123" s="14">
        <f>VLOOKUP($C123,Rotation!$A$2:$J$10,2,FALSE)</f>
        <v>1</v>
      </c>
      <c r="L123" s="14">
        <f>VLOOKUP($C123,Rotation!$A$2:$J$10,3,FALSE)</f>
        <v>0</v>
      </c>
      <c r="M123" s="14">
        <f>VLOOKUP($C123,Rotation!$A$2:$J$10,4,FALSE)</f>
        <v>0</v>
      </c>
      <c r="N123" s="14">
        <f>VLOOKUP($C123,Rotation!$A$2:$J$10,5,FALSE)</f>
        <v>1</v>
      </c>
      <c r="O123" s="14">
        <f>VLOOKUP($C123,Rotation!$A$2:$J$10,6,FALSE)</f>
        <v>1</v>
      </c>
      <c r="P123" s="14">
        <f>VLOOKUP($C123,Rotation!$A$2:$J$10,7,FALSE)</f>
        <v>1</v>
      </c>
      <c r="Q123" s="14">
        <f>VLOOKUP($C123,Rotation!$A$2:$J$10,8,FALSE)</f>
        <v>1</v>
      </c>
      <c r="R123" s="14">
        <f>VLOOKUP($C123,Rotation!$A$2:$J$10,9,FALSE)</f>
        <v>1</v>
      </c>
      <c r="S123" s="14">
        <f>VLOOKUP($C123,Rotation!$A$2:$J$10,10,FALSE)</f>
        <v>1</v>
      </c>
    </row>
    <row r="124" spans="1:19" ht="18">
      <c r="A124" s="14">
        <v>122</v>
      </c>
      <c r="B124" s="14" t="s">
        <v>98</v>
      </c>
      <c r="C124" s="14" t="str">
        <f>VLOOKUP(B124,Family!B:C,2,FALSE)</f>
        <v>H</v>
      </c>
      <c r="D124" s="15">
        <v>19</v>
      </c>
      <c r="E124" s="14">
        <f>ROUND(VLOOKUP(C124,'Production Plan'!A:B,2,FALSE),2)</f>
        <v>402.02</v>
      </c>
      <c r="F124" s="16">
        <v>45669</v>
      </c>
      <c r="G124" s="17">
        <f>F124+6*7</f>
        <v>45711</v>
      </c>
      <c r="H124" s="14">
        <f>G124-F124</f>
        <v>42</v>
      </c>
      <c r="I124" s="14">
        <f>ROUND(D124/E124,3)</f>
        <v>4.7E-2</v>
      </c>
      <c r="J124" s="14">
        <f>I124*24</f>
        <v>1.1280000000000001</v>
      </c>
      <c r="K124" s="14">
        <f>VLOOKUP($C124,Rotation!$A$2:$J$10,2,FALSE)</f>
        <v>0</v>
      </c>
      <c r="L124" s="14">
        <f>VLOOKUP($C124,Rotation!$A$2:$J$10,3,FALSE)</f>
        <v>0</v>
      </c>
      <c r="M124" s="14">
        <f>VLOOKUP($C124,Rotation!$A$2:$J$10,4,FALSE)</f>
        <v>1</v>
      </c>
      <c r="N124" s="14">
        <f>VLOOKUP($C124,Rotation!$A$2:$J$10,5,FALSE)</f>
        <v>1</v>
      </c>
      <c r="O124" s="14">
        <f>VLOOKUP($C124,Rotation!$A$2:$J$10,6,FALSE)</f>
        <v>0</v>
      </c>
      <c r="P124" s="14">
        <f>VLOOKUP($C124,Rotation!$A$2:$J$10,7,FALSE)</f>
        <v>0</v>
      </c>
      <c r="Q124" s="14">
        <f>VLOOKUP($C124,Rotation!$A$2:$J$10,8,FALSE)</f>
        <v>0</v>
      </c>
      <c r="R124" s="14">
        <f>VLOOKUP($C124,Rotation!$A$2:$J$10,9,FALSE)</f>
        <v>0</v>
      </c>
      <c r="S124" s="14">
        <f>VLOOKUP($C124,Rotation!$A$2:$J$10,10,FALSE)</f>
        <v>0</v>
      </c>
    </row>
    <row r="125" spans="1:19" ht="18">
      <c r="A125" s="14">
        <v>123</v>
      </c>
      <c r="B125" s="14" t="s">
        <v>106</v>
      </c>
      <c r="C125" s="14" t="str">
        <f>VLOOKUP(B125,Family!B:C,2,FALSE)</f>
        <v>P</v>
      </c>
      <c r="D125" s="15">
        <v>19</v>
      </c>
      <c r="E125" s="14">
        <f>ROUND(VLOOKUP(C125,'Production Plan'!A:B,2,FALSE),2)</f>
        <v>409.15</v>
      </c>
      <c r="F125" s="16">
        <v>45669</v>
      </c>
      <c r="G125" s="17">
        <f>F125+6*7</f>
        <v>45711</v>
      </c>
      <c r="H125" s="14">
        <f>G125-F125</f>
        <v>42</v>
      </c>
      <c r="I125" s="14">
        <f>ROUND(D125/E125,3)</f>
        <v>4.5999999999999999E-2</v>
      </c>
      <c r="J125" s="14">
        <f>I125*24</f>
        <v>1.1040000000000001</v>
      </c>
      <c r="K125" s="14">
        <f>VLOOKUP($C125,Rotation!$A$2:$J$10,2,FALSE)</f>
        <v>1</v>
      </c>
      <c r="L125" s="14">
        <f>VLOOKUP($C125,Rotation!$A$2:$J$10,3,FALSE)</f>
        <v>1</v>
      </c>
      <c r="M125" s="14">
        <f>VLOOKUP($C125,Rotation!$A$2:$J$10,4,FALSE)</f>
        <v>0</v>
      </c>
      <c r="N125" s="14">
        <f>VLOOKUP($C125,Rotation!$A$2:$J$10,5,FALSE)</f>
        <v>0</v>
      </c>
      <c r="O125" s="14">
        <f>VLOOKUP($C125,Rotation!$A$2:$J$10,6,FALSE)</f>
        <v>0</v>
      </c>
      <c r="P125" s="14">
        <f>VLOOKUP($C125,Rotation!$A$2:$J$10,7,FALSE)</f>
        <v>0</v>
      </c>
      <c r="Q125" s="14">
        <f>VLOOKUP($C125,Rotation!$A$2:$J$10,8,FALSE)</f>
        <v>0</v>
      </c>
      <c r="R125" s="14">
        <f>VLOOKUP($C125,Rotation!$A$2:$J$10,9,FALSE)</f>
        <v>0</v>
      </c>
      <c r="S125" s="14">
        <f>VLOOKUP($C125,Rotation!$A$2:$J$10,10,FALSE)</f>
        <v>0</v>
      </c>
    </row>
    <row r="126" spans="1:19" ht="18">
      <c r="A126" s="14">
        <v>124</v>
      </c>
      <c r="B126" s="14" t="s">
        <v>64</v>
      </c>
      <c r="C126" s="14" t="str">
        <f>VLOOKUP(B126,Family!B:C,2,FALSE)</f>
        <v>A</v>
      </c>
      <c r="D126" s="15">
        <v>111</v>
      </c>
      <c r="E126" s="14">
        <f>ROUND(VLOOKUP(C126,'Production Plan'!A:B,2,FALSE),2)</f>
        <v>407.17</v>
      </c>
      <c r="F126" s="16">
        <v>45681</v>
      </c>
      <c r="G126" s="17">
        <f>F126+6*7</f>
        <v>45723</v>
      </c>
      <c r="H126" s="14">
        <f>G126-F126</f>
        <v>42</v>
      </c>
      <c r="I126" s="14">
        <f>ROUND(D126/E126,3)</f>
        <v>0.27300000000000002</v>
      </c>
      <c r="J126" s="14">
        <f>I126*24</f>
        <v>6.5520000000000005</v>
      </c>
      <c r="K126" s="14">
        <f>VLOOKUP($C126,Rotation!$A$2:$J$10,2,FALSE)</f>
        <v>1</v>
      </c>
      <c r="L126" s="14">
        <f>VLOOKUP($C126,Rotation!$A$2:$J$10,3,FALSE)</f>
        <v>1</v>
      </c>
      <c r="M126" s="14">
        <f>VLOOKUP($C126,Rotation!$A$2:$J$10,4,FALSE)</f>
        <v>1</v>
      </c>
      <c r="N126" s="14">
        <f>VLOOKUP($C126,Rotation!$A$2:$J$10,5,FALSE)</f>
        <v>0</v>
      </c>
      <c r="O126" s="14">
        <f>VLOOKUP($C126,Rotation!$A$2:$J$10,6,FALSE)</f>
        <v>0</v>
      </c>
      <c r="P126" s="14">
        <f>VLOOKUP($C126,Rotation!$A$2:$J$10,7,FALSE)</f>
        <v>0</v>
      </c>
      <c r="Q126" s="14">
        <f>VLOOKUP($C126,Rotation!$A$2:$J$10,8,FALSE)</f>
        <v>0</v>
      </c>
      <c r="R126" s="14">
        <f>VLOOKUP($C126,Rotation!$A$2:$J$10,9,FALSE)</f>
        <v>0</v>
      </c>
      <c r="S126" s="14">
        <f>VLOOKUP($C126,Rotation!$A$2:$J$10,10,FALSE)</f>
        <v>0</v>
      </c>
    </row>
    <row r="127" spans="1:19" ht="18">
      <c r="A127" s="14">
        <v>125</v>
      </c>
      <c r="B127" s="14" t="s">
        <v>85</v>
      </c>
      <c r="C127" s="14" t="str">
        <f>VLOOKUP(B127,Family!B:C,2,FALSE)</f>
        <v>E</v>
      </c>
      <c r="D127" s="15">
        <v>19</v>
      </c>
      <c r="E127" s="14">
        <f>ROUND(VLOOKUP(C127,'Production Plan'!A:B,2,FALSE),2)</f>
        <v>333.66</v>
      </c>
      <c r="F127" s="16">
        <v>45669</v>
      </c>
      <c r="G127" s="17">
        <f>F127+6*7</f>
        <v>45711</v>
      </c>
      <c r="H127" s="14">
        <f>G127-F127</f>
        <v>42</v>
      </c>
      <c r="I127" s="14">
        <f>ROUND(D127/E127,3)</f>
        <v>5.7000000000000002E-2</v>
      </c>
      <c r="J127" s="14">
        <f>I127*24</f>
        <v>1.3680000000000001</v>
      </c>
      <c r="K127" s="14">
        <f>VLOOKUP($C127,Rotation!$A$2:$J$10,2,FALSE)</f>
        <v>1</v>
      </c>
      <c r="L127" s="14">
        <f>VLOOKUP($C127,Rotation!$A$2:$J$10,3,FALSE)</f>
        <v>0</v>
      </c>
      <c r="M127" s="14">
        <f>VLOOKUP($C127,Rotation!$A$2:$J$10,4,FALSE)</f>
        <v>0</v>
      </c>
      <c r="N127" s="14">
        <f>VLOOKUP($C127,Rotation!$A$2:$J$10,5,FALSE)</f>
        <v>0</v>
      </c>
      <c r="O127" s="14">
        <f>VLOOKUP($C127,Rotation!$A$2:$J$10,6,FALSE)</f>
        <v>0</v>
      </c>
      <c r="P127" s="14">
        <f>VLOOKUP($C127,Rotation!$A$2:$J$10,7,FALSE)</f>
        <v>1</v>
      </c>
      <c r="Q127" s="14">
        <f>VLOOKUP($C127,Rotation!$A$2:$J$10,8,FALSE)</f>
        <v>0</v>
      </c>
      <c r="R127" s="14">
        <f>VLOOKUP($C127,Rotation!$A$2:$J$10,9,FALSE)</f>
        <v>0</v>
      </c>
      <c r="S127" s="14">
        <f>VLOOKUP($C127,Rotation!$A$2:$J$10,10,FALSE)</f>
        <v>0</v>
      </c>
    </row>
    <row r="128" spans="1:19" ht="18">
      <c r="A128" s="14">
        <v>126</v>
      </c>
      <c r="B128" s="14" t="s">
        <v>65</v>
      </c>
      <c r="C128" s="14" t="str">
        <f>VLOOKUP(B128,Family!B:C,2,FALSE)</f>
        <v>A</v>
      </c>
      <c r="D128" s="15">
        <v>38</v>
      </c>
      <c r="E128" s="14">
        <f>ROUND(VLOOKUP(C128,'Production Plan'!A:B,2,FALSE),2)</f>
        <v>407.17</v>
      </c>
      <c r="F128" s="16">
        <v>45686</v>
      </c>
      <c r="G128" s="17">
        <f>F128+6*7</f>
        <v>45728</v>
      </c>
      <c r="H128" s="14">
        <f>G128-F128</f>
        <v>42</v>
      </c>
      <c r="I128" s="14">
        <f>ROUND(D128/E128,3)</f>
        <v>9.2999999999999999E-2</v>
      </c>
      <c r="J128" s="14">
        <f>I128*24</f>
        <v>2.2320000000000002</v>
      </c>
      <c r="K128" s="14">
        <f>VLOOKUP($C128,Rotation!$A$2:$J$10,2,FALSE)</f>
        <v>1</v>
      </c>
      <c r="L128" s="14">
        <f>VLOOKUP($C128,Rotation!$A$2:$J$10,3,FALSE)</f>
        <v>1</v>
      </c>
      <c r="M128" s="14">
        <f>VLOOKUP($C128,Rotation!$A$2:$J$10,4,FALSE)</f>
        <v>1</v>
      </c>
      <c r="N128" s="14">
        <f>VLOOKUP($C128,Rotation!$A$2:$J$10,5,FALSE)</f>
        <v>0</v>
      </c>
      <c r="O128" s="14">
        <f>VLOOKUP($C128,Rotation!$A$2:$J$10,6,FALSE)</f>
        <v>0</v>
      </c>
      <c r="P128" s="14">
        <f>VLOOKUP($C128,Rotation!$A$2:$J$10,7,FALSE)</f>
        <v>0</v>
      </c>
      <c r="Q128" s="14">
        <f>VLOOKUP($C128,Rotation!$A$2:$J$10,8,FALSE)</f>
        <v>0</v>
      </c>
      <c r="R128" s="14">
        <f>VLOOKUP($C128,Rotation!$A$2:$J$10,9,FALSE)</f>
        <v>0</v>
      </c>
      <c r="S128" s="14">
        <f>VLOOKUP($C128,Rotation!$A$2:$J$10,10,FALSE)</f>
        <v>0</v>
      </c>
    </row>
    <row r="129" spans="1:19" ht="18">
      <c r="A129" s="14">
        <v>127</v>
      </c>
      <c r="B129" s="14" t="s">
        <v>64</v>
      </c>
      <c r="C129" s="14" t="str">
        <f>VLOOKUP(B129,Family!B:C,2,FALSE)</f>
        <v>A</v>
      </c>
      <c r="D129" s="15">
        <v>111</v>
      </c>
      <c r="E129" s="14">
        <f>ROUND(VLOOKUP(C129,'Production Plan'!A:B,2,FALSE),2)</f>
        <v>407.17</v>
      </c>
      <c r="F129" s="16">
        <v>45681</v>
      </c>
      <c r="G129" s="17">
        <f>F129+6*7</f>
        <v>45723</v>
      </c>
      <c r="H129" s="14">
        <f>G129-F129</f>
        <v>42</v>
      </c>
      <c r="I129" s="14">
        <f>ROUND(D129/E129,3)</f>
        <v>0.27300000000000002</v>
      </c>
      <c r="J129" s="14">
        <f>I129*24</f>
        <v>6.5520000000000005</v>
      </c>
      <c r="K129" s="14">
        <f>VLOOKUP($C129,Rotation!$A$2:$J$10,2,FALSE)</f>
        <v>1</v>
      </c>
      <c r="L129" s="14">
        <f>VLOOKUP($C129,Rotation!$A$2:$J$10,3,FALSE)</f>
        <v>1</v>
      </c>
      <c r="M129" s="14">
        <f>VLOOKUP($C129,Rotation!$A$2:$J$10,4,FALSE)</f>
        <v>1</v>
      </c>
      <c r="N129" s="14">
        <f>VLOOKUP($C129,Rotation!$A$2:$J$10,5,FALSE)</f>
        <v>0</v>
      </c>
      <c r="O129" s="14">
        <f>VLOOKUP($C129,Rotation!$A$2:$J$10,6,FALSE)</f>
        <v>0</v>
      </c>
      <c r="P129" s="14">
        <f>VLOOKUP($C129,Rotation!$A$2:$J$10,7,FALSE)</f>
        <v>0</v>
      </c>
      <c r="Q129" s="14">
        <f>VLOOKUP($C129,Rotation!$A$2:$J$10,8,FALSE)</f>
        <v>0</v>
      </c>
      <c r="R129" s="14">
        <f>VLOOKUP($C129,Rotation!$A$2:$J$10,9,FALSE)</f>
        <v>0</v>
      </c>
      <c r="S129" s="14">
        <f>VLOOKUP($C129,Rotation!$A$2:$J$10,10,FALSE)</f>
        <v>0</v>
      </c>
    </row>
    <row r="130" spans="1:19" ht="18">
      <c r="A130" s="14">
        <v>128</v>
      </c>
      <c r="B130" s="14" t="s">
        <v>85</v>
      </c>
      <c r="C130" s="14" t="str">
        <f>VLOOKUP(B130,Family!B:C,2,FALSE)</f>
        <v>E</v>
      </c>
      <c r="D130" s="15">
        <v>19</v>
      </c>
      <c r="E130" s="14">
        <f>ROUND(VLOOKUP(C130,'Production Plan'!A:B,2,FALSE),2)</f>
        <v>333.66</v>
      </c>
      <c r="F130" s="16">
        <v>45669</v>
      </c>
      <c r="G130" s="17">
        <f>F130+6*7</f>
        <v>45711</v>
      </c>
      <c r="H130" s="14">
        <f>G130-F130</f>
        <v>42</v>
      </c>
      <c r="I130" s="14">
        <f>ROUND(D130/E130,3)</f>
        <v>5.7000000000000002E-2</v>
      </c>
      <c r="J130" s="14">
        <f>I130*24</f>
        <v>1.3680000000000001</v>
      </c>
      <c r="K130" s="14">
        <f>VLOOKUP($C130,Rotation!$A$2:$J$10,2,FALSE)</f>
        <v>1</v>
      </c>
      <c r="L130" s="14">
        <f>VLOOKUP($C130,Rotation!$A$2:$J$10,3,FALSE)</f>
        <v>0</v>
      </c>
      <c r="M130" s="14">
        <f>VLOOKUP($C130,Rotation!$A$2:$J$10,4,FALSE)</f>
        <v>0</v>
      </c>
      <c r="N130" s="14">
        <f>VLOOKUP($C130,Rotation!$A$2:$J$10,5,FALSE)</f>
        <v>0</v>
      </c>
      <c r="O130" s="14">
        <f>VLOOKUP($C130,Rotation!$A$2:$J$10,6,FALSE)</f>
        <v>0</v>
      </c>
      <c r="P130" s="14">
        <f>VLOOKUP($C130,Rotation!$A$2:$J$10,7,FALSE)</f>
        <v>1</v>
      </c>
      <c r="Q130" s="14">
        <f>VLOOKUP($C130,Rotation!$A$2:$J$10,8,FALSE)</f>
        <v>0</v>
      </c>
      <c r="R130" s="14">
        <f>VLOOKUP($C130,Rotation!$A$2:$J$10,9,FALSE)</f>
        <v>0</v>
      </c>
      <c r="S130" s="14">
        <f>VLOOKUP($C130,Rotation!$A$2:$J$10,10,FALSE)</f>
        <v>0</v>
      </c>
    </row>
    <row r="131" spans="1:19" ht="18">
      <c r="A131" s="14">
        <v>129</v>
      </c>
      <c r="B131" s="14" t="s">
        <v>65</v>
      </c>
      <c r="C131" s="14" t="str">
        <f>VLOOKUP(B131,Family!B:C,2,FALSE)</f>
        <v>A</v>
      </c>
      <c r="D131" s="15">
        <v>38</v>
      </c>
      <c r="E131" s="14">
        <f>ROUND(VLOOKUP(C131,'Production Plan'!A:B,2,FALSE),2)</f>
        <v>407.17</v>
      </c>
      <c r="F131" s="16">
        <v>45686</v>
      </c>
      <c r="G131" s="17">
        <f>F131+6*7</f>
        <v>45728</v>
      </c>
      <c r="H131" s="14">
        <f>G131-F131</f>
        <v>42</v>
      </c>
      <c r="I131" s="14">
        <f>ROUND(D131/E131,3)</f>
        <v>9.2999999999999999E-2</v>
      </c>
      <c r="J131" s="14">
        <f>I131*24</f>
        <v>2.2320000000000002</v>
      </c>
      <c r="K131" s="14">
        <f>VLOOKUP($C131,Rotation!$A$2:$J$10,2,FALSE)</f>
        <v>1</v>
      </c>
      <c r="L131" s="14">
        <f>VLOOKUP($C131,Rotation!$A$2:$J$10,3,FALSE)</f>
        <v>1</v>
      </c>
      <c r="M131" s="14">
        <f>VLOOKUP($C131,Rotation!$A$2:$J$10,4,FALSE)</f>
        <v>1</v>
      </c>
      <c r="N131" s="14">
        <f>VLOOKUP($C131,Rotation!$A$2:$J$10,5,FALSE)</f>
        <v>0</v>
      </c>
      <c r="O131" s="14">
        <f>VLOOKUP($C131,Rotation!$A$2:$J$10,6,FALSE)</f>
        <v>0</v>
      </c>
      <c r="P131" s="14">
        <f>VLOOKUP($C131,Rotation!$A$2:$J$10,7,FALSE)</f>
        <v>0</v>
      </c>
      <c r="Q131" s="14">
        <f>VLOOKUP($C131,Rotation!$A$2:$J$10,8,FALSE)</f>
        <v>0</v>
      </c>
      <c r="R131" s="14">
        <f>VLOOKUP($C131,Rotation!$A$2:$J$10,9,FALSE)</f>
        <v>0</v>
      </c>
      <c r="S131" s="14">
        <f>VLOOKUP($C131,Rotation!$A$2:$J$10,10,FALSE)</f>
        <v>0</v>
      </c>
    </row>
    <row r="132" spans="1:19" ht="18">
      <c r="A132" s="14">
        <v>130</v>
      </c>
      <c r="B132" s="14" t="s">
        <v>64</v>
      </c>
      <c r="C132" s="14" t="str">
        <f>VLOOKUP(B132,Family!B:C,2,FALSE)</f>
        <v>A</v>
      </c>
      <c r="D132" s="15">
        <v>111</v>
      </c>
      <c r="E132" s="14">
        <f>ROUND(VLOOKUP(C132,'Production Plan'!A:B,2,FALSE),2)</f>
        <v>407.17</v>
      </c>
      <c r="F132" s="16">
        <v>45681</v>
      </c>
      <c r="G132" s="17">
        <f>F132+6*7</f>
        <v>45723</v>
      </c>
      <c r="H132" s="14">
        <f>G132-F132</f>
        <v>42</v>
      </c>
      <c r="I132" s="14">
        <f>ROUND(D132/E132,3)</f>
        <v>0.27300000000000002</v>
      </c>
      <c r="J132" s="14">
        <f>I132*24</f>
        <v>6.5520000000000005</v>
      </c>
      <c r="K132" s="14">
        <f>VLOOKUP($C132,Rotation!$A$2:$J$10,2,FALSE)</f>
        <v>1</v>
      </c>
      <c r="L132" s="14">
        <f>VLOOKUP($C132,Rotation!$A$2:$J$10,3,FALSE)</f>
        <v>1</v>
      </c>
      <c r="M132" s="14">
        <f>VLOOKUP($C132,Rotation!$A$2:$J$10,4,FALSE)</f>
        <v>1</v>
      </c>
      <c r="N132" s="14">
        <f>VLOOKUP($C132,Rotation!$A$2:$J$10,5,FALSE)</f>
        <v>0</v>
      </c>
      <c r="O132" s="14">
        <f>VLOOKUP($C132,Rotation!$A$2:$J$10,6,FALSE)</f>
        <v>0</v>
      </c>
      <c r="P132" s="14">
        <f>VLOOKUP($C132,Rotation!$A$2:$J$10,7,FALSE)</f>
        <v>0</v>
      </c>
      <c r="Q132" s="14">
        <f>VLOOKUP($C132,Rotation!$A$2:$J$10,8,FALSE)</f>
        <v>0</v>
      </c>
      <c r="R132" s="14">
        <f>VLOOKUP($C132,Rotation!$A$2:$J$10,9,FALSE)</f>
        <v>0</v>
      </c>
      <c r="S132" s="14">
        <f>VLOOKUP($C132,Rotation!$A$2:$J$10,10,FALSE)</f>
        <v>0</v>
      </c>
    </row>
    <row r="133" spans="1:19" ht="18">
      <c r="A133" s="14">
        <v>131</v>
      </c>
      <c r="B133" s="14" t="s">
        <v>64</v>
      </c>
      <c r="C133" s="14" t="str">
        <f>VLOOKUP(B133,Family!B:C,2,FALSE)</f>
        <v>A</v>
      </c>
      <c r="D133" s="15">
        <v>111</v>
      </c>
      <c r="E133" s="14">
        <f>ROUND(VLOOKUP(C133,'Production Plan'!A:B,2,FALSE),2)</f>
        <v>407.17</v>
      </c>
      <c r="F133" s="16">
        <v>45681</v>
      </c>
      <c r="G133" s="17">
        <f>F133+6*7</f>
        <v>45723</v>
      </c>
      <c r="H133" s="14">
        <f>G133-F133</f>
        <v>42</v>
      </c>
      <c r="I133" s="14">
        <f>ROUND(D133/E133,3)</f>
        <v>0.27300000000000002</v>
      </c>
      <c r="J133" s="14">
        <f>I133*24</f>
        <v>6.5520000000000005</v>
      </c>
      <c r="K133" s="14">
        <f>VLOOKUP($C133,Rotation!$A$2:$J$10,2,FALSE)</f>
        <v>1</v>
      </c>
      <c r="L133" s="14">
        <f>VLOOKUP($C133,Rotation!$A$2:$J$10,3,FALSE)</f>
        <v>1</v>
      </c>
      <c r="M133" s="14">
        <f>VLOOKUP($C133,Rotation!$A$2:$J$10,4,FALSE)</f>
        <v>1</v>
      </c>
      <c r="N133" s="14">
        <f>VLOOKUP($C133,Rotation!$A$2:$J$10,5,FALSE)</f>
        <v>0</v>
      </c>
      <c r="O133" s="14">
        <f>VLOOKUP($C133,Rotation!$A$2:$J$10,6,FALSE)</f>
        <v>0</v>
      </c>
      <c r="P133" s="14">
        <f>VLOOKUP($C133,Rotation!$A$2:$J$10,7,FALSE)</f>
        <v>0</v>
      </c>
      <c r="Q133" s="14">
        <f>VLOOKUP($C133,Rotation!$A$2:$J$10,8,FALSE)</f>
        <v>0</v>
      </c>
      <c r="R133" s="14">
        <f>VLOOKUP($C133,Rotation!$A$2:$J$10,9,FALSE)</f>
        <v>0</v>
      </c>
      <c r="S133" s="14">
        <f>VLOOKUP($C133,Rotation!$A$2:$J$10,10,FALSE)</f>
        <v>0</v>
      </c>
    </row>
    <row r="134" spans="1:19" ht="18">
      <c r="A134" s="14">
        <v>132</v>
      </c>
      <c r="B134" s="14" t="s">
        <v>108</v>
      </c>
      <c r="C134" s="14" t="str">
        <f>VLOOKUP(B134,Family!B:C,2,FALSE)</f>
        <v>P</v>
      </c>
      <c r="D134" s="15">
        <v>163</v>
      </c>
      <c r="E134" s="14">
        <f>ROUND(VLOOKUP(C134,'Production Plan'!A:B,2,FALSE),2)</f>
        <v>409.15</v>
      </c>
      <c r="F134" s="16">
        <v>45674</v>
      </c>
      <c r="G134" s="17">
        <f>F134+6*7</f>
        <v>45716</v>
      </c>
      <c r="H134" s="14">
        <f>G134-F134</f>
        <v>42</v>
      </c>
      <c r="I134" s="14">
        <f>ROUND(D134/E134,3)</f>
        <v>0.39800000000000002</v>
      </c>
      <c r="J134" s="14">
        <f>I134*24</f>
        <v>9.5519999999999996</v>
      </c>
      <c r="K134" s="14">
        <f>VLOOKUP($C134,Rotation!$A$2:$J$10,2,FALSE)</f>
        <v>1</v>
      </c>
      <c r="L134" s="14">
        <f>VLOOKUP($C134,Rotation!$A$2:$J$10,3,FALSE)</f>
        <v>1</v>
      </c>
      <c r="M134" s="14">
        <f>VLOOKUP($C134,Rotation!$A$2:$J$10,4,FALSE)</f>
        <v>0</v>
      </c>
      <c r="N134" s="14">
        <f>VLOOKUP($C134,Rotation!$A$2:$J$10,5,FALSE)</f>
        <v>0</v>
      </c>
      <c r="O134" s="14">
        <f>VLOOKUP($C134,Rotation!$A$2:$J$10,6,FALSE)</f>
        <v>0</v>
      </c>
      <c r="P134" s="14">
        <f>VLOOKUP($C134,Rotation!$A$2:$J$10,7,FALSE)</f>
        <v>0</v>
      </c>
      <c r="Q134" s="14">
        <f>VLOOKUP($C134,Rotation!$A$2:$J$10,8,FALSE)</f>
        <v>0</v>
      </c>
      <c r="R134" s="14">
        <f>VLOOKUP($C134,Rotation!$A$2:$J$10,9,FALSE)</f>
        <v>0</v>
      </c>
      <c r="S134" s="14">
        <f>VLOOKUP($C134,Rotation!$A$2:$J$10,10,FALSE)</f>
        <v>0</v>
      </c>
    </row>
    <row r="135" spans="1:19" ht="18">
      <c r="A135" s="14">
        <v>133</v>
      </c>
      <c r="B135" s="14" t="s">
        <v>66</v>
      </c>
      <c r="C135" s="14" t="str">
        <f>VLOOKUP(B135,Family!B:C,2,FALSE)</f>
        <v>A</v>
      </c>
      <c r="D135" s="15">
        <v>54</v>
      </c>
      <c r="E135" s="14">
        <f>ROUND(VLOOKUP(C135,'Production Plan'!A:B,2,FALSE),2)</f>
        <v>407.17</v>
      </c>
      <c r="F135" s="16">
        <v>45674</v>
      </c>
      <c r="G135" s="17">
        <f>F135+6*7</f>
        <v>45716</v>
      </c>
      <c r="H135" s="14">
        <f>G135-F135</f>
        <v>42</v>
      </c>
      <c r="I135" s="14">
        <f>ROUND(D135/E135,3)</f>
        <v>0.13300000000000001</v>
      </c>
      <c r="J135" s="14">
        <f>I135*24</f>
        <v>3.1920000000000002</v>
      </c>
      <c r="K135" s="14">
        <f>VLOOKUP($C135,Rotation!$A$2:$J$10,2,FALSE)</f>
        <v>1</v>
      </c>
      <c r="L135" s="14">
        <f>VLOOKUP($C135,Rotation!$A$2:$J$10,3,FALSE)</f>
        <v>1</v>
      </c>
      <c r="M135" s="14">
        <f>VLOOKUP($C135,Rotation!$A$2:$J$10,4,FALSE)</f>
        <v>1</v>
      </c>
      <c r="N135" s="14">
        <f>VLOOKUP($C135,Rotation!$A$2:$J$10,5,FALSE)</f>
        <v>0</v>
      </c>
      <c r="O135" s="14">
        <f>VLOOKUP($C135,Rotation!$A$2:$J$10,6,FALSE)</f>
        <v>0</v>
      </c>
      <c r="P135" s="14">
        <f>VLOOKUP($C135,Rotation!$A$2:$J$10,7,FALSE)</f>
        <v>0</v>
      </c>
      <c r="Q135" s="14">
        <f>VLOOKUP($C135,Rotation!$A$2:$J$10,8,FALSE)</f>
        <v>0</v>
      </c>
      <c r="R135" s="14">
        <f>VLOOKUP($C135,Rotation!$A$2:$J$10,9,FALSE)</f>
        <v>0</v>
      </c>
      <c r="S135" s="14">
        <f>VLOOKUP($C135,Rotation!$A$2:$J$10,10,FALSE)</f>
        <v>0</v>
      </c>
    </row>
    <row r="136" spans="1:19" ht="18">
      <c r="A136" s="14">
        <v>134</v>
      </c>
      <c r="B136" s="14" t="s">
        <v>66</v>
      </c>
      <c r="C136" s="14" t="str">
        <f>VLOOKUP(B136,Family!B:C,2,FALSE)</f>
        <v>A</v>
      </c>
      <c r="D136" s="15">
        <v>54</v>
      </c>
      <c r="E136" s="14">
        <f>ROUND(VLOOKUP(C136,'Production Plan'!A:B,2,FALSE),2)</f>
        <v>407.17</v>
      </c>
      <c r="F136" s="16">
        <v>45674</v>
      </c>
      <c r="G136" s="17">
        <f>F136+6*7</f>
        <v>45716</v>
      </c>
      <c r="H136" s="14">
        <f>G136-F136</f>
        <v>42</v>
      </c>
      <c r="I136" s="14">
        <f>ROUND(D136/E136,3)</f>
        <v>0.13300000000000001</v>
      </c>
      <c r="J136" s="14">
        <f>I136*24</f>
        <v>3.1920000000000002</v>
      </c>
      <c r="K136" s="14">
        <f>VLOOKUP($C136,Rotation!$A$2:$J$10,2,FALSE)</f>
        <v>1</v>
      </c>
      <c r="L136" s="14">
        <f>VLOOKUP($C136,Rotation!$A$2:$J$10,3,FALSE)</f>
        <v>1</v>
      </c>
      <c r="M136" s="14">
        <f>VLOOKUP($C136,Rotation!$A$2:$J$10,4,FALSE)</f>
        <v>1</v>
      </c>
      <c r="N136" s="14">
        <f>VLOOKUP($C136,Rotation!$A$2:$J$10,5,FALSE)</f>
        <v>0</v>
      </c>
      <c r="O136" s="14">
        <f>VLOOKUP($C136,Rotation!$A$2:$J$10,6,FALSE)</f>
        <v>0</v>
      </c>
      <c r="P136" s="14">
        <f>VLOOKUP($C136,Rotation!$A$2:$J$10,7,FALSE)</f>
        <v>0</v>
      </c>
      <c r="Q136" s="14">
        <f>VLOOKUP($C136,Rotation!$A$2:$J$10,8,FALSE)</f>
        <v>0</v>
      </c>
      <c r="R136" s="14">
        <f>VLOOKUP($C136,Rotation!$A$2:$J$10,9,FALSE)</f>
        <v>0</v>
      </c>
      <c r="S136" s="14">
        <f>VLOOKUP($C136,Rotation!$A$2:$J$10,10,FALSE)</f>
        <v>0</v>
      </c>
    </row>
    <row r="137" spans="1:19" ht="18">
      <c r="A137" s="14">
        <v>135</v>
      </c>
      <c r="B137" s="14" t="s">
        <v>66</v>
      </c>
      <c r="C137" s="14" t="str">
        <f>VLOOKUP(B137,Family!B:C,2,FALSE)</f>
        <v>A</v>
      </c>
      <c r="D137" s="15">
        <v>54</v>
      </c>
      <c r="E137" s="14">
        <f>ROUND(VLOOKUP(C137,'Production Plan'!A:B,2,FALSE),2)</f>
        <v>407.17</v>
      </c>
      <c r="F137" s="16">
        <v>45674</v>
      </c>
      <c r="G137" s="17">
        <f>F137+6*7</f>
        <v>45716</v>
      </c>
      <c r="H137" s="14">
        <f>G137-F137</f>
        <v>42</v>
      </c>
      <c r="I137" s="14">
        <f>ROUND(D137/E137,3)</f>
        <v>0.13300000000000001</v>
      </c>
      <c r="J137" s="14">
        <f>I137*24</f>
        <v>3.1920000000000002</v>
      </c>
      <c r="K137" s="14">
        <f>VLOOKUP($C137,Rotation!$A$2:$J$10,2,FALSE)</f>
        <v>1</v>
      </c>
      <c r="L137" s="14">
        <f>VLOOKUP($C137,Rotation!$A$2:$J$10,3,FALSE)</f>
        <v>1</v>
      </c>
      <c r="M137" s="14">
        <f>VLOOKUP($C137,Rotation!$A$2:$J$10,4,FALSE)</f>
        <v>1</v>
      </c>
      <c r="N137" s="14">
        <f>VLOOKUP($C137,Rotation!$A$2:$J$10,5,FALSE)</f>
        <v>0</v>
      </c>
      <c r="O137" s="14">
        <f>VLOOKUP($C137,Rotation!$A$2:$J$10,6,FALSE)</f>
        <v>0</v>
      </c>
      <c r="P137" s="14">
        <f>VLOOKUP($C137,Rotation!$A$2:$J$10,7,FALSE)</f>
        <v>0</v>
      </c>
      <c r="Q137" s="14">
        <f>VLOOKUP($C137,Rotation!$A$2:$J$10,8,FALSE)</f>
        <v>0</v>
      </c>
      <c r="R137" s="14">
        <f>VLOOKUP($C137,Rotation!$A$2:$J$10,9,FALSE)</f>
        <v>0</v>
      </c>
      <c r="S137" s="14">
        <f>VLOOKUP($C137,Rotation!$A$2:$J$10,10,FALSE)</f>
        <v>0</v>
      </c>
    </row>
    <row r="138" spans="1:19" ht="18">
      <c r="A138" s="14">
        <v>136</v>
      </c>
      <c r="B138" s="14" t="s">
        <v>65</v>
      </c>
      <c r="C138" s="14" t="str">
        <f>VLOOKUP(B138,Family!B:C,2,FALSE)</f>
        <v>A</v>
      </c>
      <c r="D138" s="15">
        <v>38</v>
      </c>
      <c r="E138" s="14">
        <f>ROUND(VLOOKUP(C138,'Production Plan'!A:B,2,FALSE),2)</f>
        <v>407.17</v>
      </c>
      <c r="F138" s="16">
        <v>45686</v>
      </c>
      <c r="G138" s="17">
        <f>F138+6*7</f>
        <v>45728</v>
      </c>
      <c r="H138" s="14">
        <f>G138-F138</f>
        <v>42</v>
      </c>
      <c r="I138" s="14">
        <f>ROUND(D138/E138,3)</f>
        <v>9.2999999999999999E-2</v>
      </c>
      <c r="J138" s="14">
        <f>I138*24</f>
        <v>2.2320000000000002</v>
      </c>
      <c r="K138" s="14">
        <f>VLOOKUP($C138,Rotation!$A$2:$J$10,2,FALSE)</f>
        <v>1</v>
      </c>
      <c r="L138" s="14">
        <f>VLOOKUP($C138,Rotation!$A$2:$J$10,3,FALSE)</f>
        <v>1</v>
      </c>
      <c r="M138" s="14">
        <f>VLOOKUP($C138,Rotation!$A$2:$J$10,4,FALSE)</f>
        <v>1</v>
      </c>
      <c r="N138" s="14">
        <f>VLOOKUP($C138,Rotation!$A$2:$J$10,5,FALSE)</f>
        <v>0</v>
      </c>
      <c r="O138" s="14">
        <f>VLOOKUP($C138,Rotation!$A$2:$J$10,6,FALSE)</f>
        <v>0</v>
      </c>
      <c r="P138" s="14">
        <f>VLOOKUP($C138,Rotation!$A$2:$J$10,7,FALSE)</f>
        <v>0</v>
      </c>
      <c r="Q138" s="14">
        <f>VLOOKUP($C138,Rotation!$A$2:$J$10,8,FALSE)</f>
        <v>0</v>
      </c>
      <c r="R138" s="14">
        <f>VLOOKUP($C138,Rotation!$A$2:$J$10,9,FALSE)</f>
        <v>0</v>
      </c>
      <c r="S138" s="14">
        <f>VLOOKUP($C138,Rotation!$A$2:$J$10,10,FALSE)</f>
        <v>0</v>
      </c>
    </row>
    <row r="139" spans="1:19" ht="18">
      <c r="A139" s="14">
        <v>137</v>
      </c>
      <c r="B139" s="14" t="s">
        <v>112</v>
      </c>
      <c r="C139" s="14" t="str">
        <f>VLOOKUP(B139,Family!B:C,2,FALSE)</f>
        <v>N</v>
      </c>
      <c r="D139" s="15">
        <v>70</v>
      </c>
      <c r="E139" s="14">
        <f>ROUND(VLOOKUP(C139,'Production Plan'!A:B,2,FALSE),2)</f>
        <v>334.18</v>
      </c>
      <c r="F139" s="16">
        <v>45678</v>
      </c>
      <c r="G139" s="17">
        <f>F139+6*7</f>
        <v>45720</v>
      </c>
      <c r="H139" s="14">
        <f>G139-F139</f>
        <v>42</v>
      </c>
      <c r="I139" s="14">
        <f>ROUND(D139/E139,3)</f>
        <v>0.20899999999999999</v>
      </c>
      <c r="J139" s="14">
        <f>I139*24</f>
        <v>5.016</v>
      </c>
      <c r="K139" s="14">
        <f>VLOOKUP($C139,Rotation!$A$2:$J$10,2,FALSE)</f>
        <v>1</v>
      </c>
      <c r="L139" s="14">
        <f>VLOOKUP($C139,Rotation!$A$2:$J$10,3,FALSE)</f>
        <v>0</v>
      </c>
      <c r="M139" s="14">
        <f>VLOOKUP($C139,Rotation!$A$2:$J$10,4,FALSE)</f>
        <v>0</v>
      </c>
      <c r="N139" s="14">
        <f>VLOOKUP($C139,Rotation!$A$2:$J$10,5,FALSE)</f>
        <v>0</v>
      </c>
      <c r="O139" s="14">
        <f>VLOOKUP($C139,Rotation!$A$2:$J$10,6,FALSE)</f>
        <v>0</v>
      </c>
      <c r="P139" s="14">
        <f>VLOOKUP($C139,Rotation!$A$2:$J$10,7,FALSE)</f>
        <v>0</v>
      </c>
      <c r="Q139" s="14">
        <f>VLOOKUP($C139,Rotation!$A$2:$J$10,8,FALSE)</f>
        <v>1</v>
      </c>
      <c r="R139" s="14">
        <f>VLOOKUP($C139,Rotation!$A$2:$J$10,9,FALSE)</f>
        <v>0</v>
      </c>
      <c r="S139" s="14">
        <f>VLOOKUP($C139,Rotation!$A$2:$J$10,10,FALSE)</f>
        <v>0</v>
      </c>
    </row>
    <row r="140" spans="1:19" ht="18">
      <c r="A140" s="14">
        <v>138</v>
      </c>
      <c r="B140" s="14" t="s">
        <v>99</v>
      </c>
      <c r="C140" s="14" t="str">
        <f>VLOOKUP(B140,Family!B:C,2,FALSE)</f>
        <v>N</v>
      </c>
      <c r="D140" s="15">
        <v>310</v>
      </c>
      <c r="E140" s="14">
        <f>ROUND(VLOOKUP(C140,'Production Plan'!A:B,2,FALSE),2)</f>
        <v>334.18</v>
      </c>
      <c r="F140" s="16">
        <v>45700</v>
      </c>
      <c r="G140" s="17">
        <f>F140+6*7</f>
        <v>45742</v>
      </c>
      <c r="H140" s="14">
        <f>G140-F140</f>
        <v>42</v>
      </c>
      <c r="I140" s="14">
        <f>ROUND(D140/E140,3)</f>
        <v>0.92800000000000005</v>
      </c>
      <c r="J140" s="14">
        <f>I140*24</f>
        <v>22.272000000000002</v>
      </c>
      <c r="K140" s="14">
        <f>VLOOKUP($C140,Rotation!$A$2:$J$10,2,FALSE)</f>
        <v>1</v>
      </c>
      <c r="L140" s="14">
        <f>VLOOKUP($C140,Rotation!$A$2:$J$10,3,FALSE)</f>
        <v>0</v>
      </c>
      <c r="M140" s="14">
        <f>VLOOKUP($C140,Rotation!$A$2:$J$10,4,FALSE)</f>
        <v>0</v>
      </c>
      <c r="N140" s="14">
        <f>VLOOKUP($C140,Rotation!$A$2:$J$10,5,FALSE)</f>
        <v>0</v>
      </c>
      <c r="O140" s="14">
        <f>VLOOKUP($C140,Rotation!$A$2:$J$10,6,FALSE)</f>
        <v>0</v>
      </c>
      <c r="P140" s="14">
        <f>VLOOKUP($C140,Rotation!$A$2:$J$10,7,FALSE)</f>
        <v>0</v>
      </c>
      <c r="Q140" s="14">
        <f>VLOOKUP($C140,Rotation!$A$2:$J$10,8,FALSE)</f>
        <v>1</v>
      </c>
      <c r="R140" s="14">
        <f>VLOOKUP($C140,Rotation!$A$2:$J$10,9,FALSE)</f>
        <v>0</v>
      </c>
      <c r="S140" s="14">
        <f>VLOOKUP($C140,Rotation!$A$2:$J$10,10,FALSE)</f>
        <v>0</v>
      </c>
    </row>
    <row r="141" spans="1:19" ht="18">
      <c r="A141" s="14">
        <v>139</v>
      </c>
      <c r="B141" s="14" t="s">
        <v>77</v>
      </c>
      <c r="C141" s="14" t="str">
        <f>VLOOKUP(B141,Family!B:C,2,FALSE)</f>
        <v>E</v>
      </c>
      <c r="D141" s="15">
        <v>18</v>
      </c>
      <c r="E141" s="14">
        <f>ROUND(VLOOKUP(C141,'Production Plan'!A:B,2,FALSE),2)</f>
        <v>333.66</v>
      </c>
      <c r="F141" s="16">
        <v>45723</v>
      </c>
      <c r="G141" s="17">
        <f>F141+6*7</f>
        <v>45765</v>
      </c>
      <c r="H141" s="14">
        <f>G141-F141</f>
        <v>42</v>
      </c>
      <c r="I141" s="14">
        <f>ROUND(D141/E141,3)</f>
        <v>5.3999999999999999E-2</v>
      </c>
      <c r="J141" s="14">
        <f>I141*24</f>
        <v>1.296</v>
      </c>
      <c r="K141" s="14">
        <f>VLOOKUP($C141,Rotation!$A$2:$J$10,2,FALSE)</f>
        <v>1</v>
      </c>
      <c r="L141" s="14">
        <f>VLOOKUP($C141,Rotation!$A$2:$J$10,3,FALSE)</f>
        <v>0</v>
      </c>
      <c r="M141" s="14">
        <f>VLOOKUP($C141,Rotation!$A$2:$J$10,4,FALSE)</f>
        <v>0</v>
      </c>
      <c r="N141" s="14">
        <f>VLOOKUP($C141,Rotation!$A$2:$J$10,5,FALSE)</f>
        <v>0</v>
      </c>
      <c r="O141" s="14">
        <f>VLOOKUP($C141,Rotation!$A$2:$J$10,6,FALSE)</f>
        <v>0</v>
      </c>
      <c r="P141" s="14">
        <f>VLOOKUP($C141,Rotation!$A$2:$J$10,7,FALSE)</f>
        <v>1</v>
      </c>
      <c r="Q141" s="14">
        <f>VLOOKUP($C141,Rotation!$A$2:$J$10,8,FALSE)</f>
        <v>0</v>
      </c>
      <c r="R141" s="14">
        <f>VLOOKUP($C141,Rotation!$A$2:$J$10,9,FALSE)</f>
        <v>0</v>
      </c>
      <c r="S141" s="14">
        <f>VLOOKUP($C141,Rotation!$A$2:$J$10,10,FALSE)</f>
        <v>0</v>
      </c>
    </row>
    <row r="142" spans="1:19" ht="18">
      <c r="A142" s="14">
        <v>140</v>
      </c>
      <c r="B142" s="14" t="s">
        <v>64</v>
      </c>
      <c r="C142" s="14" t="str">
        <f>VLOOKUP(B142,Family!B:C,2,FALSE)</f>
        <v>A</v>
      </c>
      <c r="D142" s="15">
        <v>111</v>
      </c>
      <c r="E142" s="14">
        <f>ROUND(VLOOKUP(C142,'Production Plan'!A:B,2,FALSE),2)</f>
        <v>407.17</v>
      </c>
      <c r="F142" s="16">
        <v>45713</v>
      </c>
      <c r="G142" s="17">
        <f>F142+6*7</f>
        <v>45755</v>
      </c>
      <c r="H142" s="14">
        <f>G142-F142</f>
        <v>42</v>
      </c>
      <c r="I142" s="14">
        <f>ROUND(D142/E142,3)</f>
        <v>0.27300000000000002</v>
      </c>
      <c r="J142" s="14">
        <f>I142*24</f>
        <v>6.5520000000000005</v>
      </c>
      <c r="K142" s="14">
        <f>VLOOKUP($C142,Rotation!$A$2:$J$10,2,FALSE)</f>
        <v>1</v>
      </c>
      <c r="L142" s="14">
        <f>VLOOKUP($C142,Rotation!$A$2:$J$10,3,FALSE)</f>
        <v>1</v>
      </c>
      <c r="M142" s="14">
        <f>VLOOKUP($C142,Rotation!$A$2:$J$10,4,FALSE)</f>
        <v>1</v>
      </c>
      <c r="N142" s="14">
        <f>VLOOKUP($C142,Rotation!$A$2:$J$10,5,FALSE)</f>
        <v>0</v>
      </c>
      <c r="O142" s="14">
        <f>VLOOKUP($C142,Rotation!$A$2:$J$10,6,FALSE)</f>
        <v>0</v>
      </c>
      <c r="P142" s="14">
        <f>VLOOKUP($C142,Rotation!$A$2:$J$10,7,FALSE)</f>
        <v>0</v>
      </c>
      <c r="Q142" s="14">
        <f>VLOOKUP($C142,Rotation!$A$2:$J$10,8,FALSE)</f>
        <v>0</v>
      </c>
      <c r="R142" s="14">
        <f>VLOOKUP($C142,Rotation!$A$2:$J$10,9,FALSE)</f>
        <v>0</v>
      </c>
      <c r="S142" s="14">
        <f>VLOOKUP($C142,Rotation!$A$2:$J$10,10,FALSE)</f>
        <v>0</v>
      </c>
    </row>
    <row r="143" spans="1:19" ht="18">
      <c r="A143" s="14">
        <v>141</v>
      </c>
      <c r="B143" s="14" t="s">
        <v>112</v>
      </c>
      <c r="C143" s="14" t="str">
        <f>VLOOKUP(B143,Family!B:C,2,FALSE)</f>
        <v>N</v>
      </c>
      <c r="D143" s="15">
        <v>70</v>
      </c>
      <c r="E143" s="14">
        <f>ROUND(VLOOKUP(C143,'Production Plan'!A:B,2,FALSE),2)</f>
        <v>334.18</v>
      </c>
      <c r="F143" s="16">
        <v>45690</v>
      </c>
      <c r="G143" s="17">
        <f>F143+6*7</f>
        <v>45732</v>
      </c>
      <c r="H143" s="14">
        <f>G143-F143</f>
        <v>42</v>
      </c>
      <c r="I143" s="14">
        <f>ROUND(D143/E143,3)</f>
        <v>0.20899999999999999</v>
      </c>
      <c r="J143" s="14">
        <f>I143*24</f>
        <v>5.016</v>
      </c>
      <c r="K143" s="14">
        <f>VLOOKUP($C143,Rotation!$A$2:$J$10,2,FALSE)</f>
        <v>1</v>
      </c>
      <c r="L143" s="14">
        <f>VLOOKUP($C143,Rotation!$A$2:$J$10,3,FALSE)</f>
        <v>0</v>
      </c>
      <c r="M143" s="14">
        <f>VLOOKUP($C143,Rotation!$A$2:$J$10,4,FALSE)</f>
        <v>0</v>
      </c>
      <c r="N143" s="14">
        <f>VLOOKUP($C143,Rotation!$A$2:$J$10,5,FALSE)</f>
        <v>0</v>
      </c>
      <c r="O143" s="14">
        <f>VLOOKUP($C143,Rotation!$A$2:$J$10,6,FALSE)</f>
        <v>0</v>
      </c>
      <c r="P143" s="14">
        <f>VLOOKUP($C143,Rotation!$A$2:$J$10,7,FALSE)</f>
        <v>0</v>
      </c>
      <c r="Q143" s="14">
        <f>VLOOKUP($C143,Rotation!$A$2:$J$10,8,FALSE)</f>
        <v>1</v>
      </c>
      <c r="R143" s="14">
        <f>VLOOKUP($C143,Rotation!$A$2:$J$10,9,FALSE)</f>
        <v>0</v>
      </c>
      <c r="S143" s="14">
        <f>VLOOKUP($C143,Rotation!$A$2:$J$10,10,FALSE)</f>
        <v>0</v>
      </c>
    </row>
    <row r="144" spans="1:19" ht="18">
      <c r="A144" s="14">
        <v>142</v>
      </c>
      <c r="B144" s="14" t="s">
        <v>112</v>
      </c>
      <c r="C144" s="14" t="str">
        <f>VLOOKUP(B144,Family!B:C,2,FALSE)</f>
        <v>N</v>
      </c>
      <c r="D144" s="15">
        <v>70</v>
      </c>
      <c r="E144" s="14">
        <f>ROUND(VLOOKUP(C144,'Production Plan'!A:B,2,FALSE),2)</f>
        <v>334.18</v>
      </c>
      <c r="F144" s="16">
        <v>45690</v>
      </c>
      <c r="G144" s="17">
        <f>F144+6*7</f>
        <v>45732</v>
      </c>
      <c r="H144" s="14">
        <f>G144-F144</f>
        <v>42</v>
      </c>
      <c r="I144" s="14">
        <f>ROUND(D144/E144,3)</f>
        <v>0.20899999999999999</v>
      </c>
      <c r="J144" s="14">
        <f>I144*24</f>
        <v>5.016</v>
      </c>
      <c r="K144" s="14">
        <f>VLOOKUP($C144,Rotation!$A$2:$J$10,2,FALSE)</f>
        <v>1</v>
      </c>
      <c r="L144" s="14">
        <f>VLOOKUP($C144,Rotation!$A$2:$J$10,3,FALSE)</f>
        <v>0</v>
      </c>
      <c r="M144" s="14">
        <f>VLOOKUP($C144,Rotation!$A$2:$J$10,4,FALSE)</f>
        <v>0</v>
      </c>
      <c r="N144" s="14">
        <f>VLOOKUP($C144,Rotation!$A$2:$J$10,5,FALSE)</f>
        <v>0</v>
      </c>
      <c r="O144" s="14">
        <f>VLOOKUP($C144,Rotation!$A$2:$J$10,6,FALSE)</f>
        <v>0</v>
      </c>
      <c r="P144" s="14">
        <f>VLOOKUP($C144,Rotation!$A$2:$J$10,7,FALSE)</f>
        <v>0</v>
      </c>
      <c r="Q144" s="14">
        <f>VLOOKUP($C144,Rotation!$A$2:$J$10,8,FALSE)</f>
        <v>1</v>
      </c>
      <c r="R144" s="14">
        <f>VLOOKUP($C144,Rotation!$A$2:$J$10,9,FALSE)</f>
        <v>0</v>
      </c>
      <c r="S144" s="14">
        <f>VLOOKUP($C144,Rotation!$A$2:$J$10,10,FALSE)</f>
        <v>0</v>
      </c>
    </row>
    <row r="145" spans="1:19" ht="18">
      <c r="A145" s="14">
        <v>143</v>
      </c>
      <c r="B145" s="14" t="s">
        <v>112</v>
      </c>
      <c r="C145" s="14" t="str">
        <f>VLOOKUP(B145,Family!B:C,2,FALSE)</f>
        <v>N</v>
      </c>
      <c r="D145" s="15">
        <v>70</v>
      </c>
      <c r="E145" s="14">
        <f>ROUND(VLOOKUP(C145,'Production Plan'!A:B,2,FALSE),2)</f>
        <v>334.18</v>
      </c>
      <c r="F145" s="16">
        <v>45690</v>
      </c>
      <c r="G145" s="17">
        <f>F145+6*7</f>
        <v>45732</v>
      </c>
      <c r="H145" s="14">
        <f>G145-F145</f>
        <v>42</v>
      </c>
      <c r="I145" s="14">
        <f>ROUND(D145/E145,3)</f>
        <v>0.20899999999999999</v>
      </c>
      <c r="J145" s="14">
        <f>I145*24</f>
        <v>5.016</v>
      </c>
      <c r="K145" s="14">
        <f>VLOOKUP($C145,Rotation!$A$2:$J$10,2,FALSE)</f>
        <v>1</v>
      </c>
      <c r="L145" s="14">
        <f>VLOOKUP($C145,Rotation!$A$2:$J$10,3,FALSE)</f>
        <v>0</v>
      </c>
      <c r="M145" s="14">
        <f>VLOOKUP($C145,Rotation!$A$2:$J$10,4,FALSE)</f>
        <v>0</v>
      </c>
      <c r="N145" s="14">
        <f>VLOOKUP($C145,Rotation!$A$2:$J$10,5,FALSE)</f>
        <v>0</v>
      </c>
      <c r="O145" s="14">
        <f>VLOOKUP($C145,Rotation!$A$2:$J$10,6,FALSE)</f>
        <v>0</v>
      </c>
      <c r="P145" s="14">
        <f>VLOOKUP($C145,Rotation!$A$2:$J$10,7,FALSE)</f>
        <v>0</v>
      </c>
      <c r="Q145" s="14">
        <f>VLOOKUP($C145,Rotation!$A$2:$J$10,8,FALSE)</f>
        <v>1</v>
      </c>
      <c r="R145" s="14">
        <f>VLOOKUP($C145,Rotation!$A$2:$J$10,9,FALSE)</f>
        <v>0</v>
      </c>
      <c r="S145" s="14">
        <f>VLOOKUP($C145,Rotation!$A$2:$J$10,10,FALSE)</f>
        <v>0</v>
      </c>
    </row>
    <row r="146" spans="1:19" ht="18">
      <c r="A146" s="14">
        <v>144</v>
      </c>
      <c r="B146" s="14" t="s">
        <v>108</v>
      </c>
      <c r="C146" s="14" t="str">
        <f>VLOOKUP(B146,Family!B:C,2,FALSE)</f>
        <v>P</v>
      </c>
      <c r="D146" s="15">
        <v>163</v>
      </c>
      <c r="E146" s="14">
        <f>ROUND(VLOOKUP(C146,'Production Plan'!A:B,2,FALSE),2)</f>
        <v>409.15</v>
      </c>
      <c r="F146" s="16">
        <v>45674</v>
      </c>
      <c r="G146" s="17">
        <f>F146+6*7</f>
        <v>45716</v>
      </c>
      <c r="H146" s="14">
        <f>G146-F146</f>
        <v>42</v>
      </c>
      <c r="I146" s="14">
        <f>ROUND(D146/E146,3)</f>
        <v>0.39800000000000002</v>
      </c>
      <c r="J146" s="14">
        <f>I146*24</f>
        <v>9.5519999999999996</v>
      </c>
      <c r="K146" s="14">
        <f>VLOOKUP($C146,Rotation!$A$2:$J$10,2,FALSE)</f>
        <v>1</v>
      </c>
      <c r="L146" s="14">
        <f>VLOOKUP($C146,Rotation!$A$2:$J$10,3,FALSE)</f>
        <v>1</v>
      </c>
      <c r="M146" s="14">
        <f>VLOOKUP($C146,Rotation!$A$2:$J$10,4,FALSE)</f>
        <v>0</v>
      </c>
      <c r="N146" s="14">
        <f>VLOOKUP($C146,Rotation!$A$2:$J$10,5,FALSE)</f>
        <v>0</v>
      </c>
      <c r="O146" s="14">
        <f>VLOOKUP($C146,Rotation!$A$2:$J$10,6,FALSE)</f>
        <v>0</v>
      </c>
      <c r="P146" s="14">
        <f>VLOOKUP($C146,Rotation!$A$2:$J$10,7,FALSE)</f>
        <v>0</v>
      </c>
      <c r="Q146" s="14">
        <f>VLOOKUP($C146,Rotation!$A$2:$J$10,8,FALSE)</f>
        <v>0</v>
      </c>
      <c r="R146" s="14">
        <f>VLOOKUP($C146,Rotation!$A$2:$J$10,9,FALSE)</f>
        <v>0</v>
      </c>
      <c r="S146" s="14">
        <f>VLOOKUP($C146,Rotation!$A$2:$J$10,10,FALSE)</f>
        <v>0</v>
      </c>
    </row>
    <row r="147" spans="1:19" ht="18">
      <c r="A147" s="14">
        <v>145</v>
      </c>
      <c r="B147" s="14" t="s">
        <v>66</v>
      </c>
      <c r="C147" s="14" t="str">
        <f>VLOOKUP(B147,Family!B:C,2,FALSE)</f>
        <v>A</v>
      </c>
      <c r="D147" s="15">
        <v>54</v>
      </c>
      <c r="E147" s="14">
        <f>ROUND(VLOOKUP(C147,'Production Plan'!A:B,2,FALSE),2)</f>
        <v>407.17</v>
      </c>
      <c r="F147" s="16">
        <v>45674</v>
      </c>
      <c r="G147" s="17">
        <f>F147+6*7</f>
        <v>45716</v>
      </c>
      <c r="H147" s="14">
        <f>G147-F147</f>
        <v>42</v>
      </c>
      <c r="I147" s="14">
        <f>ROUND(D147/E147,3)</f>
        <v>0.13300000000000001</v>
      </c>
      <c r="J147" s="14">
        <f>I147*24</f>
        <v>3.1920000000000002</v>
      </c>
      <c r="K147" s="14">
        <f>VLOOKUP($C147,Rotation!$A$2:$J$10,2,FALSE)</f>
        <v>1</v>
      </c>
      <c r="L147" s="14">
        <f>VLOOKUP($C147,Rotation!$A$2:$J$10,3,FALSE)</f>
        <v>1</v>
      </c>
      <c r="M147" s="14">
        <f>VLOOKUP($C147,Rotation!$A$2:$J$10,4,FALSE)</f>
        <v>1</v>
      </c>
      <c r="N147" s="14">
        <f>VLOOKUP($C147,Rotation!$A$2:$J$10,5,FALSE)</f>
        <v>0</v>
      </c>
      <c r="O147" s="14">
        <f>VLOOKUP($C147,Rotation!$A$2:$J$10,6,FALSE)</f>
        <v>0</v>
      </c>
      <c r="P147" s="14">
        <f>VLOOKUP($C147,Rotation!$A$2:$J$10,7,FALSE)</f>
        <v>0</v>
      </c>
      <c r="Q147" s="14">
        <f>VLOOKUP($C147,Rotation!$A$2:$J$10,8,FALSE)</f>
        <v>0</v>
      </c>
      <c r="R147" s="14">
        <f>VLOOKUP($C147,Rotation!$A$2:$J$10,9,FALSE)</f>
        <v>0</v>
      </c>
      <c r="S147" s="14">
        <f>VLOOKUP($C147,Rotation!$A$2:$J$10,10,FALSE)</f>
        <v>0</v>
      </c>
    </row>
    <row r="148" spans="1:19" ht="18">
      <c r="A148" s="14">
        <v>146</v>
      </c>
      <c r="B148" s="14" t="s">
        <v>66</v>
      </c>
      <c r="C148" s="14" t="str">
        <f>VLOOKUP(B148,Family!B:C,2,FALSE)</f>
        <v>A</v>
      </c>
      <c r="D148" s="15">
        <v>54</v>
      </c>
      <c r="E148" s="14">
        <f>ROUND(VLOOKUP(C148,'Production Plan'!A:B,2,FALSE),2)</f>
        <v>407.17</v>
      </c>
      <c r="F148" s="16">
        <v>45674</v>
      </c>
      <c r="G148" s="17">
        <f>F148+6*7</f>
        <v>45716</v>
      </c>
      <c r="H148" s="14">
        <f>G148-F148</f>
        <v>42</v>
      </c>
      <c r="I148" s="14">
        <f>ROUND(D148/E148,3)</f>
        <v>0.13300000000000001</v>
      </c>
      <c r="J148" s="14">
        <f>I148*24</f>
        <v>3.1920000000000002</v>
      </c>
      <c r="K148" s="14">
        <f>VLOOKUP($C148,Rotation!$A$2:$J$10,2,FALSE)</f>
        <v>1</v>
      </c>
      <c r="L148" s="14">
        <f>VLOOKUP($C148,Rotation!$A$2:$J$10,3,FALSE)</f>
        <v>1</v>
      </c>
      <c r="M148" s="14">
        <f>VLOOKUP($C148,Rotation!$A$2:$J$10,4,FALSE)</f>
        <v>1</v>
      </c>
      <c r="N148" s="14">
        <f>VLOOKUP($C148,Rotation!$A$2:$J$10,5,FALSE)</f>
        <v>0</v>
      </c>
      <c r="O148" s="14">
        <f>VLOOKUP($C148,Rotation!$A$2:$J$10,6,FALSE)</f>
        <v>0</v>
      </c>
      <c r="P148" s="14">
        <f>VLOOKUP($C148,Rotation!$A$2:$J$10,7,FALSE)</f>
        <v>0</v>
      </c>
      <c r="Q148" s="14">
        <f>VLOOKUP($C148,Rotation!$A$2:$J$10,8,FALSE)</f>
        <v>0</v>
      </c>
      <c r="R148" s="14">
        <f>VLOOKUP($C148,Rotation!$A$2:$J$10,9,FALSE)</f>
        <v>0</v>
      </c>
      <c r="S148" s="14">
        <f>VLOOKUP($C148,Rotation!$A$2:$J$10,10,FALSE)</f>
        <v>0</v>
      </c>
    </row>
    <row r="149" spans="1:19" ht="18">
      <c r="A149" s="14">
        <v>147</v>
      </c>
      <c r="B149" s="14" t="s">
        <v>65</v>
      </c>
      <c r="C149" s="14" t="str">
        <f>VLOOKUP(B149,Family!B:C,2,FALSE)</f>
        <v>A</v>
      </c>
      <c r="D149" s="15">
        <v>38</v>
      </c>
      <c r="E149" s="14">
        <f>ROUND(VLOOKUP(C149,'Production Plan'!A:B,2,FALSE),2)</f>
        <v>407.17</v>
      </c>
      <c r="F149" s="16">
        <v>45686</v>
      </c>
      <c r="G149" s="17">
        <f>F149+6*7</f>
        <v>45728</v>
      </c>
      <c r="H149" s="14">
        <f>G149-F149</f>
        <v>42</v>
      </c>
      <c r="I149" s="14">
        <f>ROUND(D149/E149,3)</f>
        <v>9.2999999999999999E-2</v>
      </c>
      <c r="J149" s="14">
        <f>I149*24</f>
        <v>2.2320000000000002</v>
      </c>
      <c r="K149" s="14">
        <f>VLOOKUP($C149,Rotation!$A$2:$J$10,2,FALSE)</f>
        <v>1</v>
      </c>
      <c r="L149" s="14">
        <f>VLOOKUP($C149,Rotation!$A$2:$J$10,3,FALSE)</f>
        <v>1</v>
      </c>
      <c r="M149" s="14">
        <f>VLOOKUP($C149,Rotation!$A$2:$J$10,4,FALSE)</f>
        <v>1</v>
      </c>
      <c r="N149" s="14">
        <f>VLOOKUP($C149,Rotation!$A$2:$J$10,5,FALSE)</f>
        <v>0</v>
      </c>
      <c r="O149" s="14">
        <f>VLOOKUP($C149,Rotation!$A$2:$J$10,6,FALSE)</f>
        <v>0</v>
      </c>
      <c r="P149" s="14">
        <f>VLOOKUP($C149,Rotation!$A$2:$J$10,7,FALSE)</f>
        <v>0</v>
      </c>
      <c r="Q149" s="14">
        <f>VLOOKUP($C149,Rotation!$A$2:$J$10,8,FALSE)</f>
        <v>0</v>
      </c>
      <c r="R149" s="14">
        <f>VLOOKUP($C149,Rotation!$A$2:$J$10,9,FALSE)</f>
        <v>0</v>
      </c>
      <c r="S149" s="14">
        <f>VLOOKUP($C149,Rotation!$A$2:$J$10,10,FALSE)</f>
        <v>0</v>
      </c>
    </row>
    <row r="150" spans="1:19" ht="18">
      <c r="A150" s="14">
        <v>148</v>
      </c>
      <c r="B150" s="14" t="s">
        <v>64</v>
      </c>
      <c r="C150" s="14" t="str">
        <f>VLOOKUP(B150,Family!B:C,2,FALSE)</f>
        <v>A</v>
      </c>
      <c r="D150" s="15">
        <v>111</v>
      </c>
      <c r="E150" s="14">
        <f>ROUND(VLOOKUP(C150,'Production Plan'!A:B,2,FALSE),2)</f>
        <v>407.17</v>
      </c>
      <c r="F150" s="16">
        <v>45713</v>
      </c>
      <c r="G150" s="17">
        <f>F150+6*7</f>
        <v>45755</v>
      </c>
      <c r="H150" s="14">
        <f>G150-F150</f>
        <v>42</v>
      </c>
      <c r="I150" s="14">
        <f>ROUND(D150/E150,3)</f>
        <v>0.27300000000000002</v>
      </c>
      <c r="J150" s="14">
        <f>I150*24</f>
        <v>6.5520000000000005</v>
      </c>
      <c r="K150" s="14">
        <f>VLOOKUP($C150,Rotation!$A$2:$J$10,2,FALSE)</f>
        <v>1</v>
      </c>
      <c r="L150" s="14">
        <f>VLOOKUP($C150,Rotation!$A$2:$J$10,3,FALSE)</f>
        <v>1</v>
      </c>
      <c r="M150" s="14">
        <f>VLOOKUP($C150,Rotation!$A$2:$J$10,4,FALSE)</f>
        <v>1</v>
      </c>
      <c r="N150" s="14">
        <f>VLOOKUP($C150,Rotation!$A$2:$J$10,5,FALSE)</f>
        <v>0</v>
      </c>
      <c r="O150" s="14">
        <f>VLOOKUP($C150,Rotation!$A$2:$J$10,6,FALSE)</f>
        <v>0</v>
      </c>
      <c r="P150" s="14">
        <f>VLOOKUP($C150,Rotation!$A$2:$J$10,7,FALSE)</f>
        <v>0</v>
      </c>
      <c r="Q150" s="14">
        <f>VLOOKUP($C150,Rotation!$A$2:$J$10,8,FALSE)</f>
        <v>0</v>
      </c>
      <c r="R150" s="14">
        <f>VLOOKUP($C150,Rotation!$A$2:$J$10,9,FALSE)</f>
        <v>0</v>
      </c>
      <c r="S150" s="14">
        <f>VLOOKUP($C150,Rotation!$A$2:$J$10,10,FALSE)</f>
        <v>0</v>
      </c>
    </row>
    <row r="151" spans="1:19" ht="18">
      <c r="A151" s="14">
        <v>149</v>
      </c>
      <c r="B151" s="14" t="s">
        <v>67</v>
      </c>
      <c r="C151" s="14" t="str">
        <f>VLOOKUP(B151,Family!B:C,2,FALSE)</f>
        <v>A</v>
      </c>
      <c r="D151" s="15">
        <v>78</v>
      </c>
      <c r="E151" s="14">
        <f>ROUND(VLOOKUP(C151,'Production Plan'!A:B,2,FALSE),2)</f>
        <v>407.17</v>
      </c>
      <c r="F151" s="16">
        <v>45721</v>
      </c>
      <c r="G151" s="17">
        <f>F151+6*7</f>
        <v>45763</v>
      </c>
      <c r="H151" s="14">
        <f>G151-F151</f>
        <v>42</v>
      </c>
      <c r="I151" s="14">
        <f>ROUND(D151/E151,3)</f>
        <v>0.192</v>
      </c>
      <c r="J151" s="14">
        <f>I151*24</f>
        <v>4.6080000000000005</v>
      </c>
      <c r="K151" s="14">
        <f>VLOOKUP($C151,Rotation!$A$2:$J$10,2,FALSE)</f>
        <v>1</v>
      </c>
      <c r="L151" s="14">
        <f>VLOOKUP($C151,Rotation!$A$2:$J$10,3,FALSE)</f>
        <v>1</v>
      </c>
      <c r="M151" s="14">
        <f>VLOOKUP($C151,Rotation!$A$2:$J$10,4,FALSE)</f>
        <v>1</v>
      </c>
      <c r="N151" s="14">
        <f>VLOOKUP($C151,Rotation!$A$2:$J$10,5,FALSE)</f>
        <v>0</v>
      </c>
      <c r="O151" s="14">
        <f>VLOOKUP($C151,Rotation!$A$2:$J$10,6,FALSE)</f>
        <v>0</v>
      </c>
      <c r="P151" s="14">
        <f>VLOOKUP($C151,Rotation!$A$2:$J$10,7,FALSE)</f>
        <v>0</v>
      </c>
      <c r="Q151" s="14">
        <f>VLOOKUP($C151,Rotation!$A$2:$J$10,8,FALSE)</f>
        <v>0</v>
      </c>
      <c r="R151" s="14">
        <f>VLOOKUP($C151,Rotation!$A$2:$J$10,9,FALSE)</f>
        <v>0</v>
      </c>
      <c r="S151" s="14">
        <f>VLOOKUP($C151,Rotation!$A$2:$J$10,10,FALSE)</f>
        <v>0</v>
      </c>
    </row>
    <row r="152" spans="1:19" ht="18">
      <c r="A152" s="14">
        <v>150</v>
      </c>
      <c r="B152" s="14" t="s">
        <v>87</v>
      </c>
      <c r="C152" s="14" t="str">
        <f>VLOOKUP(B152,Family!B:C,2,FALSE)</f>
        <v>E</v>
      </c>
      <c r="D152" s="15">
        <v>18</v>
      </c>
      <c r="E152" s="14">
        <f>ROUND(VLOOKUP(C152,'Production Plan'!A:B,2,FALSE),2)</f>
        <v>333.66</v>
      </c>
      <c r="F152" s="16">
        <v>45714</v>
      </c>
      <c r="G152" s="17">
        <f>F152+6*7</f>
        <v>45756</v>
      </c>
      <c r="H152" s="14">
        <f>G152-F152</f>
        <v>42</v>
      </c>
      <c r="I152" s="14">
        <f>ROUND(D152/E152,3)</f>
        <v>5.3999999999999999E-2</v>
      </c>
      <c r="J152" s="14">
        <f>I152*24</f>
        <v>1.296</v>
      </c>
      <c r="K152" s="14">
        <f>VLOOKUP($C152,Rotation!$A$2:$J$10,2,FALSE)</f>
        <v>1</v>
      </c>
      <c r="L152" s="14">
        <f>VLOOKUP($C152,Rotation!$A$2:$J$10,3,FALSE)</f>
        <v>0</v>
      </c>
      <c r="M152" s="14">
        <f>VLOOKUP($C152,Rotation!$A$2:$J$10,4,FALSE)</f>
        <v>0</v>
      </c>
      <c r="N152" s="14">
        <f>VLOOKUP($C152,Rotation!$A$2:$J$10,5,FALSE)</f>
        <v>0</v>
      </c>
      <c r="O152" s="14">
        <f>VLOOKUP($C152,Rotation!$A$2:$J$10,6,FALSE)</f>
        <v>0</v>
      </c>
      <c r="P152" s="14">
        <f>VLOOKUP($C152,Rotation!$A$2:$J$10,7,FALSE)</f>
        <v>1</v>
      </c>
      <c r="Q152" s="14">
        <f>VLOOKUP($C152,Rotation!$A$2:$J$10,8,FALSE)</f>
        <v>0</v>
      </c>
      <c r="R152" s="14">
        <f>VLOOKUP($C152,Rotation!$A$2:$J$10,9,FALSE)</f>
        <v>0</v>
      </c>
      <c r="S152" s="14">
        <f>VLOOKUP($C152,Rotation!$A$2:$J$10,10,FALSE)</f>
        <v>0</v>
      </c>
    </row>
    <row r="153" spans="1:19" ht="18">
      <c r="A153" s="14">
        <v>151</v>
      </c>
      <c r="B153" s="14" t="s">
        <v>106</v>
      </c>
      <c r="C153" s="14" t="str">
        <f>VLOOKUP(B153,Family!B:C,2,FALSE)</f>
        <v>P</v>
      </c>
      <c r="D153" s="15">
        <v>19</v>
      </c>
      <c r="E153" s="14">
        <f>ROUND(VLOOKUP(C153,'Production Plan'!A:B,2,FALSE),2)</f>
        <v>409.15</v>
      </c>
      <c r="F153" s="16">
        <v>45669</v>
      </c>
      <c r="G153" s="17">
        <f>F153+6*7</f>
        <v>45711</v>
      </c>
      <c r="H153" s="14">
        <f>G153-F153</f>
        <v>42</v>
      </c>
      <c r="I153" s="14">
        <f>ROUND(D153/E153,3)</f>
        <v>4.5999999999999999E-2</v>
      </c>
      <c r="J153" s="14">
        <f>I153*24</f>
        <v>1.1040000000000001</v>
      </c>
      <c r="K153" s="14">
        <f>VLOOKUP($C153,Rotation!$A$2:$J$10,2,FALSE)</f>
        <v>1</v>
      </c>
      <c r="L153" s="14">
        <f>VLOOKUP($C153,Rotation!$A$2:$J$10,3,FALSE)</f>
        <v>1</v>
      </c>
      <c r="M153" s="14">
        <f>VLOOKUP($C153,Rotation!$A$2:$J$10,4,FALSE)</f>
        <v>0</v>
      </c>
      <c r="N153" s="14">
        <f>VLOOKUP($C153,Rotation!$A$2:$J$10,5,FALSE)</f>
        <v>0</v>
      </c>
      <c r="O153" s="14">
        <f>VLOOKUP($C153,Rotation!$A$2:$J$10,6,FALSE)</f>
        <v>0</v>
      </c>
      <c r="P153" s="14">
        <f>VLOOKUP($C153,Rotation!$A$2:$J$10,7,FALSE)</f>
        <v>0</v>
      </c>
      <c r="Q153" s="14">
        <f>VLOOKUP($C153,Rotation!$A$2:$J$10,8,FALSE)</f>
        <v>0</v>
      </c>
      <c r="R153" s="14">
        <f>VLOOKUP($C153,Rotation!$A$2:$J$10,9,FALSE)</f>
        <v>0</v>
      </c>
      <c r="S153" s="14">
        <f>VLOOKUP($C153,Rotation!$A$2:$J$10,10,FALSE)</f>
        <v>0</v>
      </c>
    </row>
    <row r="154" spans="1:19" ht="18">
      <c r="A154" s="14">
        <v>152</v>
      </c>
      <c r="B154" s="14" t="s">
        <v>66</v>
      </c>
      <c r="C154" s="14" t="str">
        <f>VLOOKUP(B154,Family!B:C,2,FALSE)</f>
        <v>A</v>
      </c>
      <c r="D154" s="15">
        <v>54</v>
      </c>
      <c r="E154" s="14">
        <f>ROUND(VLOOKUP(C154,'Production Plan'!A:B,2,FALSE),2)</f>
        <v>407.17</v>
      </c>
      <c r="F154" s="16">
        <v>45674</v>
      </c>
      <c r="G154" s="17">
        <f>F154+6*7</f>
        <v>45716</v>
      </c>
      <c r="H154" s="14">
        <f>G154-F154</f>
        <v>42</v>
      </c>
      <c r="I154" s="14">
        <f>ROUND(D154/E154,3)</f>
        <v>0.13300000000000001</v>
      </c>
      <c r="J154" s="14">
        <f>I154*24</f>
        <v>3.1920000000000002</v>
      </c>
      <c r="K154" s="14">
        <f>VLOOKUP($C154,Rotation!$A$2:$J$10,2,FALSE)</f>
        <v>1</v>
      </c>
      <c r="L154" s="14">
        <f>VLOOKUP($C154,Rotation!$A$2:$J$10,3,FALSE)</f>
        <v>1</v>
      </c>
      <c r="M154" s="14">
        <f>VLOOKUP($C154,Rotation!$A$2:$J$10,4,FALSE)</f>
        <v>1</v>
      </c>
      <c r="N154" s="14">
        <f>VLOOKUP($C154,Rotation!$A$2:$J$10,5,FALSE)</f>
        <v>0</v>
      </c>
      <c r="O154" s="14">
        <f>VLOOKUP($C154,Rotation!$A$2:$J$10,6,FALSE)</f>
        <v>0</v>
      </c>
      <c r="P154" s="14">
        <f>VLOOKUP($C154,Rotation!$A$2:$J$10,7,FALSE)</f>
        <v>0</v>
      </c>
      <c r="Q154" s="14">
        <f>VLOOKUP($C154,Rotation!$A$2:$J$10,8,FALSE)</f>
        <v>0</v>
      </c>
      <c r="R154" s="14">
        <f>VLOOKUP($C154,Rotation!$A$2:$J$10,9,FALSE)</f>
        <v>0</v>
      </c>
      <c r="S154" s="14">
        <f>VLOOKUP($C154,Rotation!$A$2:$J$10,10,FALSE)</f>
        <v>0</v>
      </c>
    </row>
    <row r="155" spans="1:19" ht="18">
      <c r="A155" s="14">
        <v>153</v>
      </c>
      <c r="B155" s="14" t="s">
        <v>65</v>
      </c>
      <c r="C155" s="14" t="str">
        <f>VLOOKUP(B155,Family!B:C,2,FALSE)</f>
        <v>A</v>
      </c>
      <c r="D155" s="15">
        <v>19</v>
      </c>
      <c r="E155" s="14">
        <f>ROUND(VLOOKUP(C155,'Production Plan'!A:B,2,FALSE),2)</f>
        <v>407.17</v>
      </c>
      <c r="F155" s="16">
        <v>45686</v>
      </c>
      <c r="G155" s="17">
        <f>F155+6*7</f>
        <v>45728</v>
      </c>
      <c r="H155" s="14">
        <f>G155-F155</f>
        <v>42</v>
      </c>
      <c r="I155" s="14">
        <f>ROUND(D155/E155,3)</f>
        <v>4.7E-2</v>
      </c>
      <c r="J155" s="14">
        <f>I155*24</f>
        <v>1.1280000000000001</v>
      </c>
      <c r="K155" s="14">
        <f>VLOOKUP($C155,Rotation!$A$2:$J$10,2,FALSE)</f>
        <v>1</v>
      </c>
      <c r="L155" s="14">
        <f>VLOOKUP($C155,Rotation!$A$2:$J$10,3,FALSE)</f>
        <v>1</v>
      </c>
      <c r="M155" s="14">
        <f>VLOOKUP($C155,Rotation!$A$2:$J$10,4,FALSE)</f>
        <v>1</v>
      </c>
      <c r="N155" s="14">
        <f>VLOOKUP($C155,Rotation!$A$2:$J$10,5,FALSE)</f>
        <v>0</v>
      </c>
      <c r="O155" s="14">
        <f>VLOOKUP($C155,Rotation!$A$2:$J$10,6,FALSE)</f>
        <v>0</v>
      </c>
      <c r="P155" s="14">
        <f>VLOOKUP($C155,Rotation!$A$2:$J$10,7,FALSE)</f>
        <v>0</v>
      </c>
      <c r="Q155" s="14">
        <f>VLOOKUP($C155,Rotation!$A$2:$J$10,8,FALSE)</f>
        <v>0</v>
      </c>
      <c r="R155" s="14">
        <f>VLOOKUP($C155,Rotation!$A$2:$J$10,9,FALSE)</f>
        <v>0</v>
      </c>
      <c r="S155" s="14">
        <f>VLOOKUP($C155,Rotation!$A$2:$J$10,10,FALSE)</f>
        <v>0</v>
      </c>
    </row>
    <row r="156" spans="1:19" ht="18">
      <c r="A156" s="14">
        <v>154</v>
      </c>
      <c r="B156" s="14" t="s">
        <v>64</v>
      </c>
      <c r="C156" s="14" t="str">
        <f>VLOOKUP(B156,Family!B:C,2,FALSE)</f>
        <v>A</v>
      </c>
      <c r="D156" s="15">
        <v>111</v>
      </c>
      <c r="E156" s="14">
        <f>ROUND(VLOOKUP(C156,'Production Plan'!A:B,2,FALSE),2)</f>
        <v>407.17</v>
      </c>
      <c r="F156" s="16">
        <v>45713</v>
      </c>
      <c r="G156" s="17">
        <f>F156+6*7</f>
        <v>45755</v>
      </c>
      <c r="H156" s="14">
        <f>G156-F156</f>
        <v>42</v>
      </c>
      <c r="I156" s="14">
        <f>ROUND(D156/E156,3)</f>
        <v>0.27300000000000002</v>
      </c>
      <c r="J156" s="14">
        <f>I156*24</f>
        <v>6.5520000000000005</v>
      </c>
      <c r="K156" s="14">
        <f>VLOOKUP($C156,Rotation!$A$2:$J$10,2,FALSE)</f>
        <v>1</v>
      </c>
      <c r="L156" s="14">
        <f>VLOOKUP($C156,Rotation!$A$2:$J$10,3,FALSE)</f>
        <v>1</v>
      </c>
      <c r="M156" s="14">
        <f>VLOOKUP($C156,Rotation!$A$2:$J$10,4,FALSE)</f>
        <v>1</v>
      </c>
      <c r="N156" s="14">
        <f>VLOOKUP($C156,Rotation!$A$2:$J$10,5,FALSE)</f>
        <v>0</v>
      </c>
      <c r="O156" s="14">
        <f>VLOOKUP($C156,Rotation!$A$2:$J$10,6,FALSE)</f>
        <v>0</v>
      </c>
      <c r="P156" s="14">
        <f>VLOOKUP($C156,Rotation!$A$2:$J$10,7,FALSE)</f>
        <v>0</v>
      </c>
      <c r="Q156" s="14">
        <f>VLOOKUP($C156,Rotation!$A$2:$J$10,8,FALSE)</f>
        <v>0</v>
      </c>
      <c r="R156" s="14">
        <f>VLOOKUP($C156,Rotation!$A$2:$J$10,9,FALSE)</f>
        <v>0</v>
      </c>
      <c r="S156" s="14">
        <f>VLOOKUP($C156,Rotation!$A$2:$J$10,10,FALSE)</f>
        <v>0</v>
      </c>
    </row>
    <row r="157" spans="1:19" ht="18">
      <c r="A157" s="14">
        <v>155</v>
      </c>
      <c r="B157" s="14" t="s">
        <v>77</v>
      </c>
      <c r="C157" s="14" t="str">
        <f>VLOOKUP(B157,Family!B:C,2,FALSE)</f>
        <v>E</v>
      </c>
      <c r="D157" s="15">
        <v>18</v>
      </c>
      <c r="E157" s="14">
        <f>ROUND(VLOOKUP(C157,'Production Plan'!A:B,2,FALSE),2)</f>
        <v>333.66</v>
      </c>
      <c r="F157" s="16">
        <v>45723</v>
      </c>
      <c r="G157" s="17">
        <f>F157+6*7</f>
        <v>45765</v>
      </c>
      <c r="H157" s="14">
        <f>G157-F157</f>
        <v>42</v>
      </c>
      <c r="I157" s="14">
        <f>ROUND(D157/E157,3)</f>
        <v>5.3999999999999999E-2</v>
      </c>
      <c r="J157" s="14">
        <f>I157*24</f>
        <v>1.296</v>
      </c>
      <c r="K157" s="14">
        <f>VLOOKUP($C157,Rotation!$A$2:$J$10,2,FALSE)</f>
        <v>1</v>
      </c>
      <c r="L157" s="14">
        <f>VLOOKUP($C157,Rotation!$A$2:$J$10,3,FALSE)</f>
        <v>0</v>
      </c>
      <c r="M157" s="14">
        <f>VLOOKUP($C157,Rotation!$A$2:$J$10,4,FALSE)</f>
        <v>0</v>
      </c>
      <c r="N157" s="14">
        <f>VLOOKUP($C157,Rotation!$A$2:$J$10,5,FALSE)</f>
        <v>0</v>
      </c>
      <c r="O157" s="14">
        <f>VLOOKUP($C157,Rotation!$A$2:$J$10,6,FALSE)</f>
        <v>0</v>
      </c>
      <c r="P157" s="14">
        <f>VLOOKUP($C157,Rotation!$A$2:$J$10,7,FALSE)</f>
        <v>1</v>
      </c>
      <c r="Q157" s="14">
        <f>VLOOKUP($C157,Rotation!$A$2:$J$10,8,FALSE)</f>
        <v>0</v>
      </c>
      <c r="R157" s="14">
        <f>VLOOKUP($C157,Rotation!$A$2:$J$10,9,FALSE)</f>
        <v>0</v>
      </c>
      <c r="S157" s="14">
        <f>VLOOKUP($C157,Rotation!$A$2:$J$10,10,FALSE)</f>
        <v>0</v>
      </c>
    </row>
    <row r="158" spans="1:19" ht="18">
      <c r="A158" s="14">
        <v>156</v>
      </c>
      <c r="B158" s="14" t="s">
        <v>108</v>
      </c>
      <c r="C158" s="14" t="str">
        <f>VLOOKUP(B158,Family!B:C,2,FALSE)</f>
        <v>P</v>
      </c>
      <c r="D158" s="15">
        <v>163</v>
      </c>
      <c r="E158" s="14">
        <f>ROUND(VLOOKUP(C158,'Production Plan'!A:B,2,FALSE),2)</f>
        <v>409.15</v>
      </c>
      <c r="F158" s="16">
        <v>45674</v>
      </c>
      <c r="G158" s="17">
        <f>F158+6*7</f>
        <v>45716</v>
      </c>
      <c r="H158" s="14">
        <f>G158-F158</f>
        <v>42</v>
      </c>
      <c r="I158" s="14">
        <f>ROUND(D158/E158,3)</f>
        <v>0.39800000000000002</v>
      </c>
      <c r="J158" s="14">
        <f>I158*24</f>
        <v>9.5519999999999996</v>
      </c>
      <c r="K158" s="14">
        <f>VLOOKUP($C158,Rotation!$A$2:$J$10,2,FALSE)</f>
        <v>1</v>
      </c>
      <c r="L158" s="14">
        <f>VLOOKUP($C158,Rotation!$A$2:$J$10,3,FALSE)</f>
        <v>1</v>
      </c>
      <c r="M158" s="14">
        <f>VLOOKUP($C158,Rotation!$A$2:$J$10,4,FALSE)</f>
        <v>0</v>
      </c>
      <c r="N158" s="14">
        <f>VLOOKUP($C158,Rotation!$A$2:$J$10,5,FALSE)</f>
        <v>0</v>
      </c>
      <c r="O158" s="14">
        <f>VLOOKUP($C158,Rotation!$A$2:$J$10,6,FALSE)</f>
        <v>0</v>
      </c>
      <c r="P158" s="14">
        <f>VLOOKUP($C158,Rotation!$A$2:$J$10,7,FALSE)</f>
        <v>0</v>
      </c>
      <c r="Q158" s="14">
        <f>VLOOKUP($C158,Rotation!$A$2:$J$10,8,FALSE)</f>
        <v>0</v>
      </c>
      <c r="R158" s="14">
        <f>VLOOKUP($C158,Rotation!$A$2:$J$10,9,FALSE)</f>
        <v>0</v>
      </c>
      <c r="S158" s="14">
        <f>VLOOKUP($C158,Rotation!$A$2:$J$10,10,FALSE)</f>
        <v>0</v>
      </c>
    </row>
    <row r="159" spans="1:19" ht="18">
      <c r="A159" s="14">
        <v>157</v>
      </c>
      <c r="B159" s="14" t="s">
        <v>64</v>
      </c>
      <c r="C159" s="14" t="str">
        <f>VLOOKUP(B159,Family!B:C,2,FALSE)</f>
        <v>A</v>
      </c>
      <c r="D159" s="15">
        <v>111</v>
      </c>
      <c r="E159" s="14">
        <f>ROUND(VLOOKUP(C159,'Production Plan'!A:B,2,FALSE),2)</f>
        <v>407.17</v>
      </c>
      <c r="F159" s="16">
        <v>45713</v>
      </c>
      <c r="G159" s="17">
        <f>F159+6*7</f>
        <v>45755</v>
      </c>
      <c r="H159" s="14">
        <f>G159-F159</f>
        <v>42</v>
      </c>
      <c r="I159" s="14">
        <f>ROUND(D159/E159,3)</f>
        <v>0.27300000000000002</v>
      </c>
      <c r="J159" s="14">
        <f>I159*24</f>
        <v>6.5520000000000005</v>
      </c>
      <c r="K159" s="14">
        <f>VLOOKUP($C159,Rotation!$A$2:$J$10,2,FALSE)</f>
        <v>1</v>
      </c>
      <c r="L159" s="14">
        <f>VLOOKUP($C159,Rotation!$A$2:$J$10,3,FALSE)</f>
        <v>1</v>
      </c>
      <c r="M159" s="14">
        <f>VLOOKUP($C159,Rotation!$A$2:$J$10,4,FALSE)</f>
        <v>1</v>
      </c>
      <c r="N159" s="14">
        <f>VLOOKUP($C159,Rotation!$A$2:$J$10,5,FALSE)</f>
        <v>0</v>
      </c>
      <c r="O159" s="14">
        <f>VLOOKUP($C159,Rotation!$A$2:$J$10,6,FALSE)</f>
        <v>0</v>
      </c>
      <c r="P159" s="14">
        <f>VLOOKUP($C159,Rotation!$A$2:$J$10,7,FALSE)</f>
        <v>0</v>
      </c>
      <c r="Q159" s="14">
        <f>VLOOKUP($C159,Rotation!$A$2:$J$10,8,FALSE)</f>
        <v>0</v>
      </c>
      <c r="R159" s="14">
        <f>VLOOKUP($C159,Rotation!$A$2:$J$10,9,FALSE)</f>
        <v>0</v>
      </c>
      <c r="S159" s="14">
        <f>VLOOKUP($C159,Rotation!$A$2:$J$10,10,FALSE)</f>
        <v>0</v>
      </c>
    </row>
    <row r="160" spans="1:19" ht="18">
      <c r="A160" s="14">
        <v>158</v>
      </c>
      <c r="B160" s="14" t="s">
        <v>112</v>
      </c>
      <c r="C160" s="14" t="str">
        <f>VLOOKUP(B160,Family!B:C,2,FALSE)</f>
        <v>N</v>
      </c>
      <c r="D160" s="15">
        <v>70</v>
      </c>
      <c r="E160" s="14">
        <f>ROUND(VLOOKUP(C160,'Production Plan'!A:B,2,FALSE),2)</f>
        <v>334.18</v>
      </c>
      <c r="F160" s="16">
        <v>45690</v>
      </c>
      <c r="G160" s="17">
        <f>F160+6*7</f>
        <v>45732</v>
      </c>
      <c r="H160" s="14">
        <f>G160-F160</f>
        <v>42</v>
      </c>
      <c r="I160" s="14">
        <f>ROUND(D160/E160,3)</f>
        <v>0.20899999999999999</v>
      </c>
      <c r="J160" s="14">
        <f>I160*24</f>
        <v>5.016</v>
      </c>
      <c r="K160" s="14">
        <f>VLOOKUP($C160,Rotation!$A$2:$J$10,2,FALSE)</f>
        <v>1</v>
      </c>
      <c r="L160" s="14">
        <f>VLOOKUP($C160,Rotation!$A$2:$J$10,3,FALSE)</f>
        <v>0</v>
      </c>
      <c r="M160" s="14">
        <f>VLOOKUP($C160,Rotation!$A$2:$J$10,4,FALSE)</f>
        <v>0</v>
      </c>
      <c r="N160" s="14">
        <f>VLOOKUP($C160,Rotation!$A$2:$J$10,5,FALSE)</f>
        <v>0</v>
      </c>
      <c r="O160" s="14">
        <f>VLOOKUP($C160,Rotation!$A$2:$J$10,6,FALSE)</f>
        <v>0</v>
      </c>
      <c r="P160" s="14">
        <f>VLOOKUP($C160,Rotation!$A$2:$J$10,7,FALSE)</f>
        <v>0</v>
      </c>
      <c r="Q160" s="14">
        <f>VLOOKUP($C160,Rotation!$A$2:$J$10,8,FALSE)</f>
        <v>1</v>
      </c>
      <c r="R160" s="14">
        <f>VLOOKUP($C160,Rotation!$A$2:$J$10,9,FALSE)</f>
        <v>0</v>
      </c>
      <c r="S160" s="14">
        <f>VLOOKUP($C160,Rotation!$A$2:$J$10,10,FALSE)</f>
        <v>0</v>
      </c>
    </row>
    <row r="161" spans="1:19" ht="18">
      <c r="A161" s="14">
        <v>159</v>
      </c>
      <c r="B161" s="14" t="s">
        <v>67</v>
      </c>
      <c r="C161" s="14" t="str">
        <f>VLOOKUP(B161,Family!B:C,2,FALSE)</f>
        <v>A</v>
      </c>
      <c r="D161" s="15">
        <v>78</v>
      </c>
      <c r="E161" s="14">
        <f>ROUND(VLOOKUP(C161,'Production Plan'!A:B,2,FALSE),2)</f>
        <v>407.17</v>
      </c>
      <c r="F161" s="16">
        <v>45721</v>
      </c>
      <c r="G161" s="17">
        <f>F161+6*7</f>
        <v>45763</v>
      </c>
      <c r="H161" s="14">
        <f>G161-F161</f>
        <v>42</v>
      </c>
      <c r="I161" s="14">
        <f>ROUND(D161/E161,3)</f>
        <v>0.192</v>
      </c>
      <c r="J161" s="14">
        <f>I161*24</f>
        <v>4.6080000000000005</v>
      </c>
      <c r="K161" s="14">
        <f>VLOOKUP($C161,Rotation!$A$2:$J$10,2,FALSE)</f>
        <v>1</v>
      </c>
      <c r="L161" s="14">
        <f>VLOOKUP($C161,Rotation!$A$2:$J$10,3,FALSE)</f>
        <v>1</v>
      </c>
      <c r="M161" s="14">
        <f>VLOOKUP($C161,Rotation!$A$2:$J$10,4,FALSE)</f>
        <v>1</v>
      </c>
      <c r="N161" s="14">
        <f>VLOOKUP($C161,Rotation!$A$2:$J$10,5,FALSE)</f>
        <v>0</v>
      </c>
      <c r="O161" s="14">
        <f>VLOOKUP($C161,Rotation!$A$2:$J$10,6,FALSE)</f>
        <v>0</v>
      </c>
      <c r="P161" s="14">
        <f>VLOOKUP($C161,Rotation!$A$2:$J$10,7,FALSE)</f>
        <v>0</v>
      </c>
      <c r="Q161" s="14">
        <f>VLOOKUP($C161,Rotation!$A$2:$J$10,8,FALSE)</f>
        <v>0</v>
      </c>
      <c r="R161" s="14">
        <f>VLOOKUP($C161,Rotation!$A$2:$J$10,9,FALSE)</f>
        <v>0</v>
      </c>
      <c r="S161" s="14">
        <f>VLOOKUP($C161,Rotation!$A$2:$J$10,10,FALSE)</f>
        <v>0</v>
      </c>
    </row>
    <row r="162" spans="1:19" ht="18">
      <c r="A162" s="14">
        <v>160</v>
      </c>
      <c r="B162" s="14" t="s">
        <v>67</v>
      </c>
      <c r="C162" s="14" t="str">
        <f>VLOOKUP(B162,Family!B:C,2,FALSE)</f>
        <v>A</v>
      </c>
      <c r="D162" s="15">
        <v>78</v>
      </c>
      <c r="E162" s="14">
        <f>ROUND(VLOOKUP(C162,'Production Plan'!A:B,2,FALSE),2)</f>
        <v>407.17</v>
      </c>
      <c r="F162" s="16">
        <v>45721</v>
      </c>
      <c r="G162" s="17">
        <f>F162+6*7</f>
        <v>45763</v>
      </c>
      <c r="H162" s="14">
        <f>G162-F162</f>
        <v>42</v>
      </c>
      <c r="I162" s="14">
        <f>ROUND(D162/E162,3)</f>
        <v>0.192</v>
      </c>
      <c r="J162" s="14">
        <f>I162*24</f>
        <v>4.6080000000000005</v>
      </c>
      <c r="K162" s="14">
        <f>VLOOKUP($C162,Rotation!$A$2:$J$10,2,FALSE)</f>
        <v>1</v>
      </c>
      <c r="L162" s="14">
        <f>VLOOKUP($C162,Rotation!$A$2:$J$10,3,FALSE)</f>
        <v>1</v>
      </c>
      <c r="M162" s="14">
        <f>VLOOKUP($C162,Rotation!$A$2:$J$10,4,FALSE)</f>
        <v>1</v>
      </c>
      <c r="N162" s="14">
        <f>VLOOKUP($C162,Rotation!$A$2:$J$10,5,FALSE)</f>
        <v>0</v>
      </c>
      <c r="O162" s="14">
        <f>VLOOKUP($C162,Rotation!$A$2:$J$10,6,FALSE)</f>
        <v>0</v>
      </c>
      <c r="P162" s="14">
        <f>VLOOKUP($C162,Rotation!$A$2:$J$10,7,FALSE)</f>
        <v>0</v>
      </c>
      <c r="Q162" s="14">
        <f>VLOOKUP($C162,Rotation!$A$2:$J$10,8,FALSE)</f>
        <v>0</v>
      </c>
      <c r="R162" s="14">
        <f>VLOOKUP($C162,Rotation!$A$2:$J$10,9,FALSE)</f>
        <v>0</v>
      </c>
      <c r="S162" s="14">
        <f>VLOOKUP($C162,Rotation!$A$2:$J$10,10,FALSE)</f>
        <v>0</v>
      </c>
    </row>
    <row r="163" spans="1:19" ht="18">
      <c r="A163" s="14">
        <v>161</v>
      </c>
      <c r="B163" s="14" t="s">
        <v>94</v>
      </c>
      <c r="C163" s="14" t="str">
        <f>VLOOKUP(B163,Family!B:C,2,FALSE)</f>
        <v>H</v>
      </c>
      <c r="D163" s="15">
        <v>99</v>
      </c>
      <c r="E163" s="14">
        <f>ROUND(VLOOKUP(C163,'Production Plan'!A:B,2,FALSE),2)</f>
        <v>402.02</v>
      </c>
      <c r="F163" s="16">
        <v>45665</v>
      </c>
      <c r="G163" s="17">
        <f>F163+6*7</f>
        <v>45707</v>
      </c>
      <c r="H163" s="14">
        <f>G163-F163</f>
        <v>42</v>
      </c>
      <c r="I163" s="14">
        <f>ROUND(D163/E163,3)</f>
        <v>0.246</v>
      </c>
      <c r="J163" s="14">
        <f>I163*24</f>
        <v>5.9039999999999999</v>
      </c>
      <c r="K163" s="14">
        <f>VLOOKUP($C163,Rotation!$A$2:$J$10,2,FALSE)</f>
        <v>0</v>
      </c>
      <c r="L163" s="14">
        <f>VLOOKUP($C163,Rotation!$A$2:$J$10,3,FALSE)</f>
        <v>0</v>
      </c>
      <c r="M163" s="14">
        <f>VLOOKUP($C163,Rotation!$A$2:$J$10,4,FALSE)</f>
        <v>1</v>
      </c>
      <c r="N163" s="14">
        <f>VLOOKUP($C163,Rotation!$A$2:$J$10,5,FALSE)</f>
        <v>1</v>
      </c>
      <c r="O163" s="14">
        <f>VLOOKUP($C163,Rotation!$A$2:$J$10,6,FALSE)</f>
        <v>0</v>
      </c>
      <c r="P163" s="14">
        <f>VLOOKUP($C163,Rotation!$A$2:$J$10,7,FALSE)</f>
        <v>0</v>
      </c>
      <c r="Q163" s="14">
        <f>VLOOKUP($C163,Rotation!$A$2:$J$10,8,FALSE)</f>
        <v>0</v>
      </c>
      <c r="R163" s="14">
        <f>VLOOKUP($C163,Rotation!$A$2:$J$10,9,FALSE)</f>
        <v>0</v>
      </c>
      <c r="S163" s="14">
        <f>VLOOKUP($C163,Rotation!$A$2:$J$10,10,FALSE)</f>
        <v>0</v>
      </c>
    </row>
    <row r="164" spans="1:19" ht="18">
      <c r="A164" s="14">
        <v>162</v>
      </c>
      <c r="B164" s="14" t="s">
        <v>106</v>
      </c>
      <c r="C164" s="14" t="str">
        <f>VLOOKUP(B164,Family!B:C,2,FALSE)</f>
        <v>P</v>
      </c>
      <c r="D164" s="15">
        <v>19</v>
      </c>
      <c r="E164" s="14">
        <f>ROUND(VLOOKUP(C164,'Production Plan'!A:B,2,FALSE),2)</f>
        <v>409.15</v>
      </c>
      <c r="F164" s="16">
        <v>45674</v>
      </c>
      <c r="G164" s="17">
        <f>F164+6*7</f>
        <v>45716</v>
      </c>
      <c r="H164" s="14">
        <f>G164-F164</f>
        <v>42</v>
      </c>
      <c r="I164" s="14">
        <f>ROUND(D164/E164,3)</f>
        <v>4.5999999999999999E-2</v>
      </c>
      <c r="J164" s="14">
        <f>I164*24</f>
        <v>1.1040000000000001</v>
      </c>
      <c r="K164" s="14">
        <f>VLOOKUP($C164,Rotation!$A$2:$J$10,2,FALSE)</f>
        <v>1</v>
      </c>
      <c r="L164" s="14">
        <f>VLOOKUP($C164,Rotation!$A$2:$J$10,3,FALSE)</f>
        <v>1</v>
      </c>
      <c r="M164" s="14">
        <f>VLOOKUP($C164,Rotation!$A$2:$J$10,4,FALSE)</f>
        <v>0</v>
      </c>
      <c r="N164" s="14">
        <f>VLOOKUP($C164,Rotation!$A$2:$J$10,5,FALSE)</f>
        <v>0</v>
      </c>
      <c r="O164" s="14">
        <f>VLOOKUP($C164,Rotation!$A$2:$J$10,6,FALSE)</f>
        <v>0</v>
      </c>
      <c r="P164" s="14">
        <f>VLOOKUP($C164,Rotation!$A$2:$J$10,7,FALSE)</f>
        <v>0</v>
      </c>
      <c r="Q164" s="14">
        <f>VLOOKUP($C164,Rotation!$A$2:$J$10,8,FALSE)</f>
        <v>0</v>
      </c>
      <c r="R164" s="14">
        <f>VLOOKUP($C164,Rotation!$A$2:$J$10,9,FALSE)</f>
        <v>0</v>
      </c>
      <c r="S164" s="14">
        <f>VLOOKUP($C164,Rotation!$A$2:$J$10,10,FALSE)</f>
        <v>0</v>
      </c>
    </row>
    <row r="165" spans="1:19" ht="18">
      <c r="A165" s="14">
        <v>163</v>
      </c>
      <c r="B165" s="14" t="s">
        <v>106</v>
      </c>
      <c r="C165" s="14" t="str">
        <f>VLOOKUP(B165,Family!B:C,2,FALSE)</f>
        <v>P</v>
      </c>
      <c r="D165" s="15">
        <v>19</v>
      </c>
      <c r="E165" s="14">
        <f>ROUND(VLOOKUP(C165,'Production Plan'!A:B,2,FALSE),2)</f>
        <v>409.15</v>
      </c>
      <c r="F165" s="16">
        <v>45674</v>
      </c>
      <c r="G165" s="17">
        <f>F165+6*7</f>
        <v>45716</v>
      </c>
      <c r="H165" s="14">
        <f>G165-F165</f>
        <v>42</v>
      </c>
      <c r="I165" s="14">
        <f>ROUND(D165/E165,3)</f>
        <v>4.5999999999999999E-2</v>
      </c>
      <c r="J165" s="14">
        <f>I165*24</f>
        <v>1.1040000000000001</v>
      </c>
      <c r="K165" s="14">
        <f>VLOOKUP($C165,Rotation!$A$2:$J$10,2,FALSE)</f>
        <v>1</v>
      </c>
      <c r="L165" s="14">
        <f>VLOOKUP($C165,Rotation!$A$2:$J$10,3,FALSE)</f>
        <v>1</v>
      </c>
      <c r="M165" s="14">
        <f>VLOOKUP($C165,Rotation!$A$2:$J$10,4,FALSE)</f>
        <v>0</v>
      </c>
      <c r="N165" s="14">
        <f>VLOOKUP($C165,Rotation!$A$2:$J$10,5,FALSE)</f>
        <v>0</v>
      </c>
      <c r="O165" s="14">
        <f>VLOOKUP($C165,Rotation!$A$2:$J$10,6,FALSE)</f>
        <v>0</v>
      </c>
      <c r="P165" s="14">
        <f>VLOOKUP($C165,Rotation!$A$2:$J$10,7,FALSE)</f>
        <v>0</v>
      </c>
      <c r="Q165" s="14">
        <f>VLOOKUP($C165,Rotation!$A$2:$J$10,8,FALSE)</f>
        <v>0</v>
      </c>
      <c r="R165" s="14">
        <f>VLOOKUP($C165,Rotation!$A$2:$J$10,9,FALSE)</f>
        <v>0</v>
      </c>
      <c r="S165" s="14">
        <f>VLOOKUP($C165,Rotation!$A$2:$J$10,10,FALSE)</f>
        <v>0</v>
      </c>
    </row>
    <row r="166" spans="1:19" ht="18">
      <c r="A166" s="14">
        <v>164</v>
      </c>
      <c r="B166" s="14" t="s">
        <v>67</v>
      </c>
      <c r="C166" s="14" t="str">
        <f>VLOOKUP(B166,Family!B:C,2,FALSE)</f>
        <v>A</v>
      </c>
      <c r="D166" s="15">
        <v>76.870999999999995</v>
      </c>
      <c r="E166" s="14">
        <f>ROUND(VLOOKUP(C166,'Production Plan'!A:B,2,FALSE),2)</f>
        <v>407.17</v>
      </c>
      <c r="F166" s="16">
        <v>45722</v>
      </c>
      <c r="G166" s="17">
        <f>F166+6*7</f>
        <v>45764</v>
      </c>
      <c r="H166" s="14">
        <f>G166-F166</f>
        <v>42</v>
      </c>
      <c r="I166" s="14">
        <f>ROUND(D166/E166,3)</f>
        <v>0.189</v>
      </c>
      <c r="J166" s="14">
        <f>I166*24</f>
        <v>4.5359999999999996</v>
      </c>
      <c r="K166" s="14">
        <f>VLOOKUP($C166,Rotation!$A$2:$J$10,2,FALSE)</f>
        <v>1</v>
      </c>
      <c r="L166" s="14">
        <f>VLOOKUP($C166,Rotation!$A$2:$J$10,3,FALSE)</f>
        <v>1</v>
      </c>
      <c r="M166" s="14">
        <f>VLOOKUP($C166,Rotation!$A$2:$J$10,4,FALSE)</f>
        <v>1</v>
      </c>
      <c r="N166" s="14">
        <f>VLOOKUP($C166,Rotation!$A$2:$J$10,5,FALSE)</f>
        <v>0</v>
      </c>
      <c r="O166" s="14">
        <f>VLOOKUP($C166,Rotation!$A$2:$J$10,6,FALSE)</f>
        <v>0</v>
      </c>
      <c r="P166" s="14">
        <f>VLOOKUP($C166,Rotation!$A$2:$J$10,7,FALSE)</f>
        <v>0</v>
      </c>
      <c r="Q166" s="14">
        <f>VLOOKUP($C166,Rotation!$A$2:$J$10,8,FALSE)</f>
        <v>0</v>
      </c>
      <c r="R166" s="14">
        <f>VLOOKUP($C166,Rotation!$A$2:$J$10,9,FALSE)</f>
        <v>0</v>
      </c>
      <c r="S166" s="14">
        <f>VLOOKUP($C166,Rotation!$A$2:$J$10,10,FALSE)</f>
        <v>0</v>
      </c>
    </row>
    <row r="167" spans="1:19" ht="18">
      <c r="A167" s="14">
        <v>165</v>
      </c>
      <c r="B167" s="14" t="s">
        <v>99</v>
      </c>
      <c r="C167" s="14" t="str">
        <f>VLOOKUP(B167,Family!B:C,2,FALSE)</f>
        <v>N</v>
      </c>
      <c r="D167" s="15">
        <v>19</v>
      </c>
      <c r="E167" s="14">
        <f>ROUND(VLOOKUP(C167,'Production Plan'!A:B,2,FALSE),2)</f>
        <v>334.18</v>
      </c>
      <c r="F167" s="16">
        <v>45729</v>
      </c>
      <c r="G167" s="17">
        <f>F167+6*7</f>
        <v>45771</v>
      </c>
      <c r="H167" s="14">
        <f>G167-F167</f>
        <v>42</v>
      </c>
      <c r="I167" s="14">
        <f>ROUND(D167/E167,3)</f>
        <v>5.7000000000000002E-2</v>
      </c>
      <c r="J167" s="14">
        <f>I167*24</f>
        <v>1.3680000000000001</v>
      </c>
      <c r="K167" s="14">
        <f>VLOOKUP($C167,Rotation!$A$2:$J$10,2,FALSE)</f>
        <v>1</v>
      </c>
      <c r="L167" s="14">
        <f>VLOOKUP($C167,Rotation!$A$2:$J$10,3,FALSE)</f>
        <v>0</v>
      </c>
      <c r="M167" s="14">
        <f>VLOOKUP($C167,Rotation!$A$2:$J$10,4,FALSE)</f>
        <v>0</v>
      </c>
      <c r="N167" s="14">
        <f>VLOOKUP($C167,Rotation!$A$2:$J$10,5,FALSE)</f>
        <v>0</v>
      </c>
      <c r="O167" s="14">
        <f>VLOOKUP($C167,Rotation!$A$2:$J$10,6,FALSE)</f>
        <v>0</v>
      </c>
      <c r="P167" s="14">
        <f>VLOOKUP($C167,Rotation!$A$2:$J$10,7,FALSE)</f>
        <v>0</v>
      </c>
      <c r="Q167" s="14">
        <f>VLOOKUP($C167,Rotation!$A$2:$J$10,8,FALSE)</f>
        <v>1</v>
      </c>
      <c r="R167" s="14">
        <f>VLOOKUP($C167,Rotation!$A$2:$J$10,9,FALSE)</f>
        <v>0</v>
      </c>
      <c r="S167" s="14">
        <f>VLOOKUP($C167,Rotation!$A$2:$J$10,10,FALSE)</f>
        <v>0</v>
      </c>
    </row>
    <row r="168" spans="1:19" ht="18">
      <c r="A168" s="14">
        <v>166</v>
      </c>
      <c r="B168" s="14" t="s">
        <v>99</v>
      </c>
      <c r="C168" s="14" t="str">
        <f>VLOOKUP(B168,Family!B:C,2,FALSE)</f>
        <v>N</v>
      </c>
      <c r="D168" s="15">
        <v>19</v>
      </c>
      <c r="E168" s="14">
        <f>ROUND(VLOOKUP(C168,'Production Plan'!A:B,2,FALSE),2)</f>
        <v>334.18</v>
      </c>
      <c r="F168" s="16">
        <v>45729</v>
      </c>
      <c r="G168" s="17">
        <f>F168+6*7</f>
        <v>45771</v>
      </c>
      <c r="H168" s="14">
        <f>G168-F168</f>
        <v>42</v>
      </c>
      <c r="I168" s="14">
        <f>ROUND(D168/E168,3)</f>
        <v>5.7000000000000002E-2</v>
      </c>
      <c r="J168" s="14">
        <f>I168*24</f>
        <v>1.3680000000000001</v>
      </c>
      <c r="K168" s="14">
        <f>VLOOKUP($C168,Rotation!$A$2:$J$10,2,FALSE)</f>
        <v>1</v>
      </c>
      <c r="L168" s="14">
        <f>VLOOKUP($C168,Rotation!$A$2:$J$10,3,FALSE)</f>
        <v>0</v>
      </c>
      <c r="M168" s="14">
        <f>VLOOKUP($C168,Rotation!$A$2:$J$10,4,FALSE)</f>
        <v>0</v>
      </c>
      <c r="N168" s="14">
        <f>VLOOKUP($C168,Rotation!$A$2:$J$10,5,FALSE)</f>
        <v>0</v>
      </c>
      <c r="O168" s="14">
        <f>VLOOKUP($C168,Rotation!$A$2:$J$10,6,FALSE)</f>
        <v>0</v>
      </c>
      <c r="P168" s="14">
        <f>VLOOKUP($C168,Rotation!$A$2:$J$10,7,FALSE)</f>
        <v>0</v>
      </c>
      <c r="Q168" s="14">
        <f>VLOOKUP($C168,Rotation!$A$2:$J$10,8,FALSE)</f>
        <v>1</v>
      </c>
      <c r="R168" s="14">
        <f>VLOOKUP($C168,Rotation!$A$2:$J$10,9,FALSE)</f>
        <v>0</v>
      </c>
      <c r="S168" s="14">
        <f>VLOOKUP($C168,Rotation!$A$2:$J$10,10,FALSE)</f>
        <v>0</v>
      </c>
    </row>
    <row r="169" spans="1:19" ht="18">
      <c r="A169" s="14">
        <v>167</v>
      </c>
      <c r="B169" s="14" t="s">
        <v>99</v>
      </c>
      <c r="C169" s="14" t="str">
        <f>VLOOKUP(B169,Family!B:C,2,FALSE)</f>
        <v>N</v>
      </c>
      <c r="D169" s="15">
        <v>19</v>
      </c>
      <c r="E169" s="14">
        <f>ROUND(VLOOKUP(C169,'Production Plan'!A:B,2,FALSE),2)</f>
        <v>334.18</v>
      </c>
      <c r="F169" s="16">
        <v>45729</v>
      </c>
      <c r="G169" s="17">
        <f>F169+6*7</f>
        <v>45771</v>
      </c>
      <c r="H169" s="14">
        <f>G169-F169</f>
        <v>42</v>
      </c>
      <c r="I169" s="14">
        <f>ROUND(D169/E169,3)</f>
        <v>5.7000000000000002E-2</v>
      </c>
      <c r="J169" s="14">
        <f>I169*24</f>
        <v>1.3680000000000001</v>
      </c>
      <c r="K169" s="14">
        <f>VLOOKUP($C169,Rotation!$A$2:$J$10,2,FALSE)</f>
        <v>1</v>
      </c>
      <c r="L169" s="14">
        <f>VLOOKUP($C169,Rotation!$A$2:$J$10,3,FALSE)</f>
        <v>0</v>
      </c>
      <c r="M169" s="14">
        <f>VLOOKUP($C169,Rotation!$A$2:$J$10,4,FALSE)</f>
        <v>0</v>
      </c>
      <c r="N169" s="14">
        <f>VLOOKUP($C169,Rotation!$A$2:$J$10,5,FALSE)</f>
        <v>0</v>
      </c>
      <c r="O169" s="14">
        <f>VLOOKUP($C169,Rotation!$A$2:$J$10,6,FALSE)</f>
        <v>0</v>
      </c>
      <c r="P169" s="14">
        <f>VLOOKUP($C169,Rotation!$A$2:$J$10,7,FALSE)</f>
        <v>0</v>
      </c>
      <c r="Q169" s="14">
        <f>VLOOKUP($C169,Rotation!$A$2:$J$10,8,FALSE)</f>
        <v>1</v>
      </c>
      <c r="R169" s="14">
        <f>VLOOKUP($C169,Rotation!$A$2:$J$10,9,FALSE)</f>
        <v>0</v>
      </c>
      <c r="S169" s="14">
        <f>VLOOKUP($C169,Rotation!$A$2:$J$10,10,FALSE)</f>
        <v>0</v>
      </c>
    </row>
    <row r="170" spans="1:19" ht="18">
      <c r="A170" s="14">
        <v>168</v>
      </c>
      <c r="B170" s="14" t="s">
        <v>99</v>
      </c>
      <c r="C170" s="14" t="str">
        <f>VLOOKUP(B170,Family!B:C,2,FALSE)</f>
        <v>N</v>
      </c>
      <c r="D170" s="15">
        <v>19</v>
      </c>
      <c r="E170" s="14">
        <f>ROUND(VLOOKUP(C170,'Production Plan'!A:B,2,FALSE),2)</f>
        <v>334.18</v>
      </c>
      <c r="F170" s="16">
        <v>45729</v>
      </c>
      <c r="G170" s="17">
        <f>F170+6*7</f>
        <v>45771</v>
      </c>
      <c r="H170" s="14">
        <f>G170-F170</f>
        <v>42</v>
      </c>
      <c r="I170" s="14">
        <f>ROUND(D170/E170,3)</f>
        <v>5.7000000000000002E-2</v>
      </c>
      <c r="J170" s="14">
        <f>I170*24</f>
        <v>1.3680000000000001</v>
      </c>
      <c r="K170" s="14">
        <f>VLOOKUP($C170,Rotation!$A$2:$J$10,2,FALSE)</f>
        <v>1</v>
      </c>
      <c r="L170" s="14">
        <f>VLOOKUP($C170,Rotation!$A$2:$J$10,3,FALSE)</f>
        <v>0</v>
      </c>
      <c r="M170" s="14">
        <f>VLOOKUP($C170,Rotation!$A$2:$J$10,4,FALSE)</f>
        <v>0</v>
      </c>
      <c r="N170" s="14">
        <f>VLOOKUP($C170,Rotation!$A$2:$J$10,5,FALSE)</f>
        <v>0</v>
      </c>
      <c r="O170" s="14">
        <f>VLOOKUP($C170,Rotation!$A$2:$J$10,6,FALSE)</f>
        <v>0</v>
      </c>
      <c r="P170" s="14">
        <f>VLOOKUP($C170,Rotation!$A$2:$J$10,7,FALSE)</f>
        <v>0</v>
      </c>
      <c r="Q170" s="14">
        <f>VLOOKUP($C170,Rotation!$A$2:$J$10,8,FALSE)</f>
        <v>1</v>
      </c>
      <c r="R170" s="14">
        <f>VLOOKUP($C170,Rotation!$A$2:$J$10,9,FALSE)</f>
        <v>0</v>
      </c>
      <c r="S170" s="14">
        <f>VLOOKUP($C170,Rotation!$A$2:$J$10,10,FALSE)</f>
        <v>0</v>
      </c>
    </row>
    <row r="171" spans="1:19" ht="18">
      <c r="A171" s="14">
        <v>169</v>
      </c>
      <c r="B171" s="14" t="s">
        <v>99</v>
      </c>
      <c r="C171" s="14" t="str">
        <f>VLOOKUP(B171,Family!B:C,2,FALSE)</f>
        <v>N</v>
      </c>
      <c r="D171" s="15">
        <v>19</v>
      </c>
      <c r="E171" s="14">
        <f>ROUND(VLOOKUP(C171,'Production Plan'!A:B,2,FALSE),2)</f>
        <v>334.18</v>
      </c>
      <c r="F171" s="16">
        <v>45729</v>
      </c>
      <c r="G171" s="17">
        <f>F171+6*7</f>
        <v>45771</v>
      </c>
      <c r="H171" s="14">
        <f>G171-F171</f>
        <v>42</v>
      </c>
      <c r="I171" s="14">
        <f>ROUND(D171/E171,3)</f>
        <v>5.7000000000000002E-2</v>
      </c>
      <c r="J171" s="14">
        <f>I171*24</f>
        <v>1.3680000000000001</v>
      </c>
      <c r="K171" s="14">
        <f>VLOOKUP($C171,Rotation!$A$2:$J$10,2,FALSE)</f>
        <v>1</v>
      </c>
      <c r="L171" s="14">
        <f>VLOOKUP($C171,Rotation!$A$2:$J$10,3,FALSE)</f>
        <v>0</v>
      </c>
      <c r="M171" s="14">
        <f>VLOOKUP($C171,Rotation!$A$2:$J$10,4,FALSE)</f>
        <v>0</v>
      </c>
      <c r="N171" s="14">
        <f>VLOOKUP($C171,Rotation!$A$2:$J$10,5,FALSE)</f>
        <v>0</v>
      </c>
      <c r="O171" s="14">
        <f>VLOOKUP($C171,Rotation!$A$2:$J$10,6,FALSE)</f>
        <v>0</v>
      </c>
      <c r="P171" s="14">
        <f>VLOOKUP($C171,Rotation!$A$2:$J$10,7,FALSE)</f>
        <v>0</v>
      </c>
      <c r="Q171" s="14">
        <f>VLOOKUP($C171,Rotation!$A$2:$J$10,8,FALSE)</f>
        <v>1</v>
      </c>
      <c r="R171" s="14">
        <f>VLOOKUP($C171,Rotation!$A$2:$J$10,9,FALSE)</f>
        <v>0</v>
      </c>
      <c r="S171" s="14">
        <f>VLOOKUP($C171,Rotation!$A$2:$J$10,10,FALSE)</f>
        <v>0</v>
      </c>
    </row>
    <row r="172" spans="1:19" ht="18">
      <c r="A172" s="14">
        <v>170</v>
      </c>
      <c r="B172" s="14" t="s">
        <v>99</v>
      </c>
      <c r="C172" s="14" t="str">
        <f>VLOOKUP(B172,Family!B:C,2,FALSE)</f>
        <v>N</v>
      </c>
      <c r="D172" s="15">
        <v>19</v>
      </c>
      <c r="E172" s="14">
        <f>ROUND(VLOOKUP(C172,'Production Plan'!A:B,2,FALSE),2)</f>
        <v>334.18</v>
      </c>
      <c r="F172" s="16">
        <v>45729</v>
      </c>
      <c r="G172" s="17">
        <f>F172+6*7</f>
        <v>45771</v>
      </c>
      <c r="H172" s="14">
        <f>G172-F172</f>
        <v>42</v>
      </c>
      <c r="I172" s="14">
        <f>ROUND(D172/E172,3)</f>
        <v>5.7000000000000002E-2</v>
      </c>
      <c r="J172" s="14">
        <f>I172*24</f>
        <v>1.3680000000000001</v>
      </c>
      <c r="K172" s="14">
        <f>VLOOKUP($C172,Rotation!$A$2:$J$10,2,FALSE)</f>
        <v>1</v>
      </c>
      <c r="L172" s="14">
        <f>VLOOKUP($C172,Rotation!$A$2:$J$10,3,FALSE)</f>
        <v>0</v>
      </c>
      <c r="M172" s="14">
        <f>VLOOKUP($C172,Rotation!$A$2:$J$10,4,FALSE)</f>
        <v>0</v>
      </c>
      <c r="N172" s="14">
        <f>VLOOKUP($C172,Rotation!$A$2:$J$10,5,FALSE)</f>
        <v>0</v>
      </c>
      <c r="O172" s="14">
        <f>VLOOKUP($C172,Rotation!$A$2:$J$10,6,FALSE)</f>
        <v>0</v>
      </c>
      <c r="P172" s="14">
        <f>VLOOKUP($C172,Rotation!$A$2:$J$10,7,FALSE)</f>
        <v>0</v>
      </c>
      <c r="Q172" s="14">
        <f>VLOOKUP($C172,Rotation!$A$2:$J$10,8,FALSE)</f>
        <v>1</v>
      </c>
      <c r="R172" s="14">
        <f>VLOOKUP($C172,Rotation!$A$2:$J$10,9,FALSE)</f>
        <v>0</v>
      </c>
      <c r="S172" s="14">
        <f>VLOOKUP($C172,Rotation!$A$2:$J$10,10,FALSE)</f>
        <v>0</v>
      </c>
    </row>
    <row r="173" spans="1:19" ht="18">
      <c r="A173" s="14">
        <v>171</v>
      </c>
      <c r="B173" s="14" t="s">
        <v>77</v>
      </c>
      <c r="C173" s="14" t="str">
        <f>VLOOKUP(B173,Family!B:C,2,FALSE)</f>
        <v>E</v>
      </c>
      <c r="D173" s="15">
        <v>18</v>
      </c>
      <c r="E173" s="14">
        <f>ROUND(VLOOKUP(C173,'Production Plan'!A:B,2,FALSE),2)</f>
        <v>333.66</v>
      </c>
      <c r="F173" s="16">
        <v>45665</v>
      </c>
      <c r="G173" s="17">
        <f>F173+6*7</f>
        <v>45707</v>
      </c>
      <c r="H173" s="14">
        <f>G173-F173</f>
        <v>42</v>
      </c>
      <c r="I173" s="14">
        <f>ROUND(D173/E173,3)</f>
        <v>5.3999999999999999E-2</v>
      </c>
      <c r="J173" s="14">
        <f>I173*24</f>
        <v>1.296</v>
      </c>
      <c r="K173" s="14">
        <f>VLOOKUP($C173,Rotation!$A$2:$J$10,2,FALSE)</f>
        <v>1</v>
      </c>
      <c r="L173" s="14">
        <f>VLOOKUP($C173,Rotation!$A$2:$J$10,3,FALSE)</f>
        <v>0</v>
      </c>
      <c r="M173" s="14">
        <f>VLOOKUP($C173,Rotation!$A$2:$J$10,4,FALSE)</f>
        <v>0</v>
      </c>
      <c r="N173" s="14">
        <f>VLOOKUP($C173,Rotation!$A$2:$J$10,5,FALSE)</f>
        <v>0</v>
      </c>
      <c r="O173" s="14">
        <f>VLOOKUP($C173,Rotation!$A$2:$J$10,6,FALSE)</f>
        <v>0</v>
      </c>
      <c r="P173" s="14">
        <f>VLOOKUP($C173,Rotation!$A$2:$J$10,7,FALSE)</f>
        <v>1</v>
      </c>
      <c r="Q173" s="14">
        <f>VLOOKUP($C173,Rotation!$A$2:$J$10,8,FALSE)</f>
        <v>0</v>
      </c>
      <c r="R173" s="14">
        <f>VLOOKUP($C173,Rotation!$A$2:$J$10,9,FALSE)</f>
        <v>0</v>
      </c>
      <c r="S173" s="14">
        <f>VLOOKUP($C173,Rotation!$A$2:$J$10,10,FALSE)</f>
        <v>0</v>
      </c>
    </row>
    <row r="174" spans="1:19" ht="18">
      <c r="A174" s="14">
        <v>172</v>
      </c>
      <c r="B174" s="14" t="s">
        <v>85</v>
      </c>
      <c r="C174" s="14" t="str">
        <f>VLOOKUP(B174,Family!B:C,2,FALSE)</f>
        <v>E</v>
      </c>
      <c r="D174" s="15">
        <v>19</v>
      </c>
      <c r="E174" s="14">
        <f>ROUND(VLOOKUP(C174,'Production Plan'!A:B,2,FALSE),2)</f>
        <v>333.66</v>
      </c>
      <c r="F174" s="16">
        <v>45669</v>
      </c>
      <c r="G174" s="17">
        <f>F174+6*7</f>
        <v>45711</v>
      </c>
      <c r="H174" s="14">
        <f>G174-F174</f>
        <v>42</v>
      </c>
      <c r="I174" s="14">
        <f>ROUND(D174/E174,3)</f>
        <v>5.7000000000000002E-2</v>
      </c>
      <c r="J174" s="14">
        <f>I174*24</f>
        <v>1.3680000000000001</v>
      </c>
      <c r="K174" s="14">
        <f>VLOOKUP($C174,Rotation!$A$2:$J$10,2,FALSE)</f>
        <v>1</v>
      </c>
      <c r="L174" s="14">
        <f>VLOOKUP($C174,Rotation!$A$2:$J$10,3,FALSE)</f>
        <v>0</v>
      </c>
      <c r="M174" s="14">
        <f>VLOOKUP($C174,Rotation!$A$2:$J$10,4,FALSE)</f>
        <v>0</v>
      </c>
      <c r="N174" s="14">
        <f>VLOOKUP($C174,Rotation!$A$2:$J$10,5,FALSE)</f>
        <v>0</v>
      </c>
      <c r="O174" s="14">
        <f>VLOOKUP($C174,Rotation!$A$2:$J$10,6,FALSE)</f>
        <v>0</v>
      </c>
      <c r="P174" s="14">
        <f>VLOOKUP($C174,Rotation!$A$2:$J$10,7,FALSE)</f>
        <v>1</v>
      </c>
      <c r="Q174" s="14">
        <f>VLOOKUP($C174,Rotation!$A$2:$J$10,8,FALSE)</f>
        <v>0</v>
      </c>
      <c r="R174" s="14">
        <f>VLOOKUP($C174,Rotation!$A$2:$J$10,9,FALSE)</f>
        <v>0</v>
      </c>
      <c r="S174" s="14">
        <f>VLOOKUP($C174,Rotation!$A$2:$J$10,10,FALSE)</f>
        <v>0</v>
      </c>
    </row>
    <row r="175" spans="1:19" ht="18">
      <c r="A175" s="14">
        <v>173</v>
      </c>
      <c r="B175" s="14" t="s">
        <v>85</v>
      </c>
      <c r="C175" s="14" t="str">
        <f>VLOOKUP(B175,Family!B:C,2,FALSE)</f>
        <v>E</v>
      </c>
      <c r="D175" s="15">
        <v>19</v>
      </c>
      <c r="E175" s="14">
        <f>ROUND(VLOOKUP(C175,'Production Plan'!A:B,2,FALSE),2)</f>
        <v>333.66</v>
      </c>
      <c r="F175" s="16">
        <v>45669</v>
      </c>
      <c r="G175" s="17">
        <f>F175+6*7</f>
        <v>45711</v>
      </c>
      <c r="H175" s="14">
        <f>G175-F175</f>
        <v>42</v>
      </c>
      <c r="I175" s="14">
        <f>ROUND(D175/E175,3)</f>
        <v>5.7000000000000002E-2</v>
      </c>
      <c r="J175" s="14">
        <f>I175*24</f>
        <v>1.3680000000000001</v>
      </c>
      <c r="K175" s="14">
        <f>VLOOKUP($C175,Rotation!$A$2:$J$10,2,FALSE)</f>
        <v>1</v>
      </c>
      <c r="L175" s="14">
        <f>VLOOKUP($C175,Rotation!$A$2:$J$10,3,FALSE)</f>
        <v>0</v>
      </c>
      <c r="M175" s="14">
        <f>VLOOKUP($C175,Rotation!$A$2:$J$10,4,FALSE)</f>
        <v>0</v>
      </c>
      <c r="N175" s="14">
        <f>VLOOKUP($C175,Rotation!$A$2:$J$10,5,FALSE)</f>
        <v>0</v>
      </c>
      <c r="O175" s="14">
        <f>VLOOKUP($C175,Rotation!$A$2:$J$10,6,FALSE)</f>
        <v>0</v>
      </c>
      <c r="P175" s="14">
        <f>VLOOKUP($C175,Rotation!$A$2:$J$10,7,FALSE)</f>
        <v>1</v>
      </c>
      <c r="Q175" s="14">
        <f>VLOOKUP($C175,Rotation!$A$2:$J$10,8,FALSE)</f>
        <v>0</v>
      </c>
      <c r="R175" s="14">
        <f>VLOOKUP($C175,Rotation!$A$2:$J$10,9,FALSE)</f>
        <v>0</v>
      </c>
      <c r="S175" s="14">
        <f>VLOOKUP($C175,Rotation!$A$2:$J$10,10,FALSE)</f>
        <v>0</v>
      </c>
    </row>
    <row r="176" spans="1:19" ht="18">
      <c r="A176" s="14">
        <v>174</v>
      </c>
      <c r="B176" s="14" t="s">
        <v>85</v>
      </c>
      <c r="C176" s="14" t="str">
        <f>VLOOKUP(B176,Family!B:C,2,FALSE)</f>
        <v>E</v>
      </c>
      <c r="D176" s="15">
        <v>19</v>
      </c>
      <c r="E176" s="14">
        <f>ROUND(VLOOKUP(C176,'Production Plan'!A:B,2,FALSE),2)</f>
        <v>333.66</v>
      </c>
      <c r="F176" s="16">
        <v>45669</v>
      </c>
      <c r="G176" s="17">
        <f>F176+6*7</f>
        <v>45711</v>
      </c>
      <c r="H176" s="14">
        <f>G176-F176</f>
        <v>42</v>
      </c>
      <c r="I176" s="14">
        <f>ROUND(D176/E176,3)</f>
        <v>5.7000000000000002E-2</v>
      </c>
      <c r="J176" s="14">
        <f>I176*24</f>
        <v>1.3680000000000001</v>
      </c>
      <c r="K176" s="14">
        <f>VLOOKUP($C176,Rotation!$A$2:$J$10,2,FALSE)</f>
        <v>1</v>
      </c>
      <c r="L176" s="14">
        <f>VLOOKUP($C176,Rotation!$A$2:$J$10,3,FALSE)</f>
        <v>0</v>
      </c>
      <c r="M176" s="14">
        <f>VLOOKUP($C176,Rotation!$A$2:$J$10,4,FALSE)</f>
        <v>0</v>
      </c>
      <c r="N176" s="14">
        <f>VLOOKUP($C176,Rotation!$A$2:$J$10,5,FALSE)</f>
        <v>0</v>
      </c>
      <c r="O176" s="14">
        <f>VLOOKUP($C176,Rotation!$A$2:$J$10,6,FALSE)</f>
        <v>0</v>
      </c>
      <c r="P176" s="14">
        <f>VLOOKUP($C176,Rotation!$A$2:$J$10,7,FALSE)</f>
        <v>1</v>
      </c>
      <c r="Q176" s="14">
        <f>VLOOKUP($C176,Rotation!$A$2:$J$10,8,FALSE)</f>
        <v>0</v>
      </c>
      <c r="R176" s="14">
        <f>VLOOKUP($C176,Rotation!$A$2:$J$10,9,FALSE)</f>
        <v>0</v>
      </c>
      <c r="S176" s="14">
        <f>VLOOKUP($C176,Rotation!$A$2:$J$10,10,FALSE)</f>
        <v>0</v>
      </c>
    </row>
    <row r="177" spans="1:19" ht="18">
      <c r="A177" s="14">
        <v>175</v>
      </c>
      <c r="B177" s="14" t="s">
        <v>65</v>
      </c>
      <c r="C177" s="14" t="str">
        <f>VLOOKUP(B177,Family!B:C,2,FALSE)</f>
        <v>A</v>
      </c>
      <c r="D177" s="15">
        <v>38</v>
      </c>
      <c r="E177" s="14">
        <f>ROUND(VLOOKUP(C177,'Production Plan'!A:B,2,FALSE),2)</f>
        <v>407.17</v>
      </c>
      <c r="F177" s="16">
        <v>45686</v>
      </c>
      <c r="G177" s="17">
        <f>F177+6*7</f>
        <v>45728</v>
      </c>
      <c r="H177" s="14">
        <f>G177-F177</f>
        <v>42</v>
      </c>
      <c r="I177" s="14">
        <f>ROUND(D177/E177,3)</f>
        <v>9.2999999999999999E-2</v>
      </c>
      <c r="J177" s="14">
        <f>I177*24</f>
        <v>2.2320000000000002</v>
      </c>
      <c r="K177" s="14">
        <f>VLOOKUP($C177,Rotation!$A$2:$J$10,2,FALSE)</f>
        <v>1</v>
      </c>
      <c r="L177" s="14">
        <f>VLOOKUP($C177,Rotation!$A$2:$J$10,3,FALSE)</f>
        <v>1</v>
      </c>
      <c r="M177" s="14">
        <f>VLOOKUP($C177,Rotation!$A$2:$J$10,4,FALSE)</f>
        <v>1</v>
      </c>
      <c r="N177" s="14">
        <f>VLOOKUP($C177,Rotation!$A$2:$J$10,5,FALSE)</f>
        <v>0</v>
      </c>
      <c r="O177" s="14">
        <f>VLOOKUP($C177,Rotation!$A$2:$J$10,6,FALSE)</f>
        <v>0</v>
      </c>
      <c r="P177" s="14">
        <f>VLOOKUP($C177,Rotation!$A$2:$J$10,7,FALSE)</f>
        <v>0</v>
      </c>
      <c r="Q177" s="14">
        <f>VLOOKUP($C177,Rotation!$A$2:$J$10,8,FALSE)</f>
        <v>0</v>
      </c>
      <c r="R177" s="14">
        <f>VLOOKUP($C177,Rotation!$A$2:$J$10,9,FALSE)</f>
        <v>0</v>
      </c>
      <c r="S177" s="14">
        <f>VLOOKUP($C177,Rotation!$A$2:$J$10,10,FALSE)</f>
        <v>0</v>
      </c>
    </row>
    <row r="178" spans="1:19" ht="18">
      <c r="A178" s="14">
        <v>176</v>
      </c>
      <c r="B178" s="14" t="s">
        <v>93</v>
      </c>
      <c r="C178" s="14" t="str">
        <f>VLOOKUP(B178,Family!B:C,2,FALSE)</f>
        <v>F</v>
      </c>
      <c r="D178" s="15">
        <v>192</v>
      </c>
      <c r="E178" s="14">
        <f>ROUND(VLOOKUP(C178,'Production Plan'!A:B,2,FALSE),2)</f>
        <v>394.98</v>
      </c>
      <c r="F178" s="16">
        <v>45715</v>
      </c>
      <c r="G178" s="17">
        <f>F178+6*7</f>
        <v>45757</v>
      </c>
      <c r="H178" s="14">
        <f>G178-F178</f>
        <v>42</v>
      </c>
      <c r="I178" s="14">
        <f>ROUND(D178/E178,3)</f>
        <v>0.48599999999999999</v>
      </c>
      <c r="J178" s="14">
        <f>I178*24</f>
        <v>11.664</v>
      </c>
      <c r="K178" s="14">
        <f>VLOOKUP($C178,Rotation!$A$2:$J$10,2,FALSE)</f>
        <v>1</v>
      </c>
      <c r="L178" s="14">
        <f>VLOOKUP($C178,Rotation!$A$2:$J$10,3,FALSE)</f>
        <v>0</v>
      </c>
      <c r="M178" s="14">
        <f>VLOOKUP($C178,Rotation!$A$2:$J$10,4,FALSE)</f>
        <v>0</v>
      </c>
      <c r="N178" s="14">
        <f>VLOOKUP($C178,Rotation!$A$2:$J$10,5,FALSE)</f>
        <v>1</v>
      </c>
      <c r="O178" s="14">
        <f>VLOOKUP($C178,Rotation!$A$2:$J$10,6,FALSE)</f>
        <v>1</v>
      </c>
      <c r="P178" s="14">
        <f>VLOOKUP($C178,Rotation!$A$2:$J$10,7,FALSE)</f>
        <v>1</v>
      </c>
      <c r="Q178" s="14">
        <f>VLOOKUP($C178,Rotation!$A$2:$J$10,8,FALSE)</f>
        <v>1</v>
      </c>
      <c r="R178" s="14">
        <f>VLOOKUP($C178,Rotation!$A$2:$J$10,9,FALSE)</f>
        <v>1</v>
      </c>
      <c r="S178" s="14">
        <f>VLOOKUP($C178,Rotation!$A$2:$J$10,10,FALSE)</f>
        <v>1</v>
      </c>
    </row>
    <row r="179" spans="1:19" ht="18">
      <c r="A179" s="14">
        <v>177</v>
      </c>
      <c r="B179" s="14" t="s">
        <v>65</v>
      </c>
      <c r="C179" s="14" t="str">
        <f>VLOOKUP(B179,Family!B:C,2,FALSE)</f>
        <v>A</v>
      </c>
      <c r="D179" s="15">
        <v>38</v>
      </c>
      <c r="E179" s="14">
        <f>ROUND(VLOOKUP(C179,'Production Plan'!A:B,2,FALSE),2)</f>
        <v>407.17</v>
      </c>
      <c r="F179" s="16">
        <v>45686</v>
      </c>
      <c r="G179" s="17">
        <f>F179+6*7</f>
        <v>45728</v>
      </c>
      <c r="H179" s="14">
        <f>G179-F179</f>
        <v>42</v>
      </c>
      <c r="I179" s="14">
        <f>ROUND(D179/E179,3)</f>
        <v>9.2999999999999999E-2</v>
      </c>
      <c r="J179" s="14">
        <f>I179*24</f>
        <v>2.2320000000000002</v>
      </c>
      <c r="K179" s="14">
        <f>VLOOKUP($C179,Rotation!$A$2:$J$10,2,FALSE)</f>
        <v>1</v>
      </c>
      <c r="L179" s="14">
        <f>VLOOKUP($C179,Rotation!$A$2:$J$10,3,FALSE)</f>
        <v>1</v>
      </c>
      <c r="M179" s="14">
        <f>VLOOKUP($C179,Rotation!$A$2:$J$10,4,FALSE)</f>
        <v>1</v>
      </c>
      <c r="N179" s="14">
        <f>VLOOKUP($C179,Rotation!$A$2:$J$10,5,FALSE)</f>
        <v>0</v>
      </c>
      <c r="O179" s="14">
        <f>VLOOKUP($C179,Rotation!$A$2:$J$10,6,FALSE)</f>
        <v>0</v>
      </c>
      <c r="P179" s="14">
        <f>VLOOKUP($C179,Rotation!$A$2:$J$10,7,FALSE)</f>
        <v>0</v>
      </c>
      <c r="Q179" s="14">
        <f>VLOOKUP($C179,Rotation!$A$2:$J$10,8,FALSE)</f>
        <v>0</v>
      </c>
      <c r="R179" s="14">
        <f>VLOOKUP($C179,Rotation!$A$2:$J$10,9,FALSE)</f>
        <v>0</v>
      </c>
      <c r="S179" s="14">
        <f>VLOOKUP($C179,Rotation!$A$2:$J$10,10,FALSE)</f>
        <v>0</v>
      </c>
    </row>
    <row r="180" spans="1:19" ht="18">
      <c r="A180" s="14">
        <v>178</v>
      </c>
      <c r="B180" s="14" t="s">
        <v>66</v>
      </c>
      <c r="C180" s="14" t="str">
        <f>VLOOKUP(B180,Family!B:C,2,FALSE)</f>
        <v>A</v>
      </c>
      <c r="D180" s="15">
        <v>54</v>
      </c>
      <c r="E180" s="14">
        <f>ROUND(VLOOKUP(C180,'Production Plan'!A:B,2,FALSE),2)</f>
        <v>407.17</v>
      </c>
      <c r="F180" s="16">
        <v>45674</v>
      </c>
      <c r="G180" s="17">
        <f>F180+6*7</f>
        <v>45716</v>
      </c>
      <c r="H180" s="14">
        <f>G180-F180</f>
        <v>42</v>
      </c>
      <c r="I180" s="14">
        <f>ROUND(D180/E180,3)</f>
        <v>0.13300000000000001</v>
      </c>
      <c r="J180" s="14">
        <f>I180*24</f>
        <v>3.1920000000000002</v>
      </c>
      <c r="K180" s="14">
        <f>VLOOKUP($C180,Rotation!$A$2:$J$10,2,FALSE)</f>
        <v>1</v>
      </c>
      <c r="L180" s="14">
        <f>VLOOKUP($C180,Rotation!$A$2:$J$10,3,FALSE)</f>
        <v>1</v>
      </c>
      <c r="M180" s="14">
        <f>VLOOKUP($C180,Rotation!$A$2:$J$10,4,FALSE)</f>
        <v>1</v>
      </c>
      <c r="N180" s="14">
        <f>VLOOKUP($C180,Rotation!$A$2:$J$10,5,FALSE)</f>
        <v>0</v>
      </c>
      <c r="O180" s="14">
        <f>VLOOKUP($C180,Rotation!$A$2:$J$10,6,FALSE)</f>
        <v>0</v>
      </c>
      <c r="P180" s="14">
        <f>VLOOKUP($C180,Rotation!$A$2:$J$10,7,FALSE)</f>
        <v>0</v>
      </c>
      <c r="Q180" s="14">
        <f>VLOOKUP($C180,Rotation!$A$2:$J$10,8,FALSE)</f>
        <v>0</v>
      </c>
      <c r="R180" s="14">
        <f>VLOOKUP($C180,Rotation!$A$2:$J$10,9,FALSE)</f>
        <v>0</v>
      </c>
      <c r="S180" s="14">
        <f>VLOOKUP($C180,Rotation!$A$2:$J$10,10,FALSE)</f>
        <v>0</v>
      </c>
    </row>
    <row r="181" spans="1:19" ht="18">
      <c r="A181" s="14">
        <v>179</v>
      </c>
      <c r="B181" s="14" t="s">
        <v>66</v>
      </c>
      <c r="C181" s="14" t="str">
        <f>VLOOKUP(B181,Family!B:C,2,FALSE)</f>
        <v>A</v>
      </c>
      <c r="D181" s="15">
        <v>54</v>
      </c>
      <c r="E181" s="14">
        <f>ROUND(VLOOKUP(C181,'Production Plan'!A:B,2,FALSE),2)</f>
        <v>407.17</v>
      </c>
      <c r="F181" s="16">
        <v>45674</v>
      </c>
      <c r="G181" s="17">
        <f>F181+6*7</f>
        <v>45716</v>
      </c>
      <c r="H181" s="14">
        <f>G181-F181</f>
        <v>42</v>
      </c>
      <c r="I181" s="14">
        <f>ROUND(D181/E181,3)</f>
        <v>0.13300000000000001</v>
      </c>
      <c r="J181" s="14">
        <f>I181*24</f>
        <v>3.1920000000000002</v>
      </c>
      <c r="K181" s="14">
        <f>VLOOKUP($C181,Rotation!$A$2:$J$10,2,FALSE)</f>
        <v>1</v>
      </c>
      <c r="L181" s="14">
        <f>VLOOKUP($C181,Rotation!$A$2:$J$10,3,FALSE)</f>
        <v>1</v>
      </c>
      <c r="M181" s="14">
        <f>VLOOKUP($C181,Rotation!$A$2:$J$10,4,FALSE)</f>
        <v>1</v>
      </c>
      <c r="N181" s="14">
        <f>VLOOKUP($C181,Rotation!$A$2:$J$10,5,FALSE)</f>
        <v>0</v>
      </c>
      <c r="O181" s="14">
        <f>VLOOKUP($C181,Rotation!$A$2:$J$10,6,FALSE)</f>
        <v>0</v>
      </c>
      <c r="P181" s="14">
        <f>VLOOKUP($C181,Rotation!$A$2:$J$10,7,FALSE)</f>
        <v>0</v>
      </c>
      <c r="Q181" s="14">
        <f>VLOOKUP($C181,Rotation!$A$2:$J$10,8,FALSE)</f>
        <v>0</v>
      </c>
      <c r="R181" s="14">
        <f>VLOOKUP($C181,Rotation!$A$2:$J$10,9,FALSE)</f>
        <v>0</v>
      </c>
      <c r="S181" s="14">
        <f>VLOOKUP($C181,Rotation!$A$2:$J$10,10,FALSE)</f>
        <v>0</v>
      </c>
    </row>
    <row r="182" spans="1:19" ht="18">
      <c r="A182" s="14">
        <v>180</v>
      </c>
      <c r="B182" s="14" t="s">
        <v>66</v>
      </c>
      <c r="C182" s="14" t="str">
        <f>VLOOKUP(B182,Family!B:C,2,FALSE)</f>
        <v>A</v>
      </c>
      <c r="D182" s="15">
        <v>54</v>
      </c>
      <c r="E182" s="14">
        <f>ROUND(VLOOKUP(C182,'Production Plan'!A:B,2,FALSE),2)</f>
        <v>407.17</v>
      </c>
      <c r="F182" s="16">
        <v>45674</v>
      </c>
      <c r="G182" s="17">
        <f>F182+6*7</f>
        <v>45716</v>
      </c>
      <c r="H182" s="14">
        <f>G182-F182</f>
        <v>42</v>
      </c>
      <c r="I182" s="14">
        <f>ROUND(D182/E182,3)</f>
        <v>0.13300000000000001</v>
      </c>
      <c r="J182" s="14">
        <f>I182*24</f>
        <v>3.1920000000000002</v>
      </c>
      <c r="K182" s="14">
        <f>VLOOKUP($C182,Rotation!$A$2:$J$10,2,FALSE)</f>
        <v>1</v>
      </c>
      <c r="L182" s="14">
        <f>VLOOKUP($C182,Rotation!$A$2:$J$10,3,FALSE)</f>
        <v>1</v>
      </c>
      <c r="M182" s="14">
        <f>VLOOKUP($C182,Rotation!$A$2:$J$10,4,FALSE)</f>
        <v>1</v>
      </c>
      <c r="N182" s="14">
        <f>VLOOKUP($C182,Rotation!$A$2:$J$10,5,FALSE)</f>
        <v>0</v>
      </c>
      <c r="O182" s="14">
        <f>VLOOKUP($C182,Rotation!$A$2:$J$10,6,FALSE)</f>
        <v>0</v>
      </c>
      <c r="P182" s="14">
        <f>VLOOKUP($C182,Rotation!$A$2:$J$10,7,FALSE)</f>
        <v>0</v>
      </c>
      <c r="Q182" s="14">
        <f>VLOOKUP($C182,Rotation!$A$2:$J$10,8,FALSE)</f>
        <v>0</v>
      </c>
      <c r="R182" s="14">
        <f>VLOOKUP($C182,Rotation!$A$2:$J$10,9,FALSE)</f>
        <v>0</v>
      </c>
      <c r="S182" s="14">
        <f>VLOOKUP($C182,Rotation!$A$2:$J$10,10,FALSE)</f>
        <v>0</v>
      </c>
    </row>
    <row r="183" spans="1:19" ht="18">
      <c r="A183" s="14">
        <v>181</v>
      </c>
      <c r="B183" s="14" t="s">
        <v>65</v>
      </c>
      <c r="C183" s="14" t="str">
        <f>VLOOKUP(B183,Family!B:C,2,FALSE)</f>
        <v>A</v>
      </c>
      <c r="D183" s="15">
        <v>38</v>
      </c>
      <c r="E183" s="14">
        <f>ROUND(VLOOKUP(C183,'Production Plan'!A:B,2,FALSE),2)</f>
        <v>407.17</v>
      </c>
      <c r="F183" s="16">
        <v>45686</v>
      </c>
      <c r="G183" s="17">
        <f>F183+6*7</f>
        <v>45728</v>
      </c>
      <c r="H183" s="14">
        <f>G183-F183</f>
        <v>42</v>
      </c>
      <c r="I183" s="14">
        <f>ROUND(D183/E183,3)</f>
        <v>9.2999999999999999E-2</v>
      </c>
      <c r="J183" s="14">
        <f>I183*24</f>
        <v>2.2320000000000002</v>
      </c>
      <c r="K183" s="14">
        <f>VLOOKUP($C183,Rotation!$A$2:$J$10,2,FALSE)</f>
        <v>1</v>
      </c>
      <c r="L183" s="14">
        <f>VLOOKUP($C183,Rotation!$A$2:$J$10,3,FALSE)</f>
        <v>1</v>
      </c>
      <c r="M183" s="14">
        <f>VLOOKUP($C183,Rotation!$A$2:$J$10,4,FALSE)</f>
        <v>1</v>
      </c>
      <c r="N183" s="14">
        <f>VLOOKUP($C183,Rotation!$A$2:$J$10,5,FALSE)</f>
        <v>0</v>
      </c>
      <c r="O183" s="14">
        <f>VLOOKUP($C183,Rotation!$A$2:$J$10,6,FALSE)</f>
        <v>0</v>
      </c>
      <c r="P183" s="14">
        <f>VLOOKUP($C183,Rotation!$A$2:$J$10,7,FALSE)</f>
        <v>0</v>
      </c>
      <c r="Q183" s="14">
        <f>VLOOKUP($C183,Rotation!$A$2:$J$10,8,FALSE)</f>
        <v>0</v>
      </c>
      <c r="R183" s="14">
        <f>VLOOKUP($C183,Rotation!$A$2:$J$10,9,FALSE)</f>
        <v>0</v>
      </c>
      <c r="S183" s="14">
        <f>VLOOKUP($C183,Rotation!$A$2:$J$10,10,FALSE)</f>
        <v>0</v>
      </c>
    </row>
    <row r="184" spans="1:19" ht="18">
      <c r="A184" s="14">
        <v>182</v>
      </c>
      <c r="B184" s="14" t="s">
        <v>64</v>
      </c>
      <c r="C184" s="14" t="str">
        <f>VLOOKUP(B184,Family!B:C,2,FALSE)</f>
        <v>A</v>
      </c>
      <c r="D184" s="15">
        <v>93</v>
      </c>
      <c r="E184" s="14">
        <f>ROUND(VLOOKUP(C184,'Production Plan'!A:B,2,FALSE),2)</f>
        <v>407.17</v>
      </c>
      <c r="F184" s="16">
        <v>45713</v>
      </c>
      <c r="G184" s="17">
        <f>F184+6*7</f>
        <v>45755</v>
      </c>
      <c r="H184" s="14">
        <f>G184-F184</f>
        <v>42</v>
      </c>
      <c r="I184" s="14">
        <f>ROUND(D184/E184,3)</f>
        <v>0.22800000000000001</v>
      </c>
      <c r="J184" s="14">
        <f>I184*24</f>
        <v>5.4720000000000004</v>
      </c>
      <c r="K184" s="14">
        <f>VLOOKUP($C184,Rotation!$A$2:$J$10,2,FALSE)</f>
        <v>1</v>
      </c>
      <c r="L184" s="14">
        <f>VLOOKUP($C184,Rotation!$A$2:$J$10,3,FALSE)</f>
        <v>1</v>
      </c>
      <c r="M184" s="14">
        <f>VLOOKUP($C184,Rotation!$A$2:$J$10,4,FALSE)</f>
        <v>1</v>
      </c>
      <c r="N184" s="14">
        <f>VLOOKUP($C184,Rotation!$A$2:$J$10,5,FALSE)</f>
        <v>0</v>
      </c>
      <c r="O184" s="14">
        <f>VLOOKUP($C184,Rotation!$A$2:$J$10,6,FALSE)</f>
        <v>0</v>
      </c>
      <c r="P184" s="14">
        <f>VLOOKUP($C184,Rotation!$A$2:$J$10,7,FALSE)</f>
        <v>0</v>
      </c>
      <c r="Q184" s="14">
        <f>VLOOKUP($C184,Rotation!$A$2:$J$10,8,FALSE)</f>
        <v>0</v>
      </c>
      <c r="R184" s="14">
        <f>VLOOKUP($C184,Rotation!$A$2:$J$10,9,FALSE)</f>
        <v>0</v>
      </c>
      <c r="S184" s="14">
        <f>VLOOKUP($C184,Rotation!$A$2:$J$10,10,FALSE)</f>
        <v>0</v>
      </c>
    </row>
    <row r="185" spans="1:19" ht="18">
      <c r="A185" s="14">
        <v>183</v>
      </c>
      <c r="B185" s="14" t="s">
        <v>67</v>
      </c>
      <c r="C185" s="14" t="str">
        <f>VLOOKUP(B185,Family!B:C,2,FALSE)</f>
        <v>A</v>
      </c>
      <c r="D185" s="15">
        <v>78</v>
      </c>
      <c r="E185" s="14">
        <f>ROUND(VLOOKUP(C185,'Production Plan'!A:B,2,FALSE),2)</f>
        <v>407.17</v>
      </c>
      <c r="F185" s="16">
        <v>45721</v>
      </c>
      <c r="G185" s="17">
        <f>F185+6*7</f>
        <v>45763</v>
      </c>
      <c r="H185" s="14">
        <f>G185-F185</f>
        <v>42</v>
      </c>
      <c r="I185" s="14">
        <f>ROUND(D185/E185,3)</f>
        <v>0.192</v>
      </c>
      <c r="J185" s="14">
        <f>I185*24</f>
        <v>4.6080000000000005</v>
      </c>
      <c r="K185" s="14">
        <f>VLOOKUP($C185,Rotation!$A$2:$J$10,2,FALSE)</f>
        <v>1</v>
      </c>
      <c r="L185" s="14">
        <f>VLOOKUP($C185,Rotation!$A$2:$J$10,3,FALSE)</f>
        <v>1</v>
      </c>
      <c r="M185" s="14">
        <f>VLOOKUP($C185,Rotation!$A$2:$J$10,4,FALSE)</f>
        <v>1</v>
      </c>
      <c r="N185" s="14">
        <f>VLOOKUP($C185,Rotation!$A$2:$J$10,5,FALSE)</f>
        <v>0</v>
      </c>
      <c r="O185" s="14">
        <f>VLOOKUP($C185,Rotation!$A$2:$J$10,6,FALSE)</f>
        <v>0</v>
      </c>
      <c r="P185" s="14">
        <f>VLOOKUP($C185,Rotation!$A$2:$J$10,7,FALSE)</f>
        <v>0</v>
      </c>
      <c r="Q185" s="14">
        <f>VLOOKUP($C185,Rotation!$A$2:$J$10,8,FALSE)</f>
        <v>0</v>
      </c>
      <c r="R185" s="14">
        <f>VLOOKUP($C185,Rotation!$A$2:$J$10,9,FALSE)</f>
        <v>0</v>
      </c>
      <c r="S185" s="14">
        <f>VLOOKUP($C185,Rotation!$A$2:$J$10,10,FALSE)</f>
        <v>0</v>
      </c>
    </row>
    <row r="186" spans="1:19" ht="18">
      <c r="A186" s="14">
        <v>184</v>
      </c>
      <c r="B186" s="14" t="s">
        <v>77</v>
      </c>
      <c r="C186" s="14" t="str">
        <f>VLOOKUP(B186,Family!B:C,2,FALSE)</f>
        <v>E</v>
      </c>
      <c r="D186" s="15">
        <v>18</v>
      </c>
      <c r="E186" s="14">
        <f>ROUND(VLOOKUP(C186,'Production Plan'!A:B,2,FALSE),2)</f>
        <v>333.66</v>
      </c>
      <c r="F186" s="16">
        <v>45665</v>
      </c>
      <c r="G186" s="17">
        <f>F186+6*7</f>
        <v>45707</v>
      </c>
      <c r="H186" s="14">
        <f>G186-F186</f>
        <v>42</v>
      </c>
      <c r="I186" s="14">
        <f>ROUND(D186/E186,3)</f>
        <v>5.3999999999999999E-2</v>
      </c>
      <c r="J186" s="14">
        <f>I186*24</f>
        <v>1.296</v>
      </c>
      <c r="K186" s="14">
        <f>VLOOKUP($C186,Rotation!$A$2:$J$10,2,FALSE)</f>
        <v>1</v>
      </c>
      <c r="L186" s="14">
        <f>VLOOKUP($C186,Rotation!$A$2:$J$10,3,FALSE)</f>
        <v>0</v>
      </c>
      <c r="M186" s="14">
        <f>VLOOKUP($C186,Rotation!$A$2:$J$10,4,FALSE)</f>
        <v>0</v>
      </c>
      <c r="N186" s="14">
        <f>VLOOKUP($C186,Rotation!$A$2:$J$10,5,FALSE)</f>
        <v>0</v>
      </c>
      <c r="O186" s="14">
        <f>VLOOKUP($C186,Rotation!$A$2:$J$10,6,FALSE)</f>
        <v>0</v>
      </c>
      <c r="P186" s="14">
        <f>VLOOKUP($C186,Rotation!$A$2:$J$10,7,FALSE)</f>
        <v>1</v>
      </c>
      <c r="Q186" s="14">
        <f>VLOOKUP($C186,Rotation!$A$2:$J$10,8,FALSE)</f>
        <v>0</v>
      </c>
      <c r="R186" s="14">
        <f>VLOOKUP($C186,Rotation!$A$2:$J$10,9,FALSE)</f>
        <v>0</v>
      </c>
      <c r="S186" s="14">
        <f>VLOOKUP($C186,Rotation!$A$2:$J$10,10,FALSE)</f>
        <v>0</v>
      </c>
    </row>
    <row r="187" spans="1:19" ht="18">
      <c r="A187" s="14">
        <v>185</v>
      </c>
      <c r="B187" s="14" t="s">
        <v>108</v>
      </c>
      <c r="C187" s="14" t="str">
        <f>VLOOKUP(B187,Family!B:C,2,FALSE)</f>
        <v>P</v>
      </c>
      <c r="D187" s="15">
        <v>108</v>
      </c>
      <c r="E187" s="14">
        <f>ROUND(VLOOKUP(C187,'Production Plan'!A:B,2,FALSE),2)</f>
        <v>409.15</v>
      </c>
      <c r="F187" s="16">
        <v>45709</v>
      </c>
      <c r="G187" s="17">
        <f>F187+6*7</f>
        <v>45751</v>
      </c>
      <c r="H187" s="14">
        <f>G187-F187</f>
        <v>42</v>
      </c>
      <c r="I187" s="14">
        <f>ROUND(D187/E187,3)</f>
        <v>0.26400000000000001</v>
      </c>
      <c r="J187" s="14">
        <f>I187*24</f>
        <v>6.3360000000000003</v>
      </c>
      <c r="K187" s="14">
        <f>VLOOKUP($C187,Rotation!$A$2:$J$10,2,FALSE)</f>
        <v>1</v>
      </c>
      <c r="L187" s="14">
        <f>VLOOKUP($C187,Rotation!$A$2:$J$10,3,FALSE)</f>
        <v>1</v>
      </c>
      <c r="M187" s="14">
        <f>VLOOKUP($C187,Rotation!$A$2:$J$10,4,FALSE)</f>
        <v>0</v>
      </c>
      <c r="N187" s="14">
        <f>VLOOKUP($C187,Rotation!$A$2:$J$10,5,FALSE)</f>
        <v>0</v>
      </c>
      <c r="O187" s="14">
        <f>VLOOKUP($C187,Rotation!$A$2:$J$10,6,FALSE)</f>
        <v>0</v>
      </c>
      <c r="P187" s="14">
        <f>VLOOKUP($C187,Rotation!$A$2:$J$10,7,FALSE)</f>
        <v>0</v>
      </c>
      <c r="Q187" s="14">
        <f>VLOOKUP($C187,Rotation!$A$2:$J$10,8,FALSE)</f>
        <v>0</v>
      </c>
      <c r="R187" s="14">
        <f>VLOOKUP($C187,Rotation!$A$2:$J$10,9,FALSE)</f>
        <v>0</v>
      </c>
      <c r="S187" s="14">
        <f>VLOOKUP($C187,Rotation!$A$2:$J$10,10,FALSE)</f>
        <v>0</v>
      </c>
    </row>
    <row r="188" spans="1:19" ht="18">
      <c r="A188" s="14">
        <v>186</v>
      </c>
      <c r="B188" s="14" t="s">
        <v>108</v>
      </c>
      <c r="C188" s="14" t="str">
        <f>VLOOKUP(B188,Family!B:C,2,FALSE)</f>
        <v>P</v>
      </c>
      <c r="D188" s="15">
        <v>108</v>
      </c>
      <c r="E188" s="14">
        <f>ROUND(VLOOKUP(C188,'Production Plan'!A:B,2,FALSE),2)</f>
        <v>409.15</v>
      </c>
      <c r="F188" s="16">
        <v>45709</v>
      </c>
      <c r="G188" s="17">
        <f>F188+6*7</f>
        <v>45751</v>
      </c>
      <c r="H188" s="14">
        <f>G188-F188</f>
        <v>42</v>
      </c>
      <c r="I188" s="14">
        <f>ROUND(D188/E188,3)</f>
        <v>0.26400000000000001</v>
      </c>
      <c r="J188" s="14">
        <f>I188*24</f>
        <v>6.3360000000000003</v>
      </c>
      <c r="K188" s="14">
        <f>VLOOKUP($C188,Rotation!$A$2:$J$10,2,FALSE)</f>
        <v>1</v>
      </c>
      <c r="L188" s="14">
        <f>VLOOKUP($C188,Rotation!$A$2:$J$10,3,FALSE)</f>
        <v>1</v>
      </c>
      <c r="M188" s="14">
        <f>VLOOKUP($C188,Rotation!$A$2:$J$10,4,FALSE)</f>
        <v>0</v>
      </c>
      <c r="N188" s="14">
        <f>VLOOKUP($C188,Rotation!$A$2:$J$10,5,FALSE)</f>
        <v>0</v>
      </c>
      <c r="O188" s="14">
        <f>VLOOKUP($C188,Rotation!$A$2:$J$10,6,FALSE)</f>
        <v>0</v>
      </c>
      <c r="P188" s="14">
        <f>VLOOKUP($C188,Rotation!$A$2:$J$10,7,FALSE)</f>
        <v>0</v>
      </c>
      <c r="Q188" s="14">
        <f>VLOOKUP($C188,Rotation!$A$2:$J$10,8,FALSE)</f>
        <v>0</v>
      </c>
      <c r="R188" s="14">
        <f>VLOOKUP($C188,Rotation!$A$2:$J$10,9,FALSE)</f>
        <v>0</v>
      </c>
      <c r="S188" s="14">
        <f>VLOOKUP($C188,Rotation!$A$2:$J$10,10,FALSE)</f>
        <v>0</v>
      </c>
    </row>
    <row r="189" spans="1:19" ht="18">
      <c r="A189" s="14">
        <v>187</v>
      </c>
      <c r="B189" s="14" t="s">
        <v>108</v>
      </c>
      <c r="C189" s="14" t="str">
        <f>VLOOKUP(B189,Family!B:C,2,FALSE)</f>
        <v>P</v>
      </c>
      <c r="D189" s="15">
        <v>54</v>
      </c>
      <c r="E189" s="14">
        <f>ROUND(VLOOKUP(C189,'Production Plan'!A:B,2,FALSE),2)</f>
        <v>409.15</v>
      </c>
      <c r="F189" s="16">
        <v>45709</v>
      </c>
      <c r="G189" s="17">
        <f>F189+6*7</f>
        <v>45751</v>
      </c>
      <c r="H189" s="14">
        <f>G189-F189</f>
        <v>42</v>
      </c>
      <c r="I189" s="14">
        <f>ROUND(D189/E189,3)</f>
        <v>0.13200000000000001</v>
      </c>
      <c r="J189" s="14">
        <f>I189*24</f>
        <v>3.1680000000000001</v>
      </c>
      <c r="K189" s="14">
        <f>VLOOKUP($C189,Rotation!$A$2:$J$10,2,FALSE)</f>
        <v>1</v>
      </c>
      <c r="L189" s="14">
        <f>VLOOKUP($C189,Rotation!$A$2:$J$10,3,FALSE)</f>
        <v>1</v>
      </c>
      <c r="M189" s="14">
        <f>VLOOKUP($C189,Rotation!$A$2:$J$10,4,FALSE)</f>
        <v>0</v>
      </c>
      <c r="N189" s="14">
        <f>VLOOKUP($C189,Rotation!$A$2:$J$10,5,FALSE)</f>
        <v>0</v>
      </c>
      <c r="O189" s="14">
        <f>VLOOKUP($C189,Rotation!$A$2:$J$10,6,FALSE)</f>
        <v>0</v>
      </c>
      <c r="P189" s="14">
        <f>VLOOKUP($C189,Rotation!$A$2:$J$10,7,FALSE)</f>
        <v>0</v>
      </c>
      <c r="Q189" s="14">
        <f>VLOOKUP($C189,Rotation!$A$2:$J$10,8,FALSE)</f>
        <v>0</v>
      </c>
      <c r="R189" s="14">
        <f>VLOOKUP($C189,Rotation!$A$2:$J$10,9,FALSE)</f>
        <v>0</v>
      </c>
      <c r="S189" s="14">
        <f>VLOOKUP($C189,Rotation!$A$2:$J$10,10,FALSE)</f>
        <v>0</v>
      </c>
    </row>
    <row r="190" spans="1:19" ht="18">
      <c r="A190" s="14">
        <v>188</v>
      </c>
      <c r="B190" s="14" t="s">
        <v>87</v>
      </c>
      <c r="C190" s="14" t="str">
        <f>VLOOKUP(B190,Family!B:C,2,FALSE)</f>
        <v>E</v>
      </c>
      <c r="D190" s="15">
        <v>18</v>
      </c>
      <c r="E190" s="14">
        <f>ROUND(VLOOKUP(C190,'Production Plan'!A:B,2,FALSE),2)</f>
        <v>333.66</v>
      </c>
      <c r="F190" s="16">
        <v>45714</v>
      </c>
      <c r="G190" s="17">
        <f>F190+6*7</f>
        <v>45756</v>
      </c>
      <c r="H190" s="14">
        <f>G190-F190</f>
        <v>42</v>
      </c>
      <c r="I190" s="14">
        <f>ROUND(D190/E190,3)</f>
        <v>5.3999999999999999E-2</v>
      </c>
      <c r="J190" s="14">
        <f>I190*24</f>
        <v>1.296</v>
      </c>
      <c r="K190" s="14">
        <f>VLOOKUP($C190,Rotation!$A$2:$J$10,2,FALSE)</f>
        <v>1</v>
      </c>
      <c r="L190" s="14">
        <f>VLOOKUP($C190,Rotation!$A$2:$J$10,3,FALSE)</f>
        <v>0</v>
      </c>
      <c r="M190" s="14">
        <f>VLOOKUP($C190,Rotation!$A$2:$J$10,4,FALSE)</f>
        <v>0</v>
      </c>
      <c r="N190" s="14">
        <f>VLOOKUP($C190,Rotation!$A$2:$J$10,5,FALSE)</f>
        <v>0</v>
      </c>
      <c r="O190" s="14">
        <f>VLOOKUP($C190,Rotation!$A$2:$J$10,6,FALSE)</f>
        <v>0</v>
      </c>
      <c r="P190" s="14">
        <f>VLOOKUP($C190,Rotation!$A$2:$J$10,7,FALSE)</f>
        <v>1</v>
      </c>
      <c r="Q190" s="14">
        <f>VLOOKUP($C190,Rotation!$A$2:$J$10,8,FALSE)</f>
        <v>0</v>
      </c>
      <c r="R190" s="14">
        <f>VLOOKUP($C190,Rotation!$A$2:$J$10,9,FALSE)</f>
        <v>0</v>
      </c>
      <c r="S190" s="14">
        <f>VLOOKUP($C190,Rotation!$A$2:$J$10,10,FALSE)</f>
        <v>0</v>
      </c>
    </row>
    <row r="191" spans="1:19" ht="18">
      <c r="A191" s="14">
        <v>189</v>
      </c>
      <c r="B191" s="14" t="s">
        <v>99</v>
      </c>
      <c r="C191" s="14" t="str">
        <f>VLOOKUP(B191,Family!B:C,2,FALSE)</f>
        <v>N</v>
      </c>
      <c r="D191" s="15">
        <v>19</v>
      </c>
      <c r="E191" s="14">
        <f>ROUND(VLOOKUP(C191,'Production Plan'!A:B,2,FALSE),2)</f>
        <v>334.18</v>
      </c>
      <c r="F191" s="16">
        <v>45735</v>
      </c>
      <c r="G191" s="17">
        <f>F191+6*7</f>
        <v>45777</v>
      </c>
      <c r="H191" s="14">
        <f>G191-F191</f>
        <v>42</v>
      </c>
      <c r="I191" s="14">
        <f>ROUND(D191/E191,3)</f>
        <v>5.7000000000000002E-2</v>
      </c>
      <c r="J191" s="14">
        <f>I191*24</f>
        <v>1.3680000000000001</v>
      </c>
      <c r="K191" s="14">
        <f>VLOOKUP($C191,Rotation!$A$2:$J$10,2,FALSE)</f>
        <v>1</v>
      </c>
      <c r="L191" s="14">
        <f>VLOOKUP($C191,Rotation!$A$2:$J$10,3,FALSE)</f>
        <v>0</v>
      </c>
      <c r="M191" s="14">
        <f>VLOOKUP($C191,Rotation!$A$2:$J$10,4,FALSE)</f>
        <v>0</v>
      </c>
      <c r="N191" s="14">
        <f>VLOOKUP($C191,Rotation!$A$2:$J$10,5,FALSE)</f>
        <v>0</v>
      </c>
      <c r="O191" s="14">
        <f>VLOOKUP($C191,Rotation!$A$2:$J$10,6,FALSE)</f>
        <v>0</v>
      </c>
      <c r="P191" s="14">
        <f>VLOOKUP($C191,Rotation!$A$2:$J$10,7,FALSE)</f>
        <v>0</v>
      </c>
      <c r="Q191" s="14">
        <f>VLOOKUP($C191,Rotation!$A$2:$J$10,8,FALSE)</f>
        <v>1</v>
      </c>
      <c r="R191" s="14">
        <f>VLOOKUP($C191,Rotation!$A$2:$J$10,9,FALSE)</f>
        <v>0</v>
      </c>
      <c r="S191" s="14">
        <f>VLOOKUP($C191,Rotation!$A$2:$J$10,10,FALSE)</f>
        <v>0</v>
      </c>
    </row>
    <row r="192" spans="1:19" ht="18">
      <c r="A192" s="14">
        <v>190</v>
      </c>
      <c r="B192" s="14" t="s">
        <v>99</v>
      </c>
      <c r="C192" s="14" t="str">
        <f>VLOOKUP(B192,Family!B:C,2,FALSE)</f>
        <v>N</v>
      </c>
      <c r="D192" s="15">
        <v>19</v>
      </c>
      <c r="E192" s="14">
        <f>ROUND(VLOOKUP(C192,'Production Plan'!A:B,2,FALSE),2)</f>
        <v>334.18</v>
      </c>
      <c r="F192" s="16">
        <v>45735</v>
      </c>
      <c r="G192" s="17">
        <f>F192+6*7</f>
        <v>45777</v>
      </c>
      <c r="H192" s="14">
        <f>G192-F192</f>
        <v>42</v>
      </c>
      <c r="I192" s="14">
        <f>ROUND(D192/E192,3)</f>
        <v>5.7000000000000002E-2</v>
      </c>
      <c r="J192" s="14">
        <f>I192*24</f>
        <v>1.3680000000000001</v>
      </c>
      <c r="K192" s="14">
        <f>VLOOKUP($C192,Rotation!$A$2:$J$10,2,FALSE)</f>
        <v>1</v>
      </c>
      <c r="L192" s="14">
        <f>VLOOKUP($C192,Rotation!$A$2:$J$10,3,FALSE)</f>
        <v>0</v>
      </c>
      <c r="M192" s="14">
        <f>VLOOKUP($C192,Rotation!$A$2:$J$10,4,FALSE)</f>
        <v>0</v>
      </c>
      <c r="N192" s="14">
        <f>VLOOKUP($C192,Rotation!$A$2:$J$10,5,FALSE)</f>
        <v>0</v>
      </c>
      <c r="O192" s="14">
        <f>VLOOKUP($C192,Rotation!$A$2:$J$10,6,FALSE)</f>
        <v>0</v>
      </c>
      <c r="P192" s="14">
        <f>VLOOKUP($C192,Rotation!$A$2:$J$10,7,FALSE)</f>
        <v>0</v>
      </c>
      <c r="Q192" s="14">
        <f>VLOOKUP($C192,Rotation!$A$2:$J$10,8,FALSE)</f>
        <v>1</v>
      </c>
      <c r="R192" s="14">
        <f>VLOOKUP($C192,Rotation!$A$2:$J$10,9,FALSE)</f>
        <v>0</v>
      </c>
      <c r="S192" s="14">
        <f>VLOOKUP($C192,Rotation!$A$2:$J$10,10,FALSE)</f>
        <v>0</v>
      </c>
    </row>
    <row r="193" spans="1:19" ht="18">
      <c r="A193" s="14">
        <v>191</v>
      </c>
      <c r="B193" s="14" t="s">
        <v>99</v>
      </c>
      <c r="C193" s="14" t="str">
        <f>VLOOKUP(B193,Family!B:C,2,FALSE)</f>
        <v>N</v>
      </c>
      <c r="D193" s="15">
        <v>19</v>
      </c>
      <c r="E193" s="14">
        <f>ROUND(VLOOKUP(C193,'Production Plan'!A:B,2,FALSE),2)</f>
        <v>334.18</v>
      </c>
      <c r="F193" s="16">
        <v>45735</v>
      </c>
      <c r="G193" s="17">
        <f>F193+6*7</f>
        <v>45777</v>
      </c>
      <c r="H193" s="14">
        <f>G193-F193</f>
        <v>42</v>
      </c>
      <c r="I193" s="14">
        <f>ROUND(D193/E193,3)</f>
        <v>5.7000000000000002E-2</v>
      </c>
      <c r="J193" s="14">
        <f>I193*24</f>
        <v>1.3680000000000001</v>
      </c>
      <c r="K193" s="14">
        <f>VLOOKUP($C193,Rotation!$A$2:$J$10,2,FALSE)</f>
        <v>1</v>
      </c>
      <c r="L193" s="14">
        <f>VLOOKUP($C193,Rotation!$A$2:$J$10,3,FALSE)</f>
        <v>0</v>
      </c>
      <c r="M193" s="14">
        <f>VLOOKUP($C193,Rotation!$A$2:$J$10,4,FALSE)</f>
        <v>0</v>
      </c>
      <c r="N193" s="14">
        <f>VLOOKUP($C193,Rotation!$A$2:$J$10,5,FALSE)</f>
        <v>0</v>
      </c>
      <c r="O193" s="14">
        <f>VLOOKUP($C193,Rotation!$A$2:$J$10,6,FALSE)</f>
        <v>0</v>
      </c>
      <c r="P193" s="14">
        <f>VLOOKUP($C193,Rotation!$A$2:$J$10,7,FALSE)</f>
        <v>0</v>
      </c>
      <c r="Q193" s="14">
        <f>VLOOKUP($C193,Rotation!$A$2:$J$10,8,FALSE)</f>
        <v>1</v>
      </c>
      <c r="R193" s="14">
        <f>VLOOKUP($C193,Rotation!$A$2:$J$10,9,FALSE)</f>
        <v>0</v>
      </c>
      <c r="S193" s="14">
        <f>VLOOKUP($C193,Rotation!$A$2:$J$10,10,FALSE)</f>
        <v>0</v>
      </c>
    </row>
    <row r="194" spans="1:19" ht="18">
      <c r="A194" s="14">
        <v>192</v>
      </c>
      <c r="B194" s="14" t="s">
        <v>99</v>
      </c>
      <c r="C194" s="14" t="str">
        <f>VLOOKUP(B194,Family!B:C,2,FALSE)</f>
        <v>N</v>
      </c>
      <c r="D194" s="15">
        <v>19</v>
      </c>
      <c r="E194" s="14">
        <f>ROUND(VLOOKUP(C194,'Production Plan'!A:B,2,FALSE),2)</f>
        <v>334.18</v>
      </c>
      <c r="F194" s="16">
        <v>45735</v>
      </c>
      <c r="G194" s="17">
        <f>F194+6*7</f>
        <v>45777</v>
      </c>
      <c r="H194" s="14">
        <f>G194-F194</f>
        <v>42</v>
      </c>
      <c r="I194" s="14">
        <f>ROUND(D194/E194,3)</f>
        <v>5.7000000000000002E-2</v>
      </c>
      <c r="J194" s="14">
        <f>I194*24</f>
        <v>1.3680000000000001</v>
      </c>
      <c r="K194" s="14">
        <f>VLOOKUP($C194,Rotation!$A$2:$J$10,2,FALSE)</f>
        <v>1</v>
      </c>
      <c r="L194" s="14">
        <f>VLOOKUP($C194,Rotation!$A$2:$J$10,3,FALSE)</f>
        <v>0</v>
      </c>
      <c r="M194" s="14">
        <f>VLOOKUP($C194,Rotation!$A$2:$J$10,4,FALSE)</f>
        <v>0</v>
      </c>
      <c r="N194" s="14">
        <f>VLOOKUP($C194,Rotation!$A$2:$J$10,5,FALSE)</f>
        <v>0</v>
      </c>
      <c r="O194" s="14">
        <f>VLOOKUP($C194,Rotation!$A$2:$J$10,6,FALSE)</f>
        <v>0</v>
      </c>
      <c r="P194" s="14">
        <f>VLOOKUP($C194,Rotation!$A$2:$J$10,7,FALSE)</f>
        <v>0</v>
      </c>
      <c r="Q194" s="14">
        <f>VLOOKUP($C194,Rotation!$A$2:$J$10,8,FALSE)</f>
        <v>1</v>
      </c>
      <c r="R194" s="14">
        <f>VLOOKUP($C194,Rotation!$A$2:$J$10,9,FALSE)</f>
        <v>0</v>
      </c>
      <c r="S194" s="14">
        <f>VLOOKUP($C194,Rotation!$A$2:$J$10,10,FALSE)</f>
        <v>0</v>
      </c>
    </row>
    <row r="195" spans="1:19" ht="18">
      <c r="A195" s="14">
        <v>193</v>
      </c>
      <c r="B195" s="14" t="s">
        <v>99</v>
      </c>
      <c r="C195" s="14" t="str">
        <f>VLOOKUP(B195,Family!B:C,2,FALSE)</f>
        <v>N</v>
      </c>
      <c r="D195" s="15">
        <v>19</v>
      </c>
      <c r="E195" s="14">
        <f>ROUND(VLOOKUP(C195,'Production Plan'!A:B,2,FALSE),2)</f>
        <v>334.18</v>
      </c>
      <c r="F195" s="16">
        <v>45735</v>
      </c>
      <c r="G195" s="17">
        <f>F195+6*7</f>
        <v>45777</v>
      </c>
      <c r="H195" s="14">
        <f>G195-F195</f>
        <v>42</v>
      </c>
      <c r="I195" s="14">
        <f>ROUND(D195/E195,3)</f>
        <v>5.7000000000000002E-2</v>
      </c>
      <c r="J195" s="14">
        <f>I195*24</f>
        <v>1.3680000000000001</v>
      </c>
      <c r="K195" s="14">
        <f>VLOOKUP($C195,Rotation!$A$2:$J$10,2,FALSE)</f>
        <v>1</v>
      </c>
      <c r="L195" s="14">
        <f>VLOOKUP($C195,Rotation!$A$2:$J$10,3,FALSE)</f>
        <v>0</v>
      </c>
      <c r="M195" s="14">
        <f>VLOOKUP($C195,Rotation!$A$2:$J$10,4,FALSE)</f>
        <v>0</v>
      </c>
      <c r="N195" s="14">
        <f>VLOOKUP($C195,Rotation!$A$2:$J$10,5,FALSE)</f>
        <v>0</v>
      </c>
      <c r="O195" s="14">
        <f>VLOOKUP($C195,Rotation!$A$2:$J$10,6,FALSE)</f>
        <v>0</v>
      </c>
      <c r="P195" s="14">
        <f>VLOOKUP($C195,Rotation!$A$2:$J$10,7,FALSE)</f>
        <v>0</v>
      </c>
      <c r="Q195" s="14">
        <f>VLOOKUP($C195,Rotation!$A$2:$J$10,8,FALSE)</f>
        <v>1</v>
      </c>
      <c r="R195" s="14">
        <f>VLOOKUP($C195,Rotation!$A$2:$J$10,9,FALSE)</f>
        <v>0</v>
      </c>
      <c r="S195" s="14">
        <f>VLOOKUP($C195,Rotation!$A$2:$J$10,10,FALSE)</f>
        <v>0</v>
      </c>
    </row>
    <row r="196" spans="1:19" ht="18">
      <c r="A196" s="14">
        <v>194</v>
      </c>
      <c r="B196" s="14" t="s">
        <v>99</v>
      </c>
      <c r="C196" s="14" t="str">
        <f>VLOOKUP(B196,Family!B:C,2,FALSE)</f>
        <v>N</v>
      </c>
      <c r="D196" s="15">
        <v>19</v>
      </c>
      <c r="E196" s="14">
        <f>ROUND(VLOOKUP(C196,'Production Plan'!A:B,2,FALSE),2)</f>
        <v>334.18</v>
      </c>
      <c r="F196" s="16">
        <v>45735</v>
      </c>
      <c r="G196" s="17">
        <f>F196+6*7</f>
        <v>45777</v>
      </c>
      <c r="H196" s="14">
        <f>G196-F196</f>
        <v>42</v>
      </c>
      <c r="I196" s="14">
        <f>ROUND(D196/E196,3)</f>
        <v>5.7000000000000002E-2</v>
      </c>
      <c r="J196" s="14">
        <f>I196*24</f>
        <v>1.3680000000000001</v>
      </c>
      <c r="K196" s="14">
        <f>VLOOKUP($C196,Rotation!$A$2:$J$10,2,FALSE)</f>
        <v>1</v>
      </c>
      <c r="L196" s="14">
        <f>VLOOKUP($C196,Rotation!$A$2:$J$10,3,FALSE)</f>
        <v>0</v>
      </c>
      <c r="M196" s="14">
        <f>VLOOKUP($C196,Rotation!$A$2:$J$10,4,FALSE)</f>
        <v>0</v>
      </c>
      <c r="N196" s="14">
        <f>VLOOKUP($C196,Rotation!$A$2:$J$10,5,FALSE)</f>
        <v>0</v>
      </c>
      <c r="O196" s="14">
        <f>VLOOKUP($C196,Rotation!$A$2:$J$10,6,FALSE)</f>
        <v>0</v>
      </c>
      <c r="P196" s="14">
        <f>VLOOKUP($C196,Rotation!$A$2:$J$10,7,FALSE)</f>
        <v>0</v>
      </c>
      <c r="Q196" s="14">
        <f>VLOOKUP($C196,Rotation!$A$2:$J$10,8,FALSE)</f>
        <v>1</v>
      </c>
      <c r="R196" s="14">
        <f>VLOOKUP($C196,Rotation!$A$2:$J$10,9,FALSE)</f>
        <v>0</v>
      </c>
      <c r="S196" s="14">
        <f>VLOOKUP($C196,Rotation!$A$2:$J$10,10,FALSE)</f>
        <v>0</v>
      </c>
    </row>
    <row r="197" spans="1:19" ht="18">
      <c r="A197" s="14">
        <v>195</v>
      </c>
      <c r="B197" s="14" t="s">
        <v>99</v>
      </c>
      <c r="C197" s="14" t="str">
        <f>VLOOKUP(B197,Family!B:C,2,FALSE)</f>
        <v>N</v>
      </c>
      <c r="D197" s="15">
        <v>19</v>
      </c>
      <c r="E197" s="14">
        <f>ROUND(VLOOKUP(C197,'Production Plan'!A:B,2,FALSE),2)</f>
        <v>334.18</v>
      </c>
      <c r="F197" s="16">
        <v>45735</v>
      </c>
      <c r="G197" s="17">
        <f>F197+6*7</f>
        <v>45777</v>
      </c>
      <c r="H197" s="14">
        <f>G197-F197</f>
        <v>42</v>
      </c>
      <c r="I197" s="14">
        <f>ROUND(D197/E197,3)</f>
        <v>5.7000000000000002E-2</v>
      </c>
      <c r="J197" s="14">
        <f>I197*24</f>
        <v>1.3680000000000001</v>
      </c>
      <c r="K197" s="14">
        <f>VLOOKUP($C197,Rotation!$A$2:$J$10,2,FALSE)</f>
        <v>1</v>
      </c>
      <c r="L197" s="14">
        <f>VLOOKUP($C197,Rotation!$A$2:$J$10,3,FALSE)</f>
        <v>0</v>
      </c>
      <c r="M197" s="14">
        <f>VLOOKUP($C197,Rotation!$A$2:$J$10,4,FALSE)</f>
        <v>0</v>
      </c>
      <c r="N197" s="14">
        <f>VLOOKUP($C197,Rotation!$A$2:$J$10,5,FALSE)</f>
        <v>0</v>
      </c>
      <c r="O197" s="14">
        <f>VLOOKUP($C197,Rotation!$A$2:$J$10,6,FALSE)</f>
        <v>0</v>
      </c>
      <c r="P197" s="14">
        <f>VLOOKUP($C197,Rotation!$A$2:$J$10,7,FALSE)</f>
        <v>0</v>
      </c>
      <c r="Q197" s="14">
        <f>VLOOKUP($C197,Rotation!$A$2:$J$10,8,FALSE)</f>
        <v>1</v>
      </c>
      <c r="R197" s="14">
        <f>VLOOKUP($C197,Rotation!$A$2:$J$10,9,FALSE)</f>
        <v>0</v>
      </c>
      <c r="S197" s="14">
        <f>VLOOKUP($C197,Rotation!$A$2:$J$10,10,FALSE)</f>
        <v>0</v>
      </c>
    </row>
    <row r="198" spans="1:19" ht="18">
      <c r="A198" s="14">
        <v>196</v>
      </c>
      <c r="B198" s="14" t="s">
        <v>99</v>
      </c>
      <c r="C198" s="14" t="str">
        <f>VLOOKUP(B198,Family!B:C,2,FALSE)</f>
        <v>N</v>
      </c>
      <c r="D198" s="15">
        <v>19</v>
      </c>
      <c r="E198" s="14">
        <f>ROUND(VLOOKUP(C198,'Production Plan'!A:B,2,FALSE),2)</f>
        <v>334.18</v>
      </c>
      <c r="F198" s="16">
        <v>45735</v>
      </c>
      <c r="G198" s="17">
        <f>F198+6*7</f>
        <v>45777</v>
      </c>
      <c r="H198" s="14">
        <f>G198-F198</f>
        <v>42</v>
      </c>
      <c r="I198" s="14">
        <f>ROUND(D198/E198,3)</f>
        <v>5.7000000000000002E-2</v>
      </c>
      <c r="J198" s="14">
        <f>I198*24</f>
        <v>1.3680000000000001</v>
      </c>
      <c r="K198" s="14">
        <f>VLOOKUP($C198,Rotation!$A$2:$J$10,2,FALSE)</f>
        <v>1</v>
      </c>
      <c r="L198" s="14">
        <f>VLOOKUP($C198,Rotation!$A$2:$J$10,3,FALSE)</f>
        <v>0</v>
      </c>
      <c r="M198" s="14">
        <f>VLOOKUP($C198,Rotation!$A$2:$J$10,4,FALSE)</f>
        <v>0</v>
      </c>
      <c r="N198" s="14">
        <f>VLOOKUP($C198,Rotation!$A$2:$J$10,5,FALSE)</f>
        <v>0</v>
      </c>
      <c r="O198" s="14">
        <f>VLOOKUP($C198,Rotation!$A$2:$J$10,6,FALSE)</f>
        <v>0</v>
      </c>
      <c r="P198" s="14">
        <f>VLOOKUP($C198,Rotation!$A$2:$J$10,7,FALSE)</f>
        <v>0</v>
      </c>
      <c r="Q198" s="14">
        <f>VLOOKUP($C198,Rotation!$A$2:$J$10,8,FALSE)</f>
        <v>1</v>
      </c>
      <c r="R198" s="14">
        <f>VLOOKUP($C198,Rotation!$A$2:$J$10,9,FALSE)</f>
        <v>0</v>
      </c>
      <c r="S198" s="14">
        <f>VLOOKUP($C198,Rotation!$A$2:$J$10,10,FALSE)</f>
        <v>0</v>
      </c>
    </row>
    <row r="199" spans="1:19" ht="18">
      <c r="A199" s="14">
        <v>197</v>
      </c>
      <c r="B199" s="14" t="s">
        <v>68</v>
      </c>
      <c r="C199" s="14" t="str">
        <f>VLOOKUP(B199,Family!B:C,2,FALSE)</f>
        <v>A</v>
      </c>
      <c r="D199" s="15">
        <v>312</v>
      </c>
      <c r="E199" s="14">
        <f>ROUND(VLOOKUP(C199,'Production Plan'!A:B,2,FALSE),2)</f>
        <v>407.17</v>
      </c>
      <c r="F199" s="16">
        <v>45681</v>
      </c>
      <c r="G199" s="17">
        <f>F199+6*7</f>
        <v>45723</v>
      </c>
      <c r="H199" s="14">
        <f>G199-F199</f>
        <v>42</v>
      </c>
      <c r="I199" s="14">
        <f>ROUND(D199/E199,3)</f>
        <v>0.76600000000000001</v>
      </c>
      <c r="J199" s="14">
        <f>I199*24</f>
        <v>18.384</v>
      </c>
      <c r="K199" s="14">
        <f>VLOOKUP($C199,Rotation!$A$2:$J$10,2,FALSE)</f>
        <v>1</v>
      </c>
      <c r="L199" s="14">
        <f>VLOOKUP($C199,Rotation!$A$2:$J$10,3,FALSE)</f>
        <v>1</v>
      </c>
      <c r="M199" s="14">
        <f>VLOOKUP($C199,Rotation!$A$2:$J$10,4,FALSE)</f>
        <v>1</v>
      </c>
      <c r="N199" s="14">
        <f>VLOOKUP($C199,Rotation!$A$2:$J$10,5,FALSE)</f>
        <v>0</v>
      </c>
      <c r="O199" s="14">
        <f>VLOOKUP($C199,Rotation!$A$2:$J$10,6,FALSE)</f>
        <v>0</v>
      </c>
      <c r="P199" s="14">
        <f>VLOOKUP($C199,Rotation!$A$2:$J$10,7,FALSE)</f>
        <v>0</v>
      </c>
      <c r="Q199" s="14">
        <f>VLOOKUP($C199,Rotation!$A$2:$J$10,8,FALSE)</f>
        <v>0</v>
      </c>
      <c r="R199" s="14">
        <f>VLOOKUP($C199,Rotation!$A$2:$J$10,9,FALSE)</f>
        <v>0</v>
      </c>
      <c r="S199" s="14">
        <f>VLOOKUP($C199,Rotation!$A$2:$J$10,10,FALSE)</f>
        <v>0</v>
      </c>
    </row>
    <row r="200" spans="1:19" ht="18">
      <c r="A200" s="14">
        <v>198</v>
      </c>
      <c r="B200" s="14" t="s">
        <v>66</v>
      </c>
      <c r="C200" s="14" t="str">
        <f>VLOOKUP(B200,Family!B:C,2,FALSE)</f>
        <v>A</v>
      </c>
      <c r="D200" s="15">
        <v>108</v>
      </c>
      <c r="E200" s="14">
        <f>ROUND(VLOOKUP(C200,'Production Plan'!A:B,2,FALSE),2)</f>
        <v>407.17</v>
      </c>
      <c r="F200" s="16">
        <v>45709</v>
      </c>
      <c r="G200" s="17">
        <f>F200+6*7</f>
        <v>45751</v>
      </c>
      <c r="H200" s="14">
        <f>G200-F200</f>
        <v>42</v>
      </c>
      <c r="I200" s="14">
        <f>ROUND(D200/E200,3)</f>
        <v>0.26500000000000001</v>
      </c>
      <c r="J200" s="14">
        <f>I200*24</f>
        <v>6.36</v>
      </c>
      <c r="K200" s="14">
        <f>VLOOKUP($C200,Rotation!$A$2:$J$10,2,FALSE)</f>
        <v>1</v>
      </c>
      <c r="L200" s="14">
        <f>VLOOKUP($C200,Rotation!$A$2:$J$10,3,FALSE)</f>
        <v>1</v>
      </c>
      <c r="M200" s="14">
        <f>VLOOKUP($C200,Rotation!$A$2:$J$10,4,FALSE)</f>
        <v>1</v>
      </c>
      <c r="N200" s="14">
        <f>VLOOKUP($C200,Rotation!$A$2:$J$10,5,FALSE)</f>
        <v>0</v>
      </c>
      <c r="O200" s="14">
        <f>VLOOKUP($C200,Rotation!$A$2:$J$10,6,FALSE)</f>
        <v>0</v>
      </c>
      <c r="P200" s="14">
        <f>VLOOKUP($C200,Rotation!$A$2:$J$10,7,FALSE)</f>
        <v>0</v>
      </c>
      <c r="Q200" s="14">
        <f>VLOOKUP($C200,Rotation!$A$2:$J$10,8,FALSE)</f>
        <v>0</v>
      </c>
      <c r="R200" s="14">
        <f>VLOOKUP($C200,Rotation!$A$2:$J$10,9,FALSE)</f>
        <v>0</v>
      </c>
      <c r="S200" s="14">
        <f>VLOOKUP($C200,Rotation!$A$2:$J$10,10,FALSE)</f>
        <v>0</v>
      </c>
    </row>
    <row r="201" spans="1:19" ht="18">
      <c r="A201" s="14">
        <v>199</v>
      </c>
      <c r="B201" s="14" t="s">
        <v>66</v>
      </c>
      <c r="C201" s="14" t="str">
        <f>VLOOKUP(B201,Family!B:C,2,FALSE)</f>
        <v>A</v>
      </c>
      <c r="D201" s="15">
        <v>108</v>
      </c>
      <c r="E201" s="14">
        <f>ROUND(VLOOKUP(C201,'Production Plan'!A:B,2,FALSE),2)</f>
        <v>407.17</v>
      </c>
      <c r="F201" s="16">
        <v>45709</v>
      </c>
      <c r="G201" s="17">
        <f>F201+6*7</f>
        <v>45751</v>
      </c>
      <c r="H201" s="14">
        <f>G201-F201</f>
        <v>42</v>
      </c>
      <c r="I201" s="14">
        <f>ROUND(D201/E201,3)</f>
        <v>0.26500000000000001</v>
      </c>
      <c r="J201" s="14">
        <f>I201*24</f>
        <v>6.36</v>
      </c>
      <c r="K201" s="14">
        <f>VLOOKUP($C201,Rotation!$A$2:$J$10,2,FALSE)</f>
        <v>1</v>
      </c>
      <c r="L201" s="14">
        <f>VLOOKUP($C201,Rotation!$A$2:$J$10,3,FALSE)</f>
        <v>1</v>
      </c>
      <c r="M201" s="14">
        <f>VLOOKUP($C201,Rotation!$A$2:$J$10,4,FALSE)</f>
        <v>1</v>
      </c>
      <c r="N201" s="14">
        <f>VLOOKUP($C201,Rotation!$A$2:$J$10,5,FALSE)</f>
        <v>0</v>
      </c>
      <c r="O201" s="14">
        <f>VLOOKUP($C201,Rotation!$A$2:$J$10,6,FALSE)</f>
        <v>0</v>
      </c>
      <c r="P201" s="14">
        <f>VLOOKUP($C201,Rotation!$A$2:$J$10,7,FALSE)</f>
        <v>0</v>
      </c>
      <c r="Q201" s="14">
        <f>VLOOKUP($C201,Rotation!$A$2:$J$10,8,FALSE)</f>
        <v>0</v>
      </c>
      <c r="R201" s="14">
        <f>VLOOKUP($C201,Rotation!$A$2:$J$10,9,FALSE)</f>
        <v>0</v>
      </c>
      <c r="S201" s="14">
        <f>VLOOKUP($C201,Rotation!$A$2:$J$10,10,FALSE)</f>
        <v>0</v>
      </c>
    </row>
    <row r="202" spans="1:19" ht="18">
      <c r="A202" s="14">
        <v>200</v>
      </c>
      <c r="B202" s="14" t="s">
        <v>65</v>
      </c>
      <c r="C202" s="14" t="str">
        <f>VLOOKUP(B202,Family!B:C,2,FALSE)</f>
        <v>A</v>
      </c>
      <c r="D202" s="15">
        <v>38</v>
      </c>
      <c r="E202" s="14">
        <f>ROUND(VLOOKUP(C202,'Production Plan'!A:B,2,FALSE),2)</f>
        <v>407.17</v>
      </c>
      <c r="F202" s="16">
        <v>45686</v>
      </c>
      <c r="G202" s="17">
        <f>F202+6*7</f>
        <v>45728</v>
      </c>
      <c r="H202" s="14">
        <f>G202-F202</f>
        <v>42</v>
      </c>
      <c r="I202" s="14">
        <f>ROUND(D202/E202,3)</f>
        <v>9.2999999999999999E-2</v>
      </c>
      <c r="J202" s="14">
        <f>I202*24</f>
        <v>2.2320000000000002</v>
      </c>
      <c r="K202" s="14">
        <f>VLOOKUP($C202,Rotation!$A$2:$J$10,2,FALSE)</f>
        <v>1</v>
      </c>
      <c r="L202" s="14">
        <f>VLOOKUP($C202,Rotation!$A$2:$J$10,3,FALSE)</f>
        <v>1</v>
      </c>
      <c r="M202" s="14">
        <f>VLOOKUP($C202,Rotation!$A$2:$J$10,4,FALSE)</f>
        <v>1</v>
      </c>
      <c r="N202" s="14">
        <f>VLOOKUP($C202,Rotation!$A$2:$J$10,5,FALSE)</f>
        <v>0</v>
      </c>
      <c r="O202" s="14">
        <f>VLOOKUP($C202,Rotation!$A$2:$J$10,6,FALSE)</f>
        <v>0</v>
      </c>
      <c r="P202" s="14">
        <f>VLOOKUP($C202,Rotation!$A$2:$J$10,7,FALSE)</f>
        <v>0</v>
      </c>
      <c r="Q202" s="14">
        <f>VLOOKUP($C202,Rotation!$A$2:$J$10,8,FALSE)</f>
        <v>0</v>
      </c>
      <c r="R202" s="14">
        <f>VLOOKUP($C202,Rotation!$A$2:$J$10,9,FALSE)</f>
        <v>0</v>
      </c>
      <c r="S202" s="14">
        <f>VLOOKUP($C202,Rotation!$A$2:$J$10,10,FALSE)</f>
        <v>0</v>
      </c>
    </row>
    <row r="203" spans="1:19" ht="18">
      <c r="A203" s="14">
        <v>201</v>
      </c>
      <c r="B203" s="14" t="s">
        <v>66</v>
      </c>
      <c r="C203" s="14" t="str">
        <f>VLOOKUP(B203,Family!B:C,2,FALSE)</f>
        <v>A</v>
      </c>
      <c r="D203" s="15">
        <v>108</v>
      </c>
      <c r="E203" s="14">
        <f>ROUND(VLOOKUP(C203,'Production Plan'!A:B,2,FALSE),2)</f>
        <v>407.17</v>
      </c>
      <c r="F203" s="16">
        <v>45709</v>
      </c>
      <c r="G203" s="17">
        <f>F203+6*7</f>
        <v>45751</v>
      </c>
      <c r="H203" s="14">
        <f>G203-F203</f>
        <v>42</v>
      </c>
      <c r="I203" s="14">
        <f>ROUND(D203/E203,3)</f>
        <v>0.26500000000000001</v>
      </c>
      <c r="J203" s="14">
        <f>I203*24</f>
        <v>6.36</v>
      </c>
      <c r="K203" s="14">
        <f>VLOOKUP($C203,Rotation!$A$2:$J$10,2,FALSE)</f>
        <v>1</v>
      </c>
      <c r="L203" s="14">
        <f>VLOOKUP($C203,Rotation!$A$2:$J$10,3,FALSE)</f>
        <v>1</v>
      </c>
      <c r="M203" s="14">
        <f>VLOOKUP($C203,Rotation!$A$2:$J$10,4,FALSE)</f>
        <v>1</v>
      </c>
      <c r="N203" s="14">
        <f>VLOOKUP($C203,Rotation!$A$2:$J$10,5,FALSE)</f>
        <v>0</v>
      </c>
      <c r="O203" s="14">
        <f>VLOOKUP($C203,Rotation!$A$2:$J$10,6,FALSE)</f>
        <v>0</v>
      </c>
      <c r="P203" s="14">
        <f>VLOOKUP($C203,Rotation!$A$2:$J$10,7,FALSE)</f>
        <v>0</v>
      </c>
      <c r="Q203" s="14">
        <f>VLOOKUP($C203,Rotation!$A$2:$J$10,8,FALSE)</f>
        <v>0</v>
      </c>
      <c r="R203" s="14">
        <f>VLOOKUP($C203,Rotation!$A$2:$J$10,9,FALSE)</f>
        <v>0</v>
      </c>
      <c r="S203" s="14">
        <f>VLOOKUP($C203,Rotation!$A$2:$J$10,10,FALSE)</f>
        <v>0</v>
      </c>
    </row>
    <row r="204" spans="1:19" ht="18">
      <c r="A204" s="14">
        <v>202</v>
      </c>
      <c r="B204" s="14" t="s">
        <v>66</v>
      </c>
      <c r="C204" s="14" t="str">
        <f>VLOOKUP(B204,Family!B:C,2,FALSE)</f>
        <v>A</v>
      </c>
      <c r="D204" s="15">
        <v>54</v>
      </c>
      <c r="E204" s="14">
        <f>ROUND(VLOOKUP(C204,'Production Plan'!A:B,2,FALSE),2)</f>
        <v>407.17</v>
      </c>
      <c r="F204" s="16">
        <v>45709</v>
      </c>
      <c r="G204" s="17">
        <f>F204+6*7</f>
        <v>45751</v>
      </c>
      <c r="H204" s="14">
        <f>G204-F204</f>
        <v>42</v>
      </c>
      <c r="I204" s="14">
        <f>ROUND(D204/E204,3)</f>
        <v>0.13300000000000001</v>
      </c>
      <c r="J204" s="14">
        <f>I204*24</f>
        <v>3.1920000000000002</v>
      </c>
      <c r="K204" s="14">
        <f>VLOOKUP($C204,Rotation!$A$2:$J$10,2,FALSE)</f>
        <v>1</v>
      </c>
      <c r="L204" s="14">
        <f>VLOOKUP($C204,Rotation!$A$2:$J$10,3,FALSE)</f>
        <v>1</v>
      </c>
      <c r="M204" s="14">
        <f>VLOOKUP($C204,Rotation!$A$2:$J$10,4,FALSE)</f>
        <v>1</v>
      </c>
      <c r="N204" s="14">
        <f>VLOOKUP($C204,Rotation!$A$2:$J$10,5,FALSE)</f>
        <v>0</v>
      </c>
      <c r="O204" s="14">
        <f>VLOOKUP($C204,Rotation!$A$2:$J$10,6,FALSE)</f>
        <v>0</v>
      </c>
      <c r="P204" s="14">
        <f>VLOOKUP($C204,Rotation!$A$2:$J$10,7,FALSE)</f>
        <v>0</v>
      </c>
      <c r="Q204" s="14">
        <f>VLOOKUP($C204,Rotation!$A$2:$J$10,8,FALSE)</f>
        <v>0</v>
      </c>
      <c r="R204" s="14">
        <f>VLOOKUP($C204,Rotation!$A$2:$J$10,9,FALSE)</f>
        <v>0</v>
      </c>
      <c r="S204" s="14">
        <f>VLOOKUP($C204,Rotation!$A$2:$J$10,10,FALSE)</f>
        <v>0</v>
      </c>
    </row>
    <row r="205" spans="1:19" ht="18">
      <c r="A205" s="14">
        <v>203</v>
      </c>
      <c r="B205" s="14" t="s">
        <v>66</v>
      </c>
      <c r="C205" s="14" t="str">
        <f>VLOOKUP(B205,Family!B:C,2,FALSE)</f>
        <v>A</v>
      </c>
      <c r="D205" s="15">
        <v>108</v>
      </c>
      <c r="E205" s="14">
        <f>ROUND(VLOOKUP(C205,'Production Plan'!A:B,2,FALSE),2)</f>
        <v>407.17</v>
      </c>
      <c r="F205" s="16">
        <v>45709</v>
      </c>
      <c r="G205" s="17">
        <f>F205+6*7</f>
        <v>45751</v>
      </c>
      <c r="H205" s="14">
        <f>G205-F205</f>
        <v>42</v>
      </c>
      <c r="I205" s="14">
        <f>ROUND(D205/E205,3)</f>
        <v>0.26500000000000001</v>
      </c>
      <c r="J205" s="14">
        <f>I205*24</f>
        <v>6.36</v>
      </c>
      <c r="K205" s="14">
        <f>VLOOKUP($C205,Rotation!$A$2:$J$10,2,FALSE)</f>
        <v>1</v>
      </c>
      <c r="L205" s="14">
        <f>VLOOKUP($C205,Rotation!$A$2:$J$10,3,FALSE)</f>
        <v>1</v>
      </c>
      <c r="M205" s="14">
        <f>VLOOKUP($C205,Rotation!$A$2:$J$10,4,FALSE)</f>
        <v>1</v>
      </c>
      <c r="N205" s="14">
        <f>VLOOKUP($C205,Rotation!$A$2:$J$10,5,FALSE)</f>
        <v>0</v>
      </c>
      <c r="O205" s="14">
        <f>VLOOKUP($C205,Rotation!$A$2:$J$10,6,FALSE)</f>
        <v>0</v>
      </c>
      <c r="P205" s="14">
        <f>VLOOKUP($C205,Rotation!$A$2:$J$10,7,FALSE)</f>
        <v>0</v>
      </c>
      <c r="Q205" s="14">
        <f>VLOOKUP($C205,Rotation!$A$2:$J$10,8,FALSE)</f>
        <v>0</v>
      </c>
      <c r="R205" s="14">
        <f>VLOOKUP($C205,Rotation!$A$2:$J$10,9,FALSE)</f>
        <v>0</v>
      </c>
      <c r="S205" s="14">
        <f>VLOOKUP($C205,Rotation!$A$2:$J$10,10,FALSE)</f>
        <v>0</v>
      </c>
    </row>
    <row r="206" spans="1:19" ht="18">
      <c r="A206" s="14">
        <v>204</v>
      </c>
      <c r="B206" s="14" t="s">
        <v>66</v>
      </c>
      <c r="C206" s="14" t="str">
        <f>VLOOKUP(B206,Family!B:C,2,FALSE)</f>
        <v>A</v>
      </c>
      <c r="D206" s="15">
        <v>54</v>
      </c>
      <c r="E206" s="14">
        <f>ROUND(VLOOKUP(C206,'Production Plan'!A:B,2,FALSE),2)</f>
        <v>407.17</v>
      </c>
      <c r="F206" s="16">
        <v>45709</v>
      </c>
      <c r="G206" s="17">
        <f>F206+6*7</f>
        <v>45751</v>
      </c>
      <c r="H206" s="14">
        <f>G206-F206</f>
        <v>42</v>
      </c>
      <c r="I206" s="14">
        <f>ROUND(D206/E206,3)</f>
        <v>0.13300000000000001</v>
      </c>
      <c r="J206" s="14">
        <f>I206*24</f>
        <v>3.1920000000000002</v>
      </c>
      <c r="K206" s="14">
        <f>VLOOKUP($C206,Rotation!$A$2:$J$10,2,FALSE)</f>
        <v>1</v>
      </c>
      <c r="L206" s="14">
        <f>VLOOKUP($C206,Rotation!$A$2:$J$10,3,FALSE)</f>
        <v>1</v>
      </c>
      <c r="M206" s="14">
        <f>VLOOKUP($C206,Rotation!$A$2:$J$10,4,FALSE)</f>
        <v>1</v>
      </c>
      <c r="N206" s="14">
        <f>VLOOKUP($C206,Rotation!$A$2:$J$10,5,FALSE)</f>
        <v>0</v>
      </c>
      <c r="O206" s="14">
        <f>VLOOKUP($C206,Rotation!$A$2:$J$10,6,FALSE)</f>
        <v>0</v>
      </c>
      <c r="P206" s="14">
        <f>VLOOKUP($C206,Rotation!$A$2:$J$10,7,FALSE)</f>
        <v>0</v>
      </c>
      <c r="Q206" s="14">
        <f>VLOOKUP($C206,Rotation!$A$2:$J$10,8,FALSE)</f>
        <v>0</v>
      </c>
      <c r="R206" s="14">
        <f>VLOOKUP($C206,Rotation!$A$2:$J$10,9,FALSE)</f>
        <v>0</v>
      </c>
      <c r="S206" s="14">
        <f>VLOOKUP($C206,Rotation!$A$2:$J$10,10,FALSE)</f>
        <v>0</v>
      </c>
    </row>
    <row r="207" spans="1:19" ht="18">
      <c r="A207" s="14">
        <v>205</v>
      </c>
      <c r="B207" s="14" t="s">
        <v>78</v>
      </c>
      <c r="C207" s="14" t="str">
        <f>VLOOKUP(B207,Family!B:C,2,FALSE)</f>
        <v>C</v>
      </c>
      <c r="D207" s="15">
        <v>92</v>
      </c>
      <c r="E207" s="14">
        <f>ROUND(VLOOKUP(C207,'Production Plan'!A:B,2,FALSE),2)</f>
        <v>411.11</v>
      </c>
      <c r="F207" s="16">
        <v>45686</v>
      </c>
      <c r="G207" s="17">
        <f>F207+6*7</f>
        <v>45728</v>
      </c>
      <c r="H207" s="14">
        <f>G207-F207</f>
        <v>42</v>
      </c>
      <c r="I207" s="14">
        <f>ROUND(D207/E207,3)</f>
        <v>0.224</v>
      </c>
      <c r="J207" s="14">
        <f>I207*24</f>
        <v>5.3760000000000003</v>
      </c>
      <c r="K207" s="14">
        <f>VLOOKUP($C207,Rotation!$A$2:$J$10,2,FALSE)</f>
        <v>1</v>
      </c>
      <c r="L207" s="14">
        <f>VLOOKUP($C207,Rotation!$A$2:$J$10,3,FALSE)</f>
        <v>0</v>
      </c>
      <c r="M207" s="14">
        <f>VLOOKUP($C207,Rotation!$A$2:$J$10,4,FALSE)</f>
        <v>0</v>
      </c>
      <c r="N207" s="14">
        <f>VLOOKUP($C207,Rotation!$A$2:$J$10,5,FALSE)</f>
        <v>0</v>
      </c>
      <c r="O207" s="14">
        <f>VLOOKUP($C207,Rotation!$A$2:$J$10,6,FALSE)</f>
        <v>1</v>
      </c>
      <c r="P207" s="14">
        <f>VLOOKUP($C207,Rotation!$A$2:$J$10,7,FALSE)</f>
        <v>0</v>
      </c>
      <c r="Q207" s="14">
        <f>VLOOKUP($C207,Rotation!$A$2:$J$10,8,FALSE)</f>
        <v>0</v>
      </c>
      <c r="R207" s="14">
        <f>VLOOKUP($C207,Rotation!$A$2:$J$10,9,FALSE)</f>
        <v>0</v>
      </c>
      <c r="S207" s="14">
        <f>VLOOKUP($C207,Rotation!$A$2:$J$10,10,FALSE)</f>
        <v>0</v>
      </c>
    </row>
    <row r="208" spans="1:19" ht="18">
      <c r="A208" s="14">
        <v>206</v>
      </c>
      <c r="B208" s="14" t="s">
        <v>99</v>
      </c>
      <c r="C208" s="14" t="str">
        <f>VLOOKUP(B208,Family!B:C,2,FALSE)</f>
        <v>N</v>
      </c>
      <c r="D208" s="15">
        <v>310</v>
      </c>
      <c r="E208" s="14">
        <f>ROUND(VLOOKUP(C208,'Production Plan'!A:B,2,FALSE),2)</f>
        <v>334.18</v>
      </c>
      <c r="F208" s="16">
        <v>45706</v>
      </c>
      <c r="G208" s="17">
        <f>F208+6*7</f>
        <v>45748</v>
      </c>
      <c r="H208" s="14">
        <f>G208-F208</f>
        <v>42</v>
      </c>
      <c r="I208" s="14">
        <f>ROUND(D208/E208,3)</f>
        <v>0.92800000000000005</v>
      </c>
      <c r="J208" s="14">
        <f>I208*24</f>
        <v>22.272000000000002</v>
      </c>
      <c r="K208" s="14">
        <f>VLOOKUP($C208,Rotation!$A$2:$J$10,2,FALSE)</f>
        <v>1</v>
      </c>
      <c r="L208" s="14">
        <f>VLOOKUP($C208,Rotation!$A$2:$J$10,3,FALSE)</f>
        <v>0</v>
      </c>
      <c r="M208" s="14">
        <f>VLOOKUP($C208,Rotation!$A$2:$J$10,4,FALSE)</f>
        <v>0</v>
      </c>
      <c r="N208" s="14">
        <f>VLOOKUP($C208,Rotation!$A$2:$J$10,5,FALSE)</f>
        <v>0</v>
      </c>
      <c r="O208" s="14">
        <f>VLOOKUP($C208,Rotation!$A$2:$J$10,6,FALSE)</f>
        <v>0</v>
      </c>
      <c r="P208" s="14">
        <f>VLOOKUP($C208,Rotation!$A$2:$J$10,7,FALSE)</f>
        <v>0</v>
      </c>
      <c r="Q208" s="14">
        <f>VLOOKUP($C208,Rotation!$A$2:$J$10,8,FALSE)</f>
        <v>1</v>
      </c>
      <c r="R208" s="14">
        <f>VLOOKUP($C208,Rotation!$A$2:$J$10,9,FALSE)</f>
        <v>0</v>
      </c>
      <c r="S208" s="14">
        <f>VLOOKUP($C208,Rotation!$A$2:$J$10,10,FALSE)</f>
        <v>0</v>
      </c>
    </row>
    <row r="209" spans="1:19" ht="18">
      <c r="A209" s="14">
        <v>207</v>
      </c>
      <c r="B209" s="14" t="s">
        <v>98</v>
      </c>
      <c r="C209" s="14" t="str">
        <f>VLOOKUP(B209,Family!B:C,2,FALSE)</f>
        <v>H</v>
      </c>
      <c r="D209" s="15">
        <v>19</v>
      </c>
      <c r="E209" s="14">
        <f>ROUND(VLOOKUP(C209,'Production Plan'!A:B,2,FALSE),2)</f>
        <v>402.02</v>
      </c>
      <c r="F209" s="16">
        <v>45669</v>
      </c>
      <c r="G209" s="17">
        <f>F209+6*7</f>
        <v>45711</v>
      </c>
      <c r="H209" s="14">
        <f>G209-F209</f>
        <v>42</v>
      </c>
      <c r="I209" s="14">
        <f>ROUND(D209/E209,3)</f>
        <v>4.7E-2</v>
      </c>
      <c r="J209" s="14">
        <f>I209*24</f>
        <v>1.1280000000000001</v>
      </c>
      <c r="K209" s="14">
        <f>VLOOKUP($C209,Rotation!$A$2:$J$10,2,FALSE)</f>
        <v>0</v>
      </c>
      <c r="L209" s="14">
        <f>VLOOKUP($C209,Rotation!$A$2:$J$10,3,FALSE)</f>
        <v>0</v>
      </c>
      <c r="M209" s="14">
        <f>VLOOKUP($C209,Rotation!$A$2:$J$10,4,FALSE)</f>
        <v>1</v>
      </c>
      <c r="N209" s="14">
        <f>VLOOKUP($C209,Rotation!$A$2:$J$10,5,FALSE)</f>
        <v>1</v>
      </c>
      <c r="O209" s="14">
        <f>VLOOKUP($C209,Rotation!$A$2:$J$10,6,FALSE)</f>
        <v>0</v>
      </c>
      <c r="P209" s="14">
        <f>VLOOKUP($C209,Rotation!$A$2:$J$10,7,FALSE)</f>
        <v>0</v>
      </c>
      <c r="Q209" s="14">
        <f>VLOOKUP($C209,Rotation!$A$2:$J$10,8,FALSE)</f>
        <v>0</v>
      </c>
      <c r="R209" s="14">
        <f>VLOOKUP($C209,Rotation!$A$2:$J$10,9,FALSE)</f>
        <v>0</v>
      </c>
      <c r="S209" s="14">
        <f>VLOOKUP($C209,Rotation!$A$2:$J$10,10,FALSE)</f>
        <v>0</v>
      </c>
    </row>
    <row r="210" spans="1:19" ht="18">
      <c r="A210" s="14">
        <v>208</v>
      </c>
      <c r="B210" s="14" t="s">
        <v>106</v>
      </c>
      <c r="C210" s="14" t="str">
        <f>VLOOKUP(B210,Family!B:C,2,FALSE)</f>
        <v>P</v>
      </c>
      <c r="D210" s="15">
        <v>19</v>
      </c>
      <c r="E210" s="14">
        <f>ROUND(VLOOKUP(C210,'Production Plan'!A:B,2,FALSE),2)</f>
        <v>409.15</v>
      </c>
      <c r="F210" s="16">
        <v>45669</v>
      </c>
      <c r="G210" s="17">
        <f>F210+6*7</f>
        <v>45711</v>
      </c>
      <c r="H210" s="14">
        <f>G210-F210</f>
        <v>42</v>
      </c>
      <c r="I210" s="14">
        <f>ROUND(D210/E210,3)</f>
        <v>4.5999999999999999E-2</v>
      </c>
      <c r="J210" s="14">
        <f>I210*24</f>
        <v>1.1040000000000001</v>
      </c>
      <c r="K210" s="14">
        <f>VLOOKUP($C210,Rotation!$A$2:$J$10,2,FALSE)</f>
        <v>1</v>
      </c>
      <c r="L210" s="14">
        <f>VLOOKUP($C210,Rotation!$A$2:$J$10,3,FALSE)</f>
        <v>1</v>
      </c>
      <c r="M210" s="14">
        <f>VLOOKUP($C210,Rotation!$A$2:$J$10,4,FALSE)</f>
        <v>0</v>
      </c>
      <c r="N210" s="14">
        <f>VLOOKUP($C210,Rotation!$A$2:$J$10,5,FALSE)</f>
        <v>0</v>
      </c>
      <c r="O210" s="14">
        <f>VLOOKUP($C210,Rotation!$A$2:$J$10,6,FALSE)</f>
        <v>0</v>
      </c>
      <c r="P210" s="14">
        <f>VLOOKUP($C210,Rotation!$A$2:$J$10,7,FALSE)</f>
        <v>0</v>
      </c>
      <c r="Q210" s="14">
        <f>VLOOKUP($C210,Rotation!$A$2:$J$10,8,FALSE)</f>
        <v>0</v>
      </c>
      <c r="R210" s="14">
        <f>VLOOKUP($C210,Rotation!$A$2:$J$10,9,FALSE)</f>
        <v>0</v>
      </c>
      <c r="S210" s="14">
        <f>VLOOKUP($C210,Rotation!$A$2:$J$10,10,FALSE)</f>
        <v>0</v>
      </c>
    </row>
    <row r="211" spans="1:19" ht="18">
      <c r="A211" s="14">
        <v>209</v>
      </c>
      <c r="B211" s="14" t="s">
        <v>106</v>
      </c>
      <c r="C211" s="14" t="str">
        <f>VLOOKUP(B211,Family!B:C,2,FALSE)</f>
        <v>P</v>
      </c>
      <c r="D211" s="15">
        <v>19</v>
      </c>
      <c r="E211" s="14">
        <f>ROUND(VLOOKUP(C211,'Production Plan'!A:B,2,FALSE),2)</f>
        <v>409.15</v>
      </c>
      <c r="F211" s="16">
        <v>45669</v>
      </c>
      <c r="G211" s="17">
        <f>F211+6*7</f>
        <v>45711</v>
      </c>
      <c r="H211" s="14">
        <f>G211-F211</f>
        <v>42</v>
      </c>
      <c r="I211" s="14">
        <f>ROUND(D211/E211,3)</f>
        <v>4.5999999999999999E-2</v>
      </c>
      <c r="J211" s="14">
        <f>I211*24</f>
        <v>1.1040000000000001</v>
      </c>
      <c r="K211" s="14">
        <f>VLOOKUP($C211,Rotation!$A$2:$J$10,2,FALSE)</f>
        <v>1</v>
      </c>
      <c r="L211" s="14">
        <f>VLOOKUP($C211,Rotation!$A$2:$J$10,3,FALSE)</f>
        <v>1</v>
      </c>
      <c r="M211" s="14">
        <f>VLOOKUP($C211,Rotation!$A$2:$J$10,4,FALSE)</f>
        <v>0</v>
      </c>
      <c r="N211" s="14">
        <f>VLOOKUP($C211,Rotation!$A$2:$J$10,5,FALSE)</f>
        <v>0</v>
      </c>
      <c r="O211" s="14">
        <f>VLOOKUP($C211,Rotation!$A$2:$J$10,6,FALSE)</f>
        <v>0</v>
      </c>
      <c r="P211" s="14">
        <f>VLOOKUP($C211,Rotation!$A$2:$J$10,7,FALSE)</f>
        <v>0</v>
      </c>
      <c r="Q211" s="14">
        <f>VLOOKUP($C211,Rotation!$A$2:$J$10,8,FALSE)</f>
        <v>0</v>
      </c>
      <c r="R211" s="14">
        <f>VLOOKUP($C211,Rotation!$A$2:$J$10,9,FALSE)</f>
        <v>0</v>
      </c>
      <c r="S211" s="14">
        <f>VLOOKUP($C211,Rotation!$A$2:$J$10,10,FALSE)</f>
        <v>0</v>
      </c>
    </row>
    <row r="212" spans="1:19" ht="18">
      <c r="A212" s="14">
        <v>210</v>
      </c>
      <c r="B212" s="14" t="s">
        <v>106</v>
      </c>
      <c r="C212" s="14" t="str">
        <f>VLOOKUP(B212,Family!B:C,2,FALSE)</f>
        <v>P</v>
      </c>
      <c r="D212" s="15">
        <v>19</v>
      </c>
      <c r="E212" s="14">
        <f>ROUND(VLOOKUP(C212,'Production Plan'!A:B,2,FALSE),2)</f>
        <v>409.15</v>
      </c>
      <c r="F212" s="16">
        <v>45669</v>
      </c>
      <c r="G212" s="17">
        <f>F212+6*7</f>
        <v>45711</v>
      </c>
      <c r="H212" s="14">
        <f>G212-F212</f>
        <v>42</v>
      </c>
      <c r="I212" s="14">
        <f>ROUND(D212/E212,3)</f>
        <v>4.5999999999999999E-2</v>
      </c>
      <c r="J212" s="14">
        <f>I212*24</f>
        <v>1.1040000000000001</v>
      </c>
      <c r="K212" s="14">
        <f>VLOOKUP($C212,Rotation!$A$2:$J$10,2,FALSE)</f>
        <v>1</v>
      </c>
      <c r="L212" s="14">
        <f>VLOOKUP($C212,Rotation!$A$2:$J$10,3,FALSE)</f>
        <v>1</v>
      </c>
      <c r="M212" s="14">
        <f>VLOOKUP($C212,Rotation!$A$2:$J$10,4,FALSE)</f>
        <v>0</v>
      </c>
      <c r="N212" s="14">
        <f>VLOOKUP($C212,Rotation!$A$2:$J$10,5,FALSE)</f>
        <v>0</v>
      </c>
      <c r="O212" s="14">
        <f>VLOOKUP($C212,Rotation!$A$2:$J$10,6,FALSE)</f>
        <v>0</v>
      </c>
      <c r="P212" s="14">
        <f>VLOOKUP($C212,Rotation!$A$2:$J$10,7,FALSE)</f>
        <v>0</v>
      </c>
      <c r="Q212" s="14">
        <f>VLOOKUP($C212,Rotation!$A$2:$J$10,8,FALSE)</f>
        <v>0</v>
      </c>
      <c r="R212" s="14">
        <f>VLOOKUP($C212,Rotation!$A$2:$J$10,9,FALSE)</f>
        <v>0</v>
      </c>
      <c r="S212" s="14">
        <f>VLOOKUP($C212,Rotation!$A$2:$J$10,10,FALSE)</f>
        <v>0</v>
      </c>
    </row>
    <row r="213" spans="1:19" ht="18">
      <c r="A213" s="14">
        <v>211</v>
      </c>
      <c r="B213" s="14" t="s">
        <v>65</v>
      </c>
      <c r="C213" s="14" t="str">
        <f>VLOOKUP(B213,Family!B:C,2,FALSE)</f>
        <v>A</v>
      </c>
      <c r="D213" s="15">
        <v>38</v>
      </c>
      <c r="E213" s="14">
        <f>ROUND(VLOOKUP(C213,'Production Plan'!A:B,2,FALSE),2)</f>
        <v>407.17</v>
      </c>
      <c r="F213" s="16">
        <v>45686</v>
      </c>
      <c r="G213" s="17">
        <f>F213+6*7</f>
        <v>45728</v>
      </c>
      <c r="H213" s="14">
        <f>G213-F213</f>
        <v>42</v>
      </c>
      <c r="I213" s="14">
        <f>ROUND(D213/E213,3)</f>
        <v>9.2999999999999999E-2</v>
      </c>
      <c r="J213" s="14">
        <f>I213*24</f>
        <v>2.2320000000000002</v>
      </c>
      <c r="K213" s="14">
        <f>VLOOKUP($C213,Rotation!$A$2:$J$10,2,FALSE)</f>
        <v>1</v>
      </c>
      <c r="L213" s="14">
        <f>VLOOKUP($C213,Rotation!$A$2:$J$10,3,FALSE)</f>
        <v>1</v>
      </c>
      <c r="M213" s="14">
        <f>VLOOKUP($C213,Rotation!$A$2:$J$10,4,FALSE)</f>
        <v>1</v>
      </c>
      <c r="N213" s="14">
        <f>VLOOKUP($C213,Rotation!$A$2:$J$10,5,FALSE)</f>
        <v>0</v>
      </c>
      <c r="O213" s="14">
        <f>VLOOKUP($C213,Rotation!$A$2:$J$10,6,FALSE)</f>
        <v>0</v>
      </c>
      <c r="P213" s="14">
        <f>VLOOKUP($C213,Rotation!$A$2:$J$10,7,FALSE)</f>
        <v>0</v>
      </c>
      <c r="Q213" s="14">
        <f>VLOOKUP($C213,Rotation!$A$2:$J$10,8,FALSE)</f>
        <v>0</v>
      </c>
      <c r="R213" s="14">
        <f>VLOOKUP($C213,Rotation!$A$2:$J$10,9,FALSE)</f>
        <v>0</v>
      </c>
      <c r="S213" s="14">
        <f>VLOOKUP($C213,Rotation!$A$2:$J$10,10,FALSE)</f>
        <v>0</v>
      </c>
    </row>
    <row r="214" spans="1:19" ht="18">
      <c r="A214" s="14">
        <v>212</v>
      </c>
      <c r="B214" s="14" t="s">
        <v>100</v>
      </c>
      <c r="C214" s="14" t="str">
        <f>VLOOKUP(B214,Family!B:C,2,FALSE)</f>
        <v>H</v>
      </c>
      <c r="D214" s="15">
        <v>23</v>
      </c>
      <c r="E214" s="14">
        <f>ROUND(VLOOKUP(C214,'Production Plan'!A:B,2,FALSE),2)</f>
        <v>402.02</v>
      </c>
      <c r="F214" s="16">
        <v>45690</v>
      </c>
      <c r="G214" s="17">
        <f>F214+6*7</f>
        <v>45732</v>
      </c>
      <c r="H214" s="14">
        <f>G214-F214</f>
        <v>42</v>
      </c>
      <c r="I214" s="14">
        <f>ROUND(D214/E214,3)</f>
        <v>5.7000000000000002E-2</v>
      </c>
      <c r="J214" s="14">
        <f>I214*24</f>
        <v>1.3680000000000001</v>
      </c>
      <c r="K214" s="14">
        <f>VLOOKUP($C214,Rotation!$A$2:$J$10,2,FALSE)</f>
        <v>0</v>
      </c>
      <c r="L214" s="14">
        <f>VLOOKUP($C214,Rotation!$A$2:$J$10,3,FALSE)</f>
        <v>0</v>
      </c>
      <c r="M214" s="14">
        <f>VLOOKUP($C214,Rotation!$A$2:$J$10,4,FALSE)</f>
        <v>1</v>
      </c>
      <c r="N214" s="14">
        <f>VLOOKUP($C214,Rotation!$A$2:$J$10,5,FALSE)</f>
        <v>1</v>
      </c>
      <c r="O214" s="14">
        <f>VLOOKUP($C214,Rotation!$A$2:$J$10,6,FALSE)</f>
        <v>0</v>
      </c>
      <c r="P214" s="14">
        <f>VLOOKUP($C214,Rotation!$A$2:$J$10,7,FALSE)</f>
        <v>0</v>
      </c>
      <c r="Q214" s="14">
        <f>VLOOKUP($C214,Rotation!$A$2:$J$10,8,FALSE)</f>
        <v>0</v>
      </c>
      <c r="R214" s="14">
        <f>VLOOKUP($C214,Rotation!$A$2:$J$10,9,FALSE)</f>
        <v>0</v>
      </c>
      <c r="S214" s="14">
        <f>VLOOKUP($C214,Rotation!$A$2:$J$10,10,FALSE)</f>
        <v>0</v>
      </c>
    </row>
    <row r="215" spans="1:19" ht="18">
      <c r="A215" s="14">
        <v>213</v>
      </c>
      <c r="B215" s="14" t="s">
        <v>67</v>
      </c>
      <c r="C215" s="14" t="str">
        <f>VLOOKUP(B215,Family!B:C,2,FALSE)</f>
        <v>A</v>
      </c>
      <c r="D215" s="15">
        <v>78</v>
      </c>
      <c r="E215" s="14">
        <f>ROUND(VLOOKUP(C215,'Production Plan'!A:B,2,FALSE),2)</f>
        <v>407.17</v>
      </c>
      <c r="F215" s="16">
        <v>45721</v>
      </c>
      <c r="G215" s="17">
        <f>F215+6*7</f>
        <v>45763</v>
      </c>
      <c r="H215" s="14">
        <f>G215-F215</f>
        <v>42</v>
      </c>
      <c r="I215" s="14">
        <f>ROUND(D215/E215,3)</f>
        <v>0.192</v>
      </c>
      <c r="J215" s="14">
        <f>I215*24</f>
        <v>4.6080000000000005</v>
      </c>
      <c r="K215" s="14">
        <f>VLOOKUP($C215,Rotation!$A$2:$J$10,2,FALSE)</f>
        <v>1</v>
      </c>
      <c r="L215" s="14">
        <f>VLOOKUP($C215,Rotation!$A$2:$J$10,3,FALSE)</f>
        <v>1</v>
      </c>
      <c r="M215" s="14">
        <f>VLOOKUP($C215,Rotation!$A$2:$J$10,4,FALSE)</f>
        <v>1</v>
      </c>
      <c r="N215" s="14">
        <f>VLOOKUP($C215,Rotation!$A$2:$J$10,5,FALSE)</f>
        <v>0</v>
      </c>
      <c r="O215" s="14">
        <f>VLOOKUP($C215,Rotation!$A$2:$J$10,6,FALSE)</f>
        <v>0</v>
      </c>
      <c r="P215" s="14">
        <f>VLOOKUP($C215,Rotation!$A$2:$J$10,7,FALSE)</f>
        <v>0</v>
      </c>
      <c r="Q215" s="14">
        <f>VLOOKUP($C215,Rotation!$A$2:$J$10,8,FALSE)</f>
        <v>0</v>
      </c>
      <c r="R215" s="14">
        <f>VLOOKUP($C215,Rotation!$A$2:$J$10,9,FALSE)</f>
        <v>0</v>
      </c>
      <c r="S215" s="14">
        <f>VLOOKUP($C215,Rotation!$A$2:$J$10,10,FALSE)</f>
        <v>0</v>
      </c>
    </row>
    <row r="216" spans="1:19" ht="18">
      <c r="A216" s="14">
        <v>214</v>
      </c>
      <c r="B216" s="14" t="s">
        <v>67</v>
      </c>
      <c r="C216" s="14" t="str">
        <f>VLOOKUP(B216,Family!B:C,2,FALSE)</f>
        <v>A</v>
      </c>
      <c r="D216" s="15">
        <v>78</v>
      </c>
      <c r="E216" s="14">
        <f>ROUND(VLOOKUP(C216,'Production Plan'!A:B,2,FALSE),2)</f>
        <v>407.17</v>
      </c>
      <c r="F216" s="16">
        <v>45721</v>
      </c>
      <c r="G216" s="17">
        <f>F216+6*7</f>
        <v>45763</v>
      </c>
      <c r="H216" s="14">
        <f>G216-F216</f>
        <v>42</v>
      </c>
      <c r="I216" s="14">
        <f>ROUND(D216/E216,3)</f>
        <v>0.192</v>
      </c>
      <c r="J216" s="14">
        <f>I216*24</f>
        <v>4.6080000000000005</v>
      </c>
      <c r="K216" s="14">
        <f>VLOOKUP($C216,Rotation!$A$2:$J$10,2,FALSE)</f>
        <v>1</v>
      </c>
      <c r="L216" s="14">
        <f>VLOOKUP($C216,Rotation!$A$2:$J$10,3,FALSE)</f>
        <v>1</v>
      </c>
      <c r="M216" s="14">
        <f>VLOOKUP($C216,Rotation!$A$2:$J$10,4,FALSE)</f>
        <v>1</v>
      </c>
      <c r="N216" s="14">
        <f>VLOOKUP($C216,Rotation!$A$2:$J$10,5,FALSE)</f>
        <v>0</v>
      </c>
      <c r="O216" s="14">
        <f>VLOOKUP($C216,Rotation!$A$2:$J$10,6,FALSE)</f>
        <v>0</v>
      </c>
      <c r="P216" s="14">
        <f>VLOOKUP($C216,Rotation!$A$2:$J$10,7,FALSE)</f>
        <v>0</v>
      </c>
      <c r="Q216" s="14">
        <f>VLOOKUP($C216,Rotation!$A$2:$J$10,8,FALSE)</f>
        <v>0</v>
      </c>
      <c r="R216" s="14">
        <f>VLOOKUP($C216,Rotation!$A$2:$J$10,9,FALSE)</f>
        <v>0</v>
      </c>
      <c r="S216" s="14">
        <f>VLOOKUP($C216,Rotation!$A$2:$J$10,10,FALSE)</f>
        <v>0</v>
      </c>
    </row>
    <row r="217" spans="1:19" ht="18">
      <c r="A217" s="14">
        <v>215</v>
      </c>
      <c r="B217" s="14" t="s">
        <v>106</v>
      </c>
      <c r="C217" s="14" t="str">
        <f>VLOOKUP(B217,Family!B:C,2,FALSE)</f>
        <v>P</v>
      </c>
      <c r="D217" s="15">
        <v>18.45</v>
      </c>
      <c r="E217" s="14">
        <f>ROUND(VLOOKUP(C217,'Production Plan'!A:B,2,FALSE),2)</f>
        <v>409.15</v>
      </c>
      <c r="F217" s="16">
        <v>45736</v>
      </c>
      <c r="G217" s="17">
        <f>F217+6*7</f>
        <v>45778</v>
      </c>
      <c r="H217" s="14">
        <f>G217-F217</f>
        <v>42</v>
      </c>
      <c r="I217" s="14">
        <f>ROUND(D217/E217,3)</f>
        <v>4.4999999999999998E-2</v>
      </c>
      <c r="J217" s="14">
        <f>I217*24</f>
        <v>1.08</v>
      </c>
      <c r="K217" s="14">
        <f>VLOOKUP($C217,Rotation!$A$2:$J$10,2,FALSE)</f>
        <v>1</v>
      </c>
      <c r="L217" s="14">
        <f>VLOOKUP($C217,Rotation!$A$2:$J$10,3,FALSE)</f>
        <v>1</v>
      </c>
      <c r="M217" s="14">
        <f>VLOOKUP($C217,Rotation!$A$2:$J$10,4,FALSE)</f>
        <v>0</v>
      </c>
      <c r="N217" s="14">
        <f>VLOOKUP($C217,Rotation!$A$2:$J$10,5,FALSE)</f>
        <v>0</v>
      </c>
      <c r="O217" s="14">
        <f>VLOOKUP($C217,Rotation!$A$2:$J$10,6,FALSE)</f>
        <v>0</v>
      </c>
      <c r="P217" s="14">
        <f>VLOOKUP($C217,Rotation!$A$2:$J$10,7,FALSE)</f>
        <v>0</v>
      </c>
      <c r="Q217" s="14">
        <f>VLOOKUP($C217,Rotation!$A$2:$J$10,8,FALSE)</f>
        <v>0</v>
      </c>
      <c r="R217" s="14">
        <f>VLOOKUP($C217,Rotation!$A$2:$J$10,9,FALSE)</f>
        <v>0</v>
      </c>
      <c r="S217" s="14">
        <f>VLOOKUP($C217,Rotation!$A$2:$J$10,10,FALSE)</f>
        <v>0</v>
      </c>
    </row>
    <row r="218" spans="1:19" ht="18">
      <c r="A218" s="14">
        <v>216</v>
      </c>
      <c r="B218" s="14" t="s">
        <v>106</v>
      </c>
      <c r="C218" s="14" t="str">
        <f>VLOOKUP(B218,Family!B:C,2,FALSE)</f>
        <v>P</v>
      </c>
      <c r="D218" s="15">
        <v>18.481999999999999</v>
      </c>
      <c r="E218" s="14">
        <f>ROUND(VLOOKUP(C218,'Production Plan'!A:B,2,FALSE),2)</f>
        <v>409.15</v>
      </c>
      <c r="F218" s="16">
        <v>45736</v>
      </c>
      <c r="G218" s="17">
        <f>F218+6*7</f>
        <v>45778</v>
      </c>
      <c r="H218" s="14">
        <f>G218-F218</f>
        <v>42</v>
      </c>
      <c r="I218" s="14">
        <f>ROUND(D218/E218,3)</f>
        <v>4.4999999999999998E-2</v>
      </c>
      <c r="J218" s="14">
        <f>I218*24</f>
        <v>1.08</v>
      </c>
      <c r="K218" s="14">
        <f>VLOOKUP($C218,Rotation!$A$2:$J$10,2,FALSE)</f>
        <v>1</v>
      </c>
      <c r="L218" s="14">
        <f>VLOOKUP($C218,Rotation!$A$2:$J$10,3,FALSE)</f>
        <v>1</v>
      </c>
      <c r="M218" s="14">
        <f>VLOOKUP($C218,Rotation!$A$2:$J$10,4,FALSE)</f>
        <v>0</v>
      </c>
      <c r="N218" s="14">
        <f>VLOOKUP($C218,Rotation!$A$2:$J$10,5,FALSE)</f>
        <v>0</v>
      </c>
      <c r="O218" s="14">
        <f>VLOOKUP($C218,Rotation!$A$2:$J$10,6,FALSE)</f>
        <v>0</v>
      </c>
      <c r="P218" s="14">
        <f>VLOOKUP($C218,Rotation!$A$2:$J$10,7,FALSE)</f>
        <v>0</v>
      </c>
      <c r="Q218" s="14">
        <f>VLOOKUP($C218,Rotation!$A$2:$J$10,8,FALSE)</f>
        <v>0</v>
      </c>
      <c r="R218" s="14">
        <f>VLOOKUP($C218,Rotation!$A$2:$J$10,9,FALSE)</f>
        <v>0</v>
      </c>
      <c r="S218" s="14">
        <f>VLOOKUP($C218,Rotation!$A$2:$J$10,10,FALSE)</f>
        <v>0</v>
      </c>
    </row>
    <row r="219" spans="1:19" ht="18">
      <c r="A219" s="14">
        <v>217</v>
      </c>
      <c r="B219" s="14" t="s">
        <v>98</v>
      </c>
      <c r="C219" s="14" t="str">
        <f>VLOOKUP(B219,Family!B:C,2,FALSE)</f>
        <v>H</v>
      </c>
      <c r="D219" s="15">
        <v>19</v>
      </c>
      <c r="E219" s="14">
        <f>ROUND(VLOOKUP(C219,'Production Plan'!A:B,2,FALSE),2)</f>
        <v>402.02</v>
      </c>
      <c r="F219" s="16">
        <v>45669</v>
      </c>
      <c r="G219" s="17">
        <f>F219+6*7</f>
        <v>45711</v>
      </c>
      <c r="H219" s="14">
        <f>G219-F219</f>
        <v>42</v>
      </c>
      <c r="I219" s="14">
        <f>ROUND(D219/E219,3)</f>
        <v>4.7E-2</v>
      </c>
      <c r="J219" s="14">
        <f>I219*24</f>
        <v>1.1280000000000001</v>
      </c>
      <c r="K219" s="14">
        <f>VLOOKUP($C219,Rotation!$A$2:$J$10,2,FALSE)</f>
        <v>0</v>
      </c>
      <c r="L219" s="14">
        <f>VLOOKUP($C219,Rotation!$A$2:$J$10,3,FALSE)</f>
        <v>0</v>
      </c>
      <c r="M219" s="14">
        <f>VLOOKUP($C219,Rotation!$A$2:$J$10,4,FALSE)</f>
        <v>1</v>
      </c>
      <c r="N219" s="14">
        <f>VLOOKUP($C219,Rotation!$A$2:$J$10,5,FALSE)</f>
        <v>1</v>
      </c>
      <c r="O219" s="14">
        <f>VLOOKUP($C219,Rotation!$A$2:$J$10,6,FALSE)</f>
        <v>0</v>
      </c>
      <c r="P219" s="14">
        <f>VLOOKUP($C219,Rotation!$A$2:$J$10,7,FALSE)</f>
        <v>0</v>
      </c>
      <c r="Q219" s="14">
        <f>VLOOKUP($C219,Rotation!$A$2:$J$10,8,FALSE)</f>
        <v>0</v>
      </c>
      <c r="R219" s="14">
        <f>VLOOKUP($C219,Rotation!$A$2:$J$10,9,FALSE)</f>
        <v>0</v>
      </c>
      <c r="S219" s="14">
        <f>VLOOKUP($C219,Rotation!$A$2:$J$10,10,FALSE)</f>
        <v>0</v>
      </c>
    </row>
    <row r="220" spans="1:19" ht="18">
      <c r="A220" s="14">
        <v>218</v>
      </c>
      <c r="B220" s="14" t="s">
        <v>106</v>
      </c>
      <c r="C220" s="14" t="str">
        <f>VLOOKUP(B220,Family!B:C,2,FALSE)</f>
        <v>P</v>
      </c>
      <c r="D220" s="15">
        <v>19</v>
      </c>
      <c r="E220" s="14">
        <f>ROUND(VLOOKUP(C220,'Production Plan'!A:B,2,FALSE),2)</f>
        <v>409.15</v>
      </c>
      <c r="F220" s="16">
        <v>45669</v>
      </c>
      <c r="G220" s="17">
        <f>F220+6*7</f>
        <v>45711</v>
      </c>
      <c r="H220" s="14">
        <f>G220-F220</f>
        <v>42</v>
      </c>
      <c r="I220" s="14">
        <f>ROUND(D220/E220,3)</f>
        <v>4.5999999999999999E-2</v>
      </c>
      <c r="J220" s="14">
        <f>I220*24</f>
        <v>1.1040000000000001</v>
      </c>
      <c r="K220" s="14">
        <f>VLOOKUP($C220,Rotation!$A$2:$J$10,2,FALSE)</f>
        <v>1</v>
      </c>
      <c r="L220" s="14">
        <f>VLOOKUP($C220,Rotation!$A$2:$J$10,3,FALSE)</f>
        <v>1</v>
      </c>
      <c r="M220" s="14">
        <f>VLOOKUP($C220,Rotation!$A$2:$J$10,4,FALSE)</f>
        <v>0</v>
      </c>
      <c r="N220" s="14">
        <f>VLOOKUP($C220,Rotation!$A$2:$J$10,5,FALSE)</f>
        <v>0</v>
      </c>
      <c r="O220" s="14">
        <f>VLOOKUP($C220,Rotation!$A$2:$J$10,6,FALSE)</f>
        <v>0</v>
      </c>
      <c r="P220" s="14">
        <f>VLOOKUP($C220,Rotation!$A$2:$J$10,7,FALSE)</f>
        <v>0</v>
      </c>
      <c r="Q220" s="14">
        <f>VLOOKUP($C220,Rotation!$A$2:$J$10,8,FALSE)</f>
        <v>0</v>
      </c>
      <c r="R220" s="14">
        <f>VLOOKUP($C220,Rotation!$A$2:$J$10,9,FALSE)</f>
        <v>0</v>
      </c>
      <c r="S220" s="14">
        <f>VLOOKUP($C220,Rotation!$A$2:$J$10,10,FALSE)</f>
        <v>0</v>
      </c>
    </row>
    <row r="221" spans="1:19" ht="18">
      <c r="A221" s="14">
        <v>219</v>
      </c>
      <c r="B221" s="14" t="s">
        <v>106</v>
      </c>
      <c r="C221" s="14" t="str">
        <f>VLOOKUP(B221,Family!B:C,2,FALSE)</f>
        <v>P</v>
      </c>
      <c r="D221" s="15">
        <v>19</v>
      </c>
      <c r="E221" s="14">
        <f>ROUND(VLOOKUP(C221,'Production Plan'!A:B,2,FALSE),2)</f>
        <v>409.15</v>
      </c>
      <c r="F221" s="16">
        <v>45669</v>
      </c>
      <c r="G221" s="17">
        <f>F221+6*7</f>
        <v>45711</v>
      </c>
      <c r="H221" s="14">
        <f>G221-F221</f>
        <v>42</v>
      </c>
      <c r="I221" s="14">
        <f>ROUND(D221/E221,3)</f>
        <v>4.5999999999999999E-2</v>
      </c>
      <c r="J221" s="14">
        <f>I221*24</f>
        <v>1.1040000000000001</v>
      </c>
      <c r="K221" s="14">
        <f>VLOOKUP($C221,Rotation!$A$2:$J$10,2,FALSE)</f>
        <v>1</v>
      </c>
      <c r="L221" s="14">
        <f>VLOOKUP($C221,Rotation!$A$2:$J$10,3,FALSE)</f>
        <v>1</v>
      </c>
      <c r="M221" s="14">
        <f>VLOOKUP($C221,Rotation!$A$2:$J$10,4,FALSE)</f>
        <v>0</v>
      </c>
      <c r="N221" s="14">
        <f>VLOOKUP($C221,Rotation!$A$2:$J$10,5,FALSE)</f>
        <v>0</v>
      </c>
      <c r="O221" s="14">
        <f>VLOOKUP($C221,Rotation!$A$2:$J$10,6,FALSE)</f>
        <v>0</v>
      </c>
      <c r="P221" s="14">
        <f>VLOOKUP($C221,Rotation!$A$2:$J$10,7,FALSE)</f>
        <v>0</v>
      </c>
      <c r="Q221" s="14">
        <f>VLOOKUP($C221,Rotation!$A$2:$J$10,8,FALSE)</f>
        <v>0</v>
      </c>
      <c r="R221" s="14">
        <f>VLOOKUP($C221,Rotation!$A$2:$J$10,9,FALSE)</f>
        <v>0</v>
      </c>
      <c r="S221" s="14">
        <f>VLOOKUP($C221,Rotation!$A$2:$J$10,10,FALSE)</f>
        <v>0</v>
      </c>
    </row>
    <row r="222" spans="1:19" ht="18">
      <c r="A222" s="14">
        <v>220</v>
      </c>
      <c r="B222" s="14" t="s">
        <v>88</v>
      </c>
      <c r="C222" s="14" t="str">
        <f>VLOOKUP(B222,Family!B:C,2,FALSE)</f>
        <v>E</v>
      </c>
      <c r="D222" s="15">
        <v>18</v>
      </c>
      <c r="E222" s="14">
        <f>ROUND(VLOOKUP(C222,'Production Plan'!A:B,2,FALSE),2)</f>
        <v>333.66</v>
      </c>
      <c r="F222" s="16">
        <v>45674</v>
      </c>
      <c r="G222" s="17">
        <f>F222+6*7</f>
        <v>45716</v>
      </c>
      <c r="H222" s="14">
        <f>G222-F222</f>
        <v>42</v>
      </c>
      <c r="I222" s="14">
        <f>ROUND(D222/E222,3)</f>
        <v>5.3999999999999999E-2</v>
      </c>
      <c r="J222" s="14">
        <f>I222*24</f>
        <v>1.296</v>
      </c>
      <c r="K222" s="14">
        <f>VLOOKUP($C222,Rotation!$A$2:$J$10,2,FALSE)</f>
        <v>1</v>
      </c>
      <c r="L222" s="14">
        <f>VLOOKUP($C222,Rotation!$A$2:$J$10,3,FALSE)</f>
        <v>0</v>
      </c>
      <c r="M222" s="14">
        <f>VLOOKUP($C222,Rotation!$A$2:$J$10,4,FALSE)</f>
        <v>0</v>
      </c>
      <c r="N222" s="14">
        <f>VLOOKUP($C222,Rotation!$A$2:$J$10,5,FALSE)</f>
        <v>0</v>
      </c>
      <c r="O222" s="14">
        <f>VLOOKUP($C222,Rotation!$A$2:$J$10,6,FALSE)</f>
        <v>0</v>
      </c>
      <c r="P222" s="14">
        <f>VLOOKUP($C222,Rotation!$A$2:$J$10,7,FALSE)</f>
        <v>1</v>
      </c>
      <c r="Q222" s="14">
        <f>VLOOKUP($C222,Rotation!$A$2:$J$10,8,FALSE)</f>
        <v>0</v>
      </c>
      <c r="R222" s="14">
        <f>VLOOKUP($C222,Rotation!$A$2:$J$10,9,FALSE)</f>
        <v>0</v>
      </c>
      <c r="S222" s="14">
        <f>VLOOKUP($C222,Rotation!$A$2:$J$10,10,FALSE)</f>
        <v>0</v>
      </c>
    </row>
    <row r="223" spans="1:19" ht="18">
      <c r="A223" s="14">
        <v>221</v>
      </c>
      <c r="B223" s="14" t="s">
        <v>65</v>
      </c>
      <c r="C223" s="14" t="str">
        <f>VLOOKUP(B223,Family!B:C,2,FALSE)</f>
        <v>A</v>
      </c>
      <c r="D223" s="15">
        <v>19</v>
      </c>
      <c r="E223" s="14">
        <f>ROUND(VLOOKUP(C223,'Production Plan'!A:B,2,FALSE),2)</f>
        <v>407.17</v>
      </c>
      <c r="F223" s="16">
        <v>45686</v>
      </c>
      <c r="G223" s="17">
        <f>F223+6*7</f>
        <v>45728</v>
      </c>
      <c r="H223" s="14">
        <f>G223-F223</f>
        <v>42</v>
      </c>
      <c r="I223" s="14">
        <f>ROUND(D223/E223,3)</f>
        <v>4.7E-2</v>
      </c>
      <c r="J223" s="14">
        <f>I223*24</f>
        <v>1.1280000000000001</v>
      </c>
      <c r="K223" s="14">
        <f>VLOOKUP($C223,Rotation!$A$2:$J$10,2,FALSE)</f>
        <v>1</v>
      </c>
      <c r="L223" s="14">
        <f>VLOOKUP($C223,Rotation!$A$2:$J$10,3,FALSE)</f>
        <v>1</v>
      </c>
      <c r="M223" s="14">
        <f>VLOOKUP($C223,Rotation!$A$2:$J$10,4,FALSE)</f>
        <v>1</v>
      </c>
      <c r="N223" s="14">
        <f>VLOOKUP($C223,Rotation!$A$2:$J$10,5,FALSE)</f>
        <v>0</v>
      </c>
      <c r="O223" s="14">
        <f>VLOOKUP($C223,Rotation!$A$2:$J$10,6,FALSE)</f>
        <v>0</v>
      </c>
      <c r="P223" s="14">
        <f>VLOOKUP($C223,Rotation!$A$2:$J$10,7,FALSE)</f>
        <v>0</v>
      </c>
      <c r="Q223" s="14">
        <f>VLOOKUP($C223,Rotation!$A$2:$J$10,8,FALSE)</f>
        <v>0</v>
      </c>
      <c r="R223" s="14">
        <f>VLOOKUP($C223,Rotation!$A$2:$J$10,9,FALSE)</f>
        <v>0</v>
      </c>
      <c r="S223" s="14">
        <f>VLOOKUP($C223,Rotation!$A$2:$J$10,10,FALSE)</f>
        <v>0</v>
      </c>
    </row>
    <row r="224" spans="1:19" ht="18">
      <c r="A224" s="14">
        <v>222</v>
      </c>
      <c r="B224" s="14" t="s">
        <v>105</v>
      </c>
      <c r="C224" s="14" t="str">
        <f>VLOOKUP(B224,Family!B:C,2,FALSE)</f>
        <v>N</v>
      </c>
      <c r="D224" s="15">
        <v>358</v>
      </c>
      <c r="E224" s="14">
        <f>ROUND(VLOOKUP(C224,'Production Plan'!A:B,2,FALSE),2)</f>
        <v>334.18</v>
      </c>
      <c r="F224" s="16">
        <v>45680</v>
      </c>
      <c r="G224" s="17">
        <f>F224+6*7</f>
        <v>45722</v>
      </c>
      <c r="H224" s="14">
        <f>G224-F224</f>
        <v>42</v>
      </c>
      <c r="I224" s="14">
        <f>ROUND(D224/E224,3)</f>
        <v>1.071</v>
      </c>
      <c r="J224" s="14">
        <f>I224*24</f>
        <v>25.704000000000001</v>
      </c>
      <c r="K224" s="14">
        <f>VLOOKUP($C224,Rotation!$A$2:$J$10,2,FALSE)</f>
        <v>1</v>
      </c>
      <c r="L224" s="14">
        <f>VLOOKUP($C224,Rotation!$A$2:$J$10,3,FALSE)</f>
        <v>0</v>
      </c>
      <c r="M224" s="14">
        <f>VLOOKUP($C224,Rotation!$A$2:$J$10,4,FALSE)</f>
        <v>0</v>
      </c>
      <c r="N224" s="14">
        <f>VLOOKUP($C224,Rotation!$A$2:$J$10,5,FALSE)</f>
        <v>0</v>
      </c>
      <c r="O224" s="14">
        <f>VLOOKUP($C224,Rotation!$A$2:$J$10,6,FALSE)</f>
        <v>0</v>
      </c>
      <c r="P224" s="14">
        <f>VLOOKUP($C224,Rotation!$A$2:$J$10,7,FALSE)</f>
        <v>0</v>
      </c>
      <c r="Q224" s="14">
        <f>VLOOKUP($C224,Rotation!$A$2:$J$10,8,FALSE)</f>
        <v>1</v>
      </c>
      <c r="R224" s="14">
        <f>VLOOKUP($C224,Rotation!$A$2:$J$10,9,FALSE)</f>
        <v>0</v>
      </c>
      <c r="S224" s="14">
        <f>VLOOKUP($C224,Rotation!$A$2:$J$10,10,FALSE)</f>
        <v>0</v>
      </c>
    </row>
    <row r="225" spans="1:19" ht="18">
      <c r="A225" s="14">
        <v>223</v>
      </c>
      <c r="B225" s="14" t="s">
        <v>108</v>
      </c>
      <c r="C225" s="14" t="str">
        <f>VLOOKUP(B225,Family!B:C,2,FALSE)</f>
        <v>P</v>
      </c>
      <c r="D225" s="15">
        <v>108</v>
      </c>
      <c r="E225" s="14">
        <f>ROUND(VLOOKUP(C225,'Production Plan'!A:B,2,FALSE),2)</f>
        <v>409.15</v>
      </c>
      <c r="F225" s="16">
        <v>45709</v>
      </c>
      <c r="G225" s="17">
        <f>F225+6*7</f>
        <v>45751</v>
      </c>
      <c r="H225" s="14">
        <f>G225-F225</f>
        <v>42</v>
      </c>
      <c r="I225" s="14">
        <f>ROUND(D225/E225,3)</f>
        <v>0.26400000000000001</v>
      </c>
      <c r="J225" s="14">
        <f>I225*24</f>
        <v>6.3360000000000003</v>
      </c>
      <c r="K225" s="14">
        <f>VLOOKUP($C225,Rotation!$A$2:$J$10,2,FALSE)</f>
        <v>1</v>
      </c>
      <c r="L225" s="14">
        <f>VLOOKUP($C225,Rotation!$A$2:$J$10,3,FALSE)</f>
        <v>1</v>
      </c>
      <c r="M225" s="14">
        <f>VLOOKUP($C225,Rotation!$A$2:$J$10,4,FALSE)</f>
        <v>0</v>
      </c>
      <c r="N225" s="14">
        <f>VLOOKUP($C225,Rotation!$A$2:$J$10,5,FALSE)</f>
        <v>0</v>
      </c>
      <c r="O225" s="14">
        <f>VLOOKUP($C225,Rotation!$A$2:$J$10,6,FALSE)</f>
        <v>0</v>
      </c>
      <c r="P225" s="14">
        <f>VLOOKUP($C225,Rotation!$A$2:$J$10,7,FALSE)</f>
        <v>0</v>
      </c>
      <c r="Q225" s="14">
        <f>VLOOKUP($C225,Rotation!$A$2:$J$10,8,FALSE)</f>
        <v>0</v>
      </c>
      <c r="R225" s="14">
        <f>VLOOKUP($C225,Rotation!$A$2:$J$10,9,FALSE)</f>
        <v>0</v>
      </c>
      <c r="S225" s="14">
        <f>VLOOKUP($C225,Rotation!$A$2:$J$10,10,FALSE)</f>
        <v>0</v>
      </c>
    </row>
    <row r="226" spans="1:19" ht="18">
      <c r="A226" s="14">
        <v>224</v>
      </c>
      <c r="B226" s="14" t="s">
        <v>108</v>
      </c>
      <c r="C226" s="14" t="str">
        <f>VLOOKUP(B226,Family!B:C,2,FALSE)</f>
        <v>P</v>
      </c>
      <c r="D226" s="15">
        <v>108</v>
      </c>
      <c r="E226" s="14">
        <f>ROUND(VLOOKUP(C226,'Production Plan'!A:B,2,FALSE),2)</f>
        <v>409.15</v>
      </c>
      <c r="F226" s="16">
        <v>45709</v>
      </c>
      <c r="G226" s="17">
        <f>F226+6*7</f>
        <v>45751</v>
      </c>
      <c r="H226" s="14">
        <f>G226-F226</f>
        <v>42</v>
      </c>
      <c r="I226" s="14">
        <f>ROUND(D226/E226,3)</f>
        <v>0.26400000000000001</v>
      </c>
      <c r="J226" s="14">
        <f>I226*24</f>
        <v>6.3360000000000003</v>
      </c>
      <c r="K226" s="14">
        <f>VLOOKUP($C226,Rotation!$A$2:$J$10,2,FALSE)</f>
        <v>1</v>
      </c>
      <c r="L226" s="14">
        <f>VLOOKUP($C226,Rotation!$A$2:$J$10,3,FALSE)</f>
        <v>1</v>
      </c>
      <c r="M226" s="14">
        <f>VLOOKUP($C226,Rotation!$A$2:$J$10,4,FALSE)</f>
        <v>0</v>
      </c>
      <c r="N226" s="14">
        <f>VLOOKUP($C226,Rotation!$A$2:$J$10,5,FALSE)</f>
        <v>0</v>
      </c>
      <c r="O226" s="14">
        <f>VLOOKUP($C226,Rotation!$A$2:$J$10,6,FALSE)</f>
        <v>0</v>
      </c>
      <c r="P226" s="14">
        <f>VLOOKUP($C226,Rotation!$A$2:$J$10,7,FALSE)</f>
        <v>0</v>
      </c>
      <c r="Q226" s="14">
        <f>VLOOKUP($C226,Rotation!$A$2:$J$10,8,FALSE)</f>
        <v>0</v>
      </c>
      <c r="R226" s="14">
        <f>VLOOKUP($C226,Rotation!$A$2:$J$10,9,FALSE)</f>
        <v>0</v>
      </c>
      <c r="S226" s="14">
        <f>VLOOKUP($C226,Rotation!$A$2:$J$10,10,FALSE)</f>
        <v>0</v>
      </c>
    </row>
    <row r="227" spans="1:19" ht="18">
      <c r="A227" s="14">
        <v>225</v>
      </c>
      <c r="B227" s="14" t="s">
        <v>108</v>
      </c>
      <c r="C227" s="14" t="str">
        <f>VLOOKUP(B227,Family!B:C,2,FALSE)</f>
        <v>P</v>
      </c>
      <c r="D227" s="15">
        <v>54</v>
      </c>
      <c r="E227" s="14">
        <f>ROUND(VLOOKUP(C227,'Production Plan'!A:B,2,FALSE),2)</f>
        <v>409.15</v>
      </c>
      <c r="F227" s="16">
        <v>45709</v>
      </c>
      <c r="G227" s="17">
        <f>F227+6*7</f>
        <v>45751</v>
      </c>
      <c r="H227" s="14">
        <f>G227-F227</f>
        <v>42</v>
      </c>
      <c r="I227" s="14">
        <f>ROUND(D227/E227,3)</f>
        <v>0.13200000000000001</v>
      </c>
      <c r="J227" s="14">
        <f>I227*24</f>
        <v>3.1680000000000001</v>
      </c>
      <c r="K227" s="14">
        <f>VLOOKUP($C227,Rotation!$A$2:$J$10,2,FALSE)</f>
        <v>1</v>
      </c>
      <c r="L227" s="14">
        <f>VLOOKUP($C227,Rotation!$A$2:$J$10,3,FALSE)</f>
        <v>1</v>
      </c>
      <c r="M227" s="14">
        <f>VLOOKUP($C227,Rotation!$A$2:$J$10,4,FALSE)</f>
        <v>0</v>
      </c>
      <c r="N227" s="14">
        <f>VLOOKUP($C227,Rotation!$A$2:$J$10,5,FALSE)</f>
        <v>0</v>
      </c>
      <c r="O227" s="14">
        <f>VLOOKUP($C227,Rotation!$A$2:$J$10,6,FALSE)</f>
        <v>0</v>
      </c>
      <c r="P227" s="14">
        <f>VLOOKUP($C227,Rotation!$A$2:$J$10,7,FALSE)</f>
        <v>0</v>
      </c>
      <c r="Q227" s="14">
        <f>VLOOKUP($C227,Rotation!$A$2:$J$10,8,FALSE)</f>
        <v>0</v>
      </c>
      <c r="R227" s="14">
        <f>VLOOKUP($C227,Rotation!$A$2:$J$10,9,FALSE)</f>
        <v>0</v>
      </c>
      <c r="S227" s="14">
        <f>VLOOKUP($C227,Rotation!$A$2:$J$10,10,FALSE)</f>
        <v>0</v>
      </c>
    </row>
    <row r="228" spans="1:19" ht="18">
      <c r="A228" s="14">
        <v>226</v>
      </c>
      <c r="B228" s="14" t="s">
        <v>67</v>
      </c>
      <c r="C228" s="14" t="str">
        <f>VLOOKUP(B228,Family!B:C,2,FALSE)</f>
        <v>A</v>
      </c>
      <c r="D228" s="15">
        <v>78</v>
      </c>
      <c r="E228" s="14">
        <f>ROUND(VLOOKUP(C228,'Production Plan'!A:B,2,FALSE),2)</f>
        <v>407.17</v>
      </c>
      <c r="F228" s="16">
        <v>45721</v>
      </c>
      <c r="G228" s="17">
        <f>F228+6*7</f>
        <v>45763</v>
      </c>
      <c r="H228" s="14">
        <f>G228-F228</f>
        <v>42</v>
      </c>
      <c r="I228" s="14">
        <f>ROUND(D228/E228,3)</f>
        <v>0.192</v>
      </c>
      <c r="J228" s="14">
        <f>I228*24</f>
        <v>4.6080000000000005</v>
      </c>
      <c r="K228" s="14">
        <f>VLOOKUP($C228,Rotation!$A$2:$J$10,2,FALSE)</f>
        <v>1</v>
      </c>
      <c r="L228" s="14">
        <f>VLOOKUP($C228,Rotation!$A$2:$J$10,3,FALSE)</f>
        <v>1</v>
      </c>
      <c r="M228" s="14">
        <f>VLOOKUP($C228,Rotation!$A$2:$J$10,4,FALSE)</f>
        <v>1</v>
      </c>
      <c r="N228" s="14">
        <f>VLOOKUP($C228,Rotation!$A$2:$J$10,5,FALSE)</f>
        <v>0</v>
      </c>
      <c r="O228" s="14">
        <f>VLOOKUP($C228,Rotation!$A$2:$J$10,6,FALSE)</f>
        <v>0</v>
      </c>
      <c r="P228" s="14">
        <f>VLOOKUP($C228,Rotation!$A$2:$J$10,7,FALSE)</f>
        <v>0</v>
      </c>
      <c r="Q228" s="14">
        <f>VLOOKUP($C228,Rotation!$A$2:$J$10,8,FALSE)</f>
        <v>0</v>
      </c>
      <c r="R228" s="14">
        <f>VLOOKUP($C228,Rotation!$A$2:$J$10,9,FALSE)</f>
        <v>0</v>
      </c>
      <c r="S228" s="14">
        <f>VLOOKUP($C228,Rotation!$A$2:$J$10,10,FALSE)</f>
        <v>0</v>
      </c>
    </row>
    <row r="229" spans="1:19" ht="18">
      <c r="A229" s="14">
        <v>227</v>
      </c>
      <c r="B229" s="14" t="s">
        <v>88</v>
      </c>
      <c r="C229" s="14" t="str">
        <f>VLOOKUP(B229,Family!B:C,2,FALSE)</f>
        <v>E</v>
      </c>
      <c r="D229" s="15">
        <v>18</v>
      </c>
      <c r="E229" s="14">
        <f>ROUND(VLOOKUP(C229,'Production Plan'!A:B,2,FALSE),2)</f>
        <v>333.66</v>
      </c>
      <c r="F229" s="16">
        <v>45674</v>
      </c>
      <c r="G229" s="17">
        <f>F229+6*7</f>
        <v>45716</v>
      </c>
      <c r="H229" s="14">
        <f>G229-F229</f>
        <v>42</v>
      </c>
      <c r="I229" s="14">
        <f>ROUND(D229/E229,3)</f>
        <v>5.3999999999999999E-2</v>
      </c>
      <c r="J229" s="14">
        <f>I229*24</f>
        <v>1.296</v>
      </c>
      <c r="K229" s="14">
        <f>VLOOKUP($C229,Rotation!$A$2:$J$10,2,FALSE)</f>
        <v>1</v>
      </c>
      <c r="L229" s="14">
        <f>VLOOKUP($C229,Rotation!$A$2:$J$10,3,FALSE)</f>
        <v>0</v>
      </c>
      <c r="M229" s="14">
        <f>VLOOKUP($C229,Rotation!$A$2:$J$10,4,FALSE)</f>
        <v>0</v>
      </c>
      <c r="N229" s="14">
        <f>VLOOKUP($C229,Rotation!$A$2:$J$10,5,FALSE)</f>
        <v>0</v>
      </c>
      <c r="O229" s="14">
        <f>VLOOKUP($C229,Rotation!$A$2:$J$10,6,FALSE)</f>
        <v>0</v>
      </c>
      <c r="P229" s="14">
        <f>VLOOKUP($C229,Rotation!$A$2:$J$10,7,FALSE)</f>
        <v>1</v>
      </c>
      <c r="Q229" s="14">
        <f>VLOOKUP($C229,Rotation!$A$2:$J$10,8,FALSE)</f>
        <v>0</v>
      </c>
      <c r="R229" s="14">
        <f>VLOOKUP($C229,Rotation!$A$2:$J$10,9,FALSE)</f>
        <v>0</v>
      </c>
      <c r="S229" s="14">
        <f>VLOOKUP($C229,Rotation!$A$2:$J$10,10,FALSE)</f>
        <v>0</v>
      </c>
    </row>
    <row r="230" spans="1:19" ht="18">
      <c r="A230" s="14">
        <v>228</v>
      </c>
      <c r="B230" s="14" t="s">
        <v>106</v>
      </c>
      <c r="C230" s="14" t="str">
        <f>VLOOKUP(B230,Family!B:C,2,FALSE)</f>
        <v>P</v>
      </c>
      <c r="D230" s="15">
        <v>19</v>
      </c>
      <c r="E230" s="14">
        <f>ROUND(VLOOKUP(C230,'Production Plan'!A:B,2,FALSE),2)</f>
        <v>409.15</v>
      </c>
      <c r="F230" s="16">
        <v>45680</v>
      </c>
      <c r="G230" s="17">
        <f>F230+6*7</f>
        <v>45722</v>
      </c>
      <c r="H230" s="14">
        <f>G230-F230</f>
        <v>42</v>
      </c>
      <c r="I230" s="14">
        <f>ROUND(D230/E230,3)</f>
        <v>4.5999999999999999E-2</v>
      </c>
      <c r="J230" s="14">
        <f>I230*24</f>
        <v>1.1040000000000001</v>
      </c>
      <c r="K230" s="14">
        <f>VLOOKUP($C230,Rotation!$A$2:$J$10,2,FALSE)</f>
        <v>1</v>
      </c>
      <c r="L230" s="14">
        <f>VLOOKUP($C230,Rotation!$A$2:$J$10,3,FALSE)</f>
        <v>1</v>
      </c>
      <c r="M230" s="14">
        <f>VLOOKUP($C230,Rotation!$A$2:$J$10,4,FALSE)</f>
        <v>0</v>
      </c>
      <c r="N230" s="14">
        <f>VLOOKUP($C230,Rotation!$A$2:$J$10,5,FALSE)</f>
        <v>0</v>
      </c>
      <c r="O230" s="14">
        <f>VLOOKUP($C230,Rotation!$A$2:$J$10,6,FALSE)</f>
        <v>0</v>
      </c>
      <c r="P230" s="14">
        <f>VLOOKUP($C230,Rotation!$A$2:$J$10,7,FALSE)</f>
        <v>0</v>
      </c>
      <c r="Q230" s="14">
        <f>VLOOKUP($C230,Rotation!$A$2:$J$10,8,FALSE)</f>
        <v>0</v>
      </c>
      <c r="R230" s="14">
        <f>VLOOKUP($C230,Rotation!$A$2:$J$10,9,FALSE)</f>
        <v>0</v>
      </c>
      <c r="S230" s="14">
        <f>VLOOKUP($C230,Rotation!$A$2:$J$10,10,FALSE)</f>
        <v>0</v>
      </c>
    </row>
    <row r="231" spans="1:19" ht="18">
      <c r="A231" s="14">
        <v>229</v>
      </c>
      <c r="B231" s="14" t="s">
        <v>106</v>
      </c>
      <c r="C231" s="14" t="str">
        <f>VLOOKUP(B231,Family!B:C,2,FALSE)</f>
        <v>P</v>
      </c>
      <c r="D231" s="15">
        <v>19</v>
      </c>
      <c r="E231" s="14">
        <f>ROUND(VLOOKUP(C231,'Production Plan'!A:B,2,FALSE),2)</f>
        <v>409.15</v>
      </c>
      <c r="F231" s="16">
        <v>45680</v>
      </c>
      <c r="G231" s="17">
        <f>F231+6*7</f>
        <v>45722</v>
      </c>
      <c r="H231" s="14">
        <f>G231-F231</f>
        <v>42</v>
      </c>
      <c r="I231" s="14">
        <f>ROUND(D231/E231,3)</f>
        <v>4.5999999999999999E-2</v>
      </c>
      <c r="J231" s="14">
        <f>I231*24</f>
        <v>1.1040000000000001</v>
      </c>
      <c r="K231" s="14">
        <f>VLOOKUP($C231,Rotation!$A$2:$J$10,2,FALSE)</f>
        <v>1</v>
      </c>
      <c r="L231" s="14">
        <f>VLOOKUP($C231,Rotation!$A$2:$J$10,3,FALSE)</f>
        <v>1</v>
      </c>
      <c r="M231" s="14">
        <f>VLOOKUP($C231,Rotation!$A$2:$J$10,4,FALSE)</f>
        <v>0</v>
      </c>
      <c r="N231" s="14">
        <f>VLOOKUP($C231,Rotation!$A$2:$J$10,5,FALSE)</f>
        <v>0</v>
      </c>
      <c r="O231" s="14">
        <f>VLOOKUP($C231,Rotation!$A$2:$J$10,6,FALSE)</f>
        <v>0</v>
      </c>
      <c r="P231" s="14">
        <f>VLOOKUP($C231,Rotation!$A$2:$J$10,7,FALSE)</f>
        <v>0</v>
      </c>
      <c r="Q231" s="14">
        <f>VLOOKUP($C231,Rotation!$A$2:$J$10,8,FALSE)</f>
        <v>0</v>
      </c>
      <c r="R231" s="14">
        <f>VLOOKUP($C231,Rotation!$A$2:$J$10,9,FALSE)</f>
        <v>0</v>
      </c>
      <c r="S231" s="14">
        <f>VLOOKUP($C231,Rotation!$A$2:$J$10,10,FALSE)</f>
        <v>0</v>
      </c>
    </row>
    <row r="232" spans="1:19" ht="18">
      <c r="A232" s="14">
        <v>230</v>
      </c>
      <c r="B232" s="14" t="s">
        <v>111</v>
      </c>
      <c r="C232" s="14" t="str">
        <f>VLOOKUP(B232,Family!B:C,2,FALSE)</f>
        <v>N</v>
      </c>
      <c r="D232" s="15">
        <v>67</v>
      </c>
      <c r="E232" s="14">
        <f>ROUND(VLOOKUP(C232,'Production Plan'!A:B,2,FALSE),2)</f>
        <v>334.18</v>
      </c>
      <c r="F232" s="16">
        <v>45699</v>
      </c>
      <c r="G232" s="17">
        <f>F232+6*7</f>
        <v>45741</v>
      </c>
      <c r="H232" s="14">
        <f>G232-F232</f>
        <v>42</v>
      </c>
      <c r="I232" s="14">
        <f>ROUND(D232/E232,3)</f>
        <v>0.2</v>
      </c>
      <c r="J232" s="14">
        <f>I232*24</f>
        <v>4.8000000000000007</v>
      </c>
      <c r="K232" s="14">
        <f>VLOOKUP($C232,Rotation!$A$2:$J$10,2,FALSE)</f>
        <v>1</v>
      </c>
      <c r="L232" s="14">
        <f>VLOOKUP($C232,Rotation!$A$2:$J$10,3,FALSE)</f>
        <v>0</v>
      </c>
      <c r="M232" s="14">
        <f>VLOOKUP($C232,Rotation!$A$2:$J$10,4,FALSE)</f>
        <v>0</v>
      </c>
      <c r="N232" s="14">
        <f>VLOOKUP($C232,Rotation!$A$2:$J$10,5,FALSE)</f>
        <v>0</v>
      </c>
      <c r="O232" s="14">
        <f>VLOOKUP($C232,Rotation!$A$2:$J$10,6,FALSE)</f>
        <v>0</v>
      </c>
      <c r="P232" s="14">
        <f>VLOOKUP($C232,Rotation!$A$2:$J$10,7,FALSE)</f>
        <v>0</v>
      </c>
      <c r="Q232" s="14">
        <f>VLOOKUP($C232,Rotation!$A$2:$J$10,8,FALSE)</f>
        <v>1</v>
      </c>
      <c r="R232" s="14">
        <f>VLOOKUP($C232,Rotation!$A$2:$J$10,9,FALSE)</f>
        <v>0</v>
      </c>
      <c r="S232" s="14">
        <f>VLOOKUP($C232,Rotation!$A$2:$J$10,10,FALSE)</f>
        <v>0</v>
      </c>
    </row>
    <row r="233" spans="1:19" ht="18">
      <c r="A233" s="14">
        <v>231</v>
      </c>
      <c r="B233" s="14" t="s">
        <v>111</v>
      </c>
      <c r="C233" s="14" t="str">
        <f>VLOOKUP(B233,Family!B:C,2,FALSE)</f>
        <v>N</v>
      </c>
      <c r="D233" s="15">
        <v>67</v>
      </c>
      <c r="E233" s="14">
        <f>ROUND(VLOOKUP(C233,'Production Plan'!A:B,2,FALSE),2)</f>
        <v>334.18</v>
      </c>
      <c r="F233" s="16">
        <v>45699</v>
      </c>
      <c r="G233" s="17">
        <f>F233+6*7</f>
        <v>45741</v>
      </c>
      <c r="H233" s="14">
        <f>G233-F233</f>
        <v>42</v>
      </c>
      <c r="I233" s="14">
        <f>ROUND(D233/E233,3)</f>
        <v>0.2</v>
      </c>
      <c r="J233" s="14">
        <f>I233*24</f>
        <v>4.8000000000000007</v>
      </c>
      <c r="K233" s="14">
        <f>VLOOKUP($C233,Rotation!$A$2:$J$10,2,FALSE)</f>
        <v>1</v>
      </c>
      <c r="L233" s="14">
        <f>VLOOKUP($C233,Rotation!$A$2:$J$10,3,FALSE)</f>
        <v>0</v>
      </c>
      <c r="M233" s="14">
        <f>VLOOKUP($C233,Rotation!$A$2:$J$10,4,FALSE)</f>
        <v>0</v>
      </c>
      <c r="N233" s="14">
        <f>VLOOKUP($C233,Rotation!$A$2:$J$10,5,FALSE)</f>
        <v>0</v>
      </c>
      <c r="O233" s="14">
        <f>VLOOKUP($C233,Rotation!$A$2:$J$10,6,FALSE)</f>
        <v>0</v>
      </c>
      <c r="P233" s="14">
        <f>VLOOKUP($C233,Rotation!$A$2:$J$10,7,FALSE)</f>
        <v>0</v>
      </c>
      <c r="Q233" s="14">
        <f>VLOOKUP($C233,Rotation!$A$2:$J$10,8,FALSE)</f>
        <v>1</v>
      </c>
      <c r="R233" s="14">
        <f>VLOOKUP($C233,Rotation!$A$2:$J$10,9,FALSE)</f>
        <v>0</v>
      </c>
      <c r="S233" s="14">
        <f>VLOOKUP($C233,Rotation!$A$2:$J$10,10,FALSE)</f>
        <v>0</v>
      </c>
    </row>
    <row r="234" spans="1:19" ht="18">
      <c r="A234" s="14">
        <v>232</v>
      </c>
      <c r="B234" s="14" t="s">
        <v>67</v>
      </c>
      <c r="C234" s="14" t="str">
        <f>VLOOKUP(B234,Family!B:C,2,FALSE)</f>
        <v>A</v>
      </c>
      <c r="D234" s="15">
        <v>78</v>
      </c>
      <c r="E234" s="14">
        <f>ROUND(VLOOKUP(C234,'Production Plan'!A:B,2,FALSE),2)</f>
        <v>407.17</v>
      </c>
      <c r="F234" s="16">
        <v>45721</v>
      </c>
      <c r="G234" s="17">
        <f>F234+6*7</f>
        <v>45763</v>
      </c>
      <c r="H234" s="14">
        <f>G234-F234</f>
        <v>42</v>
      </c>
      <c r="I234" s="14">
        <f>ROUND(D234/E234,3)</f>
        <v>0.192</v>
      </c>
      <c r="J234" s="14">
        <f>I234*24</f>
        <v>4.6080000000000005</v>
      </c>
      <c r="K234" s="14">
        <f>VLOOKUP($C234,Rotation!$A$2:$J$10,2,FALSE)</f>
        <v>1</v>
      </c>
      <c r="L234" s="14">
        <f>VLOOKUP($C234,Rotation!$A$2:$J$10,3,FALSE)</f>
        <v>1</v>
      </c>
      <c r="M234" s="14">
        <f>VLOOKUP($C234,Rotation!$A$2:$J$10,4,FALSE)</f>
        <v>1</v>
      </c>
      <c r="N234" s="14">
        <f>VLOOKUP($C234,Rotation!$A$2:$J$10,5,FALSE)</f>
        <v>0</v>
      </c>
      <c r="O234" s="14">
        <f>VLOOKUP($C234,Rotation!$A$2:$J$10,6,FALSE)</f>
        <v>0</v>
      </c>
      <c r="P234" s="14">
        <f>VLOOKUP($C234,Rotation!$A$2:$J$10,7,FALSE)</f>
        <v>0</v>
      </c>
      <c r="Q234" s="14">
        <f>VLOOKUP($C234,Rotation!$A$2:$J$10,8,FALSE)</f>
        <v>0</v>
      </c>
      <c r="R234" s="14">
        <f>VLOOKUP($C234,Rotation!$A$2:$J$10,9,FALSE)</f>
        <v>0</v>
      </c>
      <c r="S234" s="14">
        <f>VLOOKUP($C234,Rotation!$A$2:$J$10,10,FALSE)</f>
        <v>0</v>
      </c>
    </row>
    <row r="235" spans="1:19" ht="18">
      <c r="A235" s="14">
        <v>233</v>
      </c>
      <c r="B235" s="14" t="s">
        <v>106</v>
      </c>
      <c r="C235" s="14" t="str">
        <f>VLOOKUP(B235,Family!B:C,2,FALSE)</f>
        <v>P</v>
      </c>
      <c r="D235" s="15">
        <v>19</v>
      </c>
      <c r="E235" s="14">
        <f>ROUND(VLOOKUP(C235,'Production Plan'!A:B,2,FALSE),2)</f>
        <v>409.15</v>
      </c>
      <c r="F235" s="16">
        <v>45736</v>
      </c>
      <c r="G235" s="17">
        <f>F235+6*7</f>
        <v>45778</v>
      </c>
      <c r="H235" s="14">
        <f>G235-F235</f>
        <v>42</v>
      </c>
      <c r="I235" s="14">
        <f>ROUND(D235/E235,3)</f>
        <v>4.5999999999999999E-2</v>
      </c>
      <c r="J235" s="14">
        <f>I235*24</f>
        <v>1.1040000000000001</v>
      </c>
      <c r="K235" s="14">
        <f>VLOOKUP($C235,Rotation!$A$2:$J$10,2,FALSE)</f>
        <v>1</v>
      </c>
      <c r="L235" s="14">
        <f>VLOOKUP($C235,Rotation!$A$2:$J$10,3,FALSE)</f>
        <v>1</v>
      </c>
      <c r="M235" s="14">
        <f>VLOOKUP($C235,Rotation!$A$2:$J$10,4,FALSE)</f>
        <v>0</v>
      </c>
      <c r="N235" s="14">
        <f>VLOOKUP($C235,Rotation!$A$2:$J$10,5,FALSE)</f>
        <v>0</v>
      </c>
      <c r="O235" s="14">
        <f>VLOOKUP($C235,Rotation!$A$2:$J$10,6,FALSE)</f>
        <v>0</v>
      </c>
      <c r="P235" s="14">
        <f>VLOOKUP($C235,Rotation!$A$2:$J$10,7,FALSE)</f>
        <v>0</v>
      </c>
      <c r="Q235" s="14">
        <f>VLOOKUP($C235,Rotation!$A$2:$J$10,8,FALSE)</f>
        <v>0</v>
      </c>
      <c r="R235" s="14">
        <f>VLOOKUP($C235,Rotation!$A$2:$J$10,9,FALSE)</f>
        <v>0</v>
      </c>
      <c r="S235" s="14">
        <f>VLOOKUP($C235,Rotation!$A$2:$J$10,10,FALSE)</f>
        <v>0</v>
      </c>
    </row>
    <row r="236" spans="1:19" ht="18">
      <c r="A236" s="14">
        <v>234</v>
      </c>
      <c r="B236" s="14" t="s">
        <v>94</v>
      </c>
      <c r="C236" s="14" t="str">
        <f>VLOOKUP(B236,Family!B:C,2,FALSE)</f>
        <v>H</v>
      </c>
      <c r="D236" s="15">
        <v>74</v>
      </c>
      <c r="E236" s="14">
        <f>ROUND(VLOOKUP(C236,'Production Plan'!A:B,2,FALSE),2)</f>
        <v>402.02</v>
      </c>
      <c r="F236" s="16">
        <v>45722</v>
      </c>
      <c r="G236" s="17">
        <f>F236+6*7</f>
        <v>45764</v>
      </c>
      <c r="H236" s="14">
        <f>G236-F236</f>
        <v>42</v>
      </c>
      <c r="I236" s="14">
        <f>ROUND(D236/E236,3)</f>
        <v>0.184</v>
      </c>
      <c r="J236" s="14">
        <f>I236*24</f>
        <v>4.4160000000000004</v>
      </c>
      <c r="K236" s="14">
        <f>VLOOKUP($C236,Rotation!$A$2:$J$10,2,FALSE)</f>
        <v>0</v>
      </c>
      <c r="L236" s="14">
        <f>VLOOKUP($C236,Rotation!$A$2:$J$10,3,FALSE)</f>
        <v>0</v>
      </c>
      <c r="M236" s="14">
        <f>VLOOKUP($C236,Rotation!$A$2:$J$10,4,FALSE)</f>
        <v>1</v>
      </c>
      <c r="N236" s="14">
        <f>VLOOKUP($C236,Rotation!$A$2:$J$10,5,FALSE)</f>
        <v>1</v>
      </c>
      <c r="O236" s="14">
        <f>VLOOKUP($C236,Rotation!$A$2:$J$10,6,FALSE)</f>
        <v>0</v>
      </c>
      <c r="P236" s="14">
        <f>VLOOKUP($C236,Rotation!$A$2:$J$10,7,FALSE)</f>
        <v>0</v>
      </c>
      <c r="Q236" s="14">
        <f>VLOOKUP($C236,Rotation!$A$2:$J$10,8,FALSE)</f>
        <v>0</v>
      </c>
      <c r="R236" s="14">
        <f>VLOOKUP($C236,Rotation!$A$2:$J$10,9,FALSE)</f>
        <v>0</v>
      </c>
      <c r="S236" s="14">
        <f>VLOOKUP($C236,Rotation!$A$2:$J$10,10,FALSE)</f>
        <v>0</v>
      </c>
    </row>
    <row r="237" spans="1:19" ht="18">
      <c r="A237" s="14">
        <v>235</v>
      </c>
      <c r="B237" s="14" t="s">
        <v>94</v>
      </c>
      <c r="C237" s="14" t="str">
        <f>VLOOKUP(B237,Family!B:C,2,FALSE)</f>
        <v>H</v>
      </c>
      <c r="D237" s="15">
        <v>99</v>
      </c>
      <c r="E237" s="14">
        <f>ROUND(VLOOKUP(C237,'Production Plan'!A:B,2,FALSE),2)</f>
        <v>402.02</v>
      </c>
      <c r="F237" s="16">
        <v>45665</v>
      </c>
      <c r="G237" s="17">
        <f>F237+6*7</f>
        <v>45707</v>
      </c>
      <c r="H237" s="14">
        <f>G237-F237</f>
        <v>42</v>
      </c>
      <c r="I237" s="14">
        <f>ROUND(D237/E237,3)</f>
        <v>0.246</v>
      </c>
      <c r="J237" s="14">
        <f>I237*24</f>
        <v>5.9039999999999999</v>
      </c>
      <c r="K237" s="14">
        <f>VLOOKUP($C237,Rotation!$A$2:$J$10,2,FALSE)</f>
        <v>0</v>
      </c>
      <c r="L237" s="14">
        <f>VLOOKUP($C237,Rotation!$A$2:$J$10,3,FALSE)</f>
        <v>0</v>
      </c>
      <c r="M237" s="14">
        <f>VLOOKUP($C237,Rotation!$A$2:$J$10,4,FALSE)</f>
        <v>1</v>
      </c>
      <c r="N237" s="14">
        <f>VLOOKUP($C237,Rotation!$A$2:$J$10,5,FALSE)</f>
        <v>1</v>
      </c>
      <c r="O237" s="14">
        <f>VLOOKUP($C237,Rotation!$A$2:$J$10,6,FALSE)</f>
        <v>0</v>
      </c>
      <c r="P237" s="14">
        <f>VLOOKUP($C237,Rotation!$A$2:$J$10,7,FALSE)</f>
        <v>0</v>
      </c>
      <c r="Q237" s="14">
        <f>VLOOKUP($C237,Rotation!$A$2:$J$10,8,FALSE)</f>
        <v>0</v>
      </c>
      <c r="R237" s="14">
        <f>VLOOKUP($C237,Rotation!$A$2:$J$10,9,FALSE)</f>
        <v>0</v>
      </c>
      <c r="S237" s="14">
        <f>VLOOKUP($C237,Rotation!$A$2:$J$10,10,FALSE)</f>
        <v>0</v>
      </c>
    </row>
    <row r="238" spans="1:19" ht="18">
      <c r="A238" s="14">
        <v>236</v>
      </c>
      <c r="B238" s="14" t="s">
        <v>94</v>
      </c>
      <c r="C238" s="14" t="str">
        <f>VLOOKUP(B238,Family!B:C,2,FALSE)</f>
        <v>H</v>
      </c>
      <c r="D238" s="15">
        <v>99</v>
      </c>
      <c r="E238" s="14">
        <f>ROUND(VLOOKUP(C238,'Production Plan'!A:B,2,FALSE),2)</f>
        <v>402.02</v>
      </c>
      <c r="F238" s="16">
        <v>45665</v>
      </c>
      <c r="G238" s="17">
        <f>F238+6*7</f>
        <v>45707</v>
      </c>
      <c r="H238" s="14">
        <f>G238-F238</f>
        <v>42</v>
      </c>
      <c r="I238" s="14">
        <f>ROUND(D238/E238,3)</f>
        <v>0.246</v>
      </c>
      <c r="J238" s="14">
        <f>I238*24</f>
        <v>5.9039999999999999</v>
      </c>
      <c r="K238" s="14">
        <f>VLOOKUP($C238,Rotation!$A$2:$J$10,2,FALSE)</f>
        <v>0</v>
      </c>
      <c r="L238" s="14">
        <f>VLOOKUP($C238,Rotation!$A$2:$J$10,3,FALSE)</f>
        <v>0</v>
      </c>
      <c r="M238" s="14">
        <f>VLOOKUP($C238,Rotation!$A$2:$J$10,4,FALSE)</f>
        <v>1</v>
      </c>
      <c r="N238" s="14">
        <f>VLOOKUP($C238,Rotation!$A$2:$J$10,5,FALSE)</f>
        <v>1</v>
      </c>
      <c r="O238" s="14">
        <f>VLOOKUP($C238,Rotation!$A$2:$J$10,6,FALSE)</f>
        <v>0</v>
      </c>
      <c r="P238" s="14">
        <f>VLOOKUP($C238,Rotation!$A$2:$J$10,7,FALSE)</f>
        <v>0</v>
      </c>
      <c r="Q238" s="14">
        <f>VLOOKUP($C238,Rotation!$A$2:$J$10,8,FALSE)</f>
        <v>0</v>
      </c>
      <c r="R238" s="14">
        <f>VLOOKUP($C238,Rotation!$A$2:$J$10,9,FALSE)</f>
        <v>0</v>
      </c>
      <c r="S238" s="14">
        <f>VLOOKUP($C238,Rotation!$A$2:$J$10,10,FALSE)</f>
        <v>0</v>
      </c>
    </row>
    <row r="239" spans="1:19" ht="18">
      <c r="A239" s="14">
        <v>237</v>
      </c>
      <c r="B239" s="14" t="s">
        <v>77</v>
      </c>
      <c r="C239" s="14" t="str">
        <f>VLOOKUP(B239,Family!B:C,2,FALSE)</f>
        <v>E</v>
      </c>
      <c r="D239" s="15">
        <v>18</v>
      </c>
      <c r="E239" s="14">
        <f>ROUND(VLOOKUP(C239,'Production Plan'!A:B,2,FALSE),2)</f>
        <v>333.66</v>
      </c>
      <c r="F239" s="16">
        <v>45665</v>
      </c>
      <c r="G239" s="17">
        <f>F239+6*7</f>
        <v>45707</v>
      </c>
      <c r="H239" s="14">
        <f>G239-F239</f>
        <v>42</v>
      </c>
      <c r="I239" s="14">
        <f>ROUND(D239/E239,3)</f>
        <v>5.3999999999999999E-2</v>
      </c>
      <c r="J239" s="14">
        <f>I239*24</f>
        <v>1.296</v>
      </c>
      <c r="K239" s="14">
        <f>VLOOKUP($C239,Rotation!$A$2:$J$10,2,FALSE)</f>
        <v>1</v>
      </c>
      <c r="L239" s="14">
        <f>VLOOKUP($C239,Rotation!$A$2:$J$10,3,FALSE)</f>
        <v>0</v>
      </c>
      <c r="M239" s="14">
        <f>VLOOKUP($C239,Rotation!$A$2:$J$10,4,FALSE)</f>
        <v>0</v>
      </c>
      <c r="N239" s="14">
        <f>VLOOKUP($C239,Rotation!$A$2:$J$10,5,FALSE)</f>
        <v>0</v>
      </c>
      <c r="O239" s="14">
        <f>VLOOKUP($C239,Rotation!$A$2:$J$10,6,FALSE)</f>
        <v>0</v>
      </c>
      <c r="P239" s="14">
        <f>VLOOKUP($C239,Rotation!$A$2:$J$10,7,FALSE)</f>
        <v>1</v>
      </c>
      <c r="Q239" s="14">
        <f>VLOOKUP($C239,Rotation!$A$2:$J$10,8,FALSE)</f>
        <v>0</v>
      </c>
      <c r="R239" s="14">
        <f>VLOOKUP($C239,Rotation!$A$2:$J$10,9,FALSE)</f>
        <v>0</v>
      </c>
      <c r="S239" s="14">
        <f>VLOOKUP($C239,Rotation!$A$2:$J$10,10,FALSE)</f>
        <v>0</v>
      </c>
    </row>
    <row r="240" spans="1:19" ht="18">
      <c r="A240" s="14">
        <v>238</v>
      </c>
      <c r="B240" s="14" t="s">
        <v>93</v>
      </c>
      <c r="C240" s="14" t="str">
        <f>VLOOKUP(B240,Family!B:C,2,FALSE)</f>
        <v>F</v>
      </c>
      <c r="D240" s="15">
        <v>120</v>
      </c>
      <c r="E240" s="14">
        <f>ROUND(VLOOKUP(C240,'Production Plan'!A:B,2,FALSE),2)</f>
        <v>394.98</v>
      </c>
      <c r="F240" s="16">
        <v>45715</v>
      </c>
      <c r="G240" s="17">
        <f>F240+6*7</f>
        <v>45757</v>
      </c>
      <c r="H240" s="14">
        <f>G240-F240</f>
        <v>42</v>
      </c>
      <c r="I240" s="14">
        <f>ROUND(D240/E240,3)</f>
        <v>0.30399999999999999</v>
      </c>
      <c r="J240" s="14">
        <f>I240*24</f>
        <v>7.2959999999999994</v>
      </c>
      <c r="K240" s="14">
        <f>VLOOKUP($C240,Rotation!$A$2:$J$10,2,FALSE)</f>
        <v>1</v>
      </c>
      <c r="L240" s="14">
        <f>VLOOKUP($C240,Rotation!$A$2:$J$10,3,FALSE)</f>
        <v>0</v>
      </c>
      <c r="M240" s="14">
        <f>VLOOKUP($C240,Rotation!$A$2:$J$10,4,FALSE)</f>
        <v>0</v>
      </c>
      <c r="N240" s="14">
        <f>VLOOKUP($C240,Rotation!$A$2:$J$10,5,FALSE)</f>
        <v>1</v>
      </c>
      <c r="O240" s="14">
        <f>VLOOKUP($C240,Rotation!$A$2:$J$10,6,FALSE)</f>
        <v>1</v>
      </c>
      <c r="P240" s="14">
        <f>VLOOKUP($C240,Rotation!$A$2:$J$10,7,FALSE)</f>
        <v>1</v>
      </c>
      <c r="Q240" s="14">
        <f>VLOOKUP($C240,Rotation!$A$2:$J$10,8,FALSE)</f>
        <v>1</v>
      </c>
      <c r="R240" s="14">
        <f>VLOOKUP($C240,Rotation!$A$2:$J$10,9,FALSE)</f>
        <v>1</v>
      </c>
      <c r="S240" s="14">
        <f>VLOOKUP($C240,Rotation!$A$2:$J$10,10,FALSE)</f>
        <v>1</v>
      </c>
    </row>
    <row r="241" spans="1:19" ht="18">
      <c r="A241" s="14">
        <v>239</v>
      </c>
      <c r="B241" s="14" t="s">
        <v>98</v>
      </c>
      <c r="C241" s="14" t="str">
        <f>VLOOKUP(B241,Family!B:C,2,FALSE)</f>
        <v>H</v>
      </c>
      <c r="D241" s="15">
        <v>19</v>
      </c>
      <c r="E241" s="14">
        <f>ROUND(VLOOKUP(C241,'Production Plan'!A:B,2,FALSE),2)</f>
        <v>402.02</v>
      </c>
      <c r="F241" s="16">
        <v>45705</v>
      </c>
      <c r="G241" s="17">
        <f>F241+6*7</f>
        <v>45747</v>
      </c>
      <c r="H241" s="14">
        <f>G241-F241</f>
        <v>42</v>
      </c>
      <c r="I241" s="14">
        <f>ROUND(D241/E241,3)</f>
        <v>4.7E-2</v>
      </c>
      <c r="J241" s="14">
        <f>I241*24</f>
        <v>1.1280000000000001</v>
      </c>
      <c r="K241" s="14">
        <f>VLOOKUP($C241,Rotation!$A$2:$J$10,2,FALSE)</f>
        <v>0</v>
      </c>
      <c r="L241" s="14">
        <f>VLOOKUP($C241,Rotation!$A$2:$J$10,3,FALSE)</f>
        <v>0</v>
      </c>
      <c r="M241" s="14">
        <f>VLOOKUP($C241,Rotation!$A$2:$J$10,4,FALSE)</f>
        <v>1</v>
      </c>
      <c r="N241" s="14">
        <f>VLOOKUP($C241,Rotation!$A$2:$J$10,5,FALSE)</f>
        <v>1</v>
      </c>
      <c r="O241" s="14">
        <f>VLOOKUP($C241,Rotation!$A$2:$J$10,6,FALSE)</f>
        <v>0</v>
      </c>
      <c r="P241" s="14">
        <f>VLOOKUP($C241,Rotation!$A$2:$J$10,7,FALSE)</f>
        <v>0</v>
      </c>
      <c r="Q241" s="14">
        <f>VLOOKUP($C241,Rotation!$A$2:$J$10,8,FALSE)</f>
        <v>0</v>
      </c>
      <c r="R241" s="14">
        <f>VLOOKUP($C241,Rotation!$A$2:$J$10,9,FALSE)</f>
        <v>0</v>
      </c>
      <c r="S241" s="14">
        <f>VLOOKUP($C241,Rotation!$A$2:$J$10,10,FALSE)</f>
        <v>0</v>
      </c>
    </row>
    <row r="242" spans="1:19" ht="18">
      <c r="A242" s="14">
        <v>240</v>
      </c>
      <c r="B242" s="14" t="s">
        <v>96</v>
      </c>
      <c r="C242" s="14" t="str">
        <f>VLOOKUP(B242,Family!B:C,2,FALSE)</f>
        <v>F</v>
      </c>
      <c r="D242" s="15">
        <v>49</v>
      </c>
      <c r="E242" s="14">
        <f>ROUND(VLOOKUP(C242,'Production Plan'!A:B,2,FALSE),2)</f>
        <v>394.98</v>
      </c>
      <c r="F242" s="16">
        <v>45714</v>
      </c>
      <c r="G242" s="17">
        <f>F242+6*7</f>
        <v>45756</v>
      </c>
      <c r="H242" s="14">
        <f>G242-F242</f>
        <v>42</v>
      </c>
      <c r="I242" s="14">
        <f>ROUND(D242/E242,3)</f>
        <v>0.124</v>
      </c>
      <c r="J242" s="14">
        <f>I242*24</f>
        <v>2.976</v>
      </c>
      <c r="K242" s="14">
        <f>VLOOKUP($C242,Rotation!$A$2:$J$10,2,FALSE)</f>
        <v>1</v>
      </c>
      <c r="L242" s="14">
        <f>VLOOKUP($C242,Rotation!$A$2:$J$10,3,FALSE)</f>
        <v>0</v>
      </c>
      <c r="M242" s="14">
        <f>VLOOKUP($C242,Rotation!$A$2:$J$10,4,FALSE)</f>
        <v>0</v>
      </c>
      <c r="N242" s="14">
        <f>VLOOKUP($C242,Rotation!$A$2:$J$10,5,FALSE)</f>
        <v>1</v>
      </c>
      <c r="O242" s="14">
        <f>VLOOKUP($C242,Rotation!$A$2:$J$10,6,FALSE)</f>
        <v>1</v>
      </c>
      <c r="P242" s="14">
        <f>VLOOKUP($C242,Rotation!$A$2:$J$10,7,FALSE)</f>
        <v>1</v>
      </c>
      <c r="Q242" s="14">
        <f>VLOOKUP($C242,Rotation!$A$2:$J$10,8,FALSE)</f>
        <v>1</v>
      </c>
      <c r="R242" s="14">
        <f>VLOOKUP($C242,Rotation!$A$2:$J$10,9,FALSE)</f>
        <v>1</v>
      </c>
      <c r="S242" s="14">
        <f>VLOOKUP($C242,Rotation!$A$2:$J$10,10,FALSE)</f>
        <v>1</v>
      </c>
    </row>
    <row r="243" spans="1:19" ht="18">
      <c r="A243" s="14">
        <v>241</v>
      </c>
      <c r="B243" s="14" t="s">
        <v>109</v>
      </c>
      <c r="C243" s="14" t="str">
        <f>VLOOKUP(B243,Family!B:C,2,FALSE)</f>
        <v>V</v>
      </c>
      <c r="D243" s="15">
        <v>50</v>
      </c>
      <c r="E243" s="14">
        <f>ROUND(VLOOKUP(C243,'Production Plan'!A:B,2,FALSE),2)</f>
        <v>334.18</v>
      </c>
      <c r="F243" s="16">
        <v>45714</v>
      </c>
      <c r="G243" s="17">
        <f>F243+6*7</f>
        <v>45756</v>
      </c>
      <c r="H243" s="14">
        <f>G243-F243</f>
        <v>42</v>
      </c>
      <c r="I243" s="14">
        <f>ROUND(D243/E243,3)</f>
        <v>0.15</v>
      </c>
      <c r="J243" s="14">
        <f>I243*24</f>
        <v>3.5999999999999996</v>
      </c>
      <c r="K243" s="14">
        <f>VLOOKUP($C243,Rotation!$A$2:$J$10,2,FALSE)</f>
        <v>1</v>
      </c>
      <c r="L243" s="14">
        <f>VLOOKUP($C243,Rotation!$A$2:$J$10,3,FALSE)</f>
        <v>0</v>
      </c>
      <c r="M243" s="14">
        <f>VLOOKUP($C243,Rotation!$A$2:$J$10,4,FALSE)</f>
        <v>0</v>
      </c>
      <c r="N243" s="14">
        <f>VLOOKUP($C243,Rotation!$A$2:$J$10,5,FALSE)</f>
        <v>0</v>
      </c>
      <c r="O243" s="14">
        <f>VLOOKUP($C243,Rotation!$A$2:$J$10,6,FALSE)</f>
        <v>0</v>
      </c>
      <c r="P243" s="14">
        <f>VLOOKUP($C243,Rotation!$A$2:$J$10,7,FALSE)</f>
        <v>0</v>
      </c>
      <c r="Q243" s="14">
        <f>VLOOKUP($C243,Rotation!$A$2:$J$10,8,FALSE)</f>
        <v>0</v>
      </c>
      <c r="R243" s="14">
        <f>VLOOKUP($C243,Rotation!$A$2:$J$10,9,FALSE)</f>
        <v>0</v>
      </c>
      <c r="S243" s="14">
        <f>VLOOKUP($C243,Rotation!$A$2:$J$10,10,FALSE)</f>
        <v>1</v>
      </c>
    </row>
    <row r="244" spans="1:19" ht="18">
      <c r="A244" s="14">
        <v>242</v>
      </c>
      <c r="B244" s="14" t="s">
        <v>67</v>
      </c>
      <c r="C244" s="14" t="str">
        <f>VLOOKUP(B244,Family!B:C,2,FALSE)</f>
        <v>A</v>
      </c>
      <c r="D244" s="15">
        <v>78</v>
      </c>
      <c r="E244" s="14">
        <f>ROUND(VLOOKUP(C244,'Production Plan'!A:B,2,FALSE),2)</f>
        <v>407.17</v>
      </c>
      <c r="F244" s="16">
        <v>45721</v>
      </c>
      <c r="G244" s="17">
        <f>F244+6*7</f>
        <v>45763</v>
      </c>
      <c r="H244" s="14">
        <f>G244-F244</f>
        <v>42</v>
      </c>
      <c r="I244" s="14">
        <f>ROUND(D244/E244,3)</f>
        <v>0.192</v>
      </c>
      <c r="J244" s="14">
        <f>I244*24</f>
        <v>4.6080000000000005</v>
      </c>
      <c r="K244" s="14">
        <f>VLOOKUP($C244,Rotation!$A$2:$J$10,2,FALSE)</f>
        <v>1</v>
      </c>
      <c r="L244" s="14">
        <f>VLOOKUP($C244,Rotation!$A$2:$J$10,3,FALSE)</f>
        <v>1</v>
      </c>
      <c r="M244" s="14">
        <f>VLOOKUP($C244,Rotation!$A$2:$J$10,4,FALSE)</f>
        <v>1</v>
      </c>
      <c r="N244" s="14">
        <f>VLOOKUP($C244,Rotation!$A$2:$J$10,5,FALSE)</f>
        <v>0</v>
      </c>
      <c r="O244" s="14">
        <f>VLOOKUP($C244,Rotation!$A$2:$J$10,6,FALSE)</f>
        <v>0</v>
      </c>
      <c r="P244" s="14">
        <f>VLOOKUP($C244,Rotation!$A$2:$J$10,7,FALSE)</f>
        <v>0</v>
      </c>
      <c r="Q244" s="14">
        <f>VLOOKUP($C244,Rotation!$A$2:$J$10,8,FALSE)</f>
        <v>0</v>
      </c>
      <c r="R244" s="14">
        <f>VLOOKUP($C244,Rotation!$A$2:$J$10,9,FALSE)</f>
        <v>0</v>
      </c>
      <c r="S244" s="14">
        <f>VLOOKUP($C244,Rotation!$A$2:$J$10,10,FALSE)</f>
        <v>0</v>
      </c>
    </row>
    <row r="245" spans="1:19" ht="18">
      <c r="A245" s="14">
        <v>243</v>
      </c>
      <c r="B245" s="14" t="s">
        <v>106</v>
      </c>
      <c r="C245" s="14" t="str">
        <f>VLOOKUP(B245,Family!B:C,2,FALSE)</f>
        <v>P</v>
      </c>
      <c r="D245" s="15">
        <v>19</v>
      </c>
      <c r="E245" s="14">
        <f>ROUND(VLOOKUP(C245,'Production Plan'!A:B,2,FALSE),2)</f>
        <v>409.15</v>
      </c>
      <c r="F245" s="16">
        <v>45736</v>
      </c>
      <c r="G245" s="17">
        <f>F245+6*7</f>
        <v>45778</v>
      </c>
      <c r="H245" s="14">
        <f>G245-F245</f>
        <v>42</v>
      </c>
      <c r="I245" s="14">
        <f>ROUND(D245/E245,3)</f>
        <v>4.5999999999999999E-2</v>
      </c>
      <c r="J245" s="14">
        <f>I245*24</f>
        <v>1.1040000000000001</v>
      </c>
      <c r="K245" s="14">
        <f>VLOOKUP($C245,Rotation!$A$2:$J$10,2,FALSE)</f>
        <v>1</v>
      </c>
      <c r="L245" s="14">
        <f>VLOOKUP($C245,Rotation!$A$2:$J$10,3,FALSE)</f>
        <v>1</v>
      </c>
      <c r="M245" s="14">
        <f>VLOOKUP($C245,Rotation!$A$2:$J$10,4,FALSE)</f>
        <v>0</v>
      </c>
      <c r="N245" s="14">
        <f>VLOOKUP($C245,Rotation!$A$2:$J$10,5,FALSE)</f>
        <v>0</v>
      </c>
      <c r="O245" s="14">
        <f>VLOOKUP($C245,Rotation!$A$2:$J$10,6,FALSE)</f>
        <v>0</v>
      </c>
      <c r="P245" s="14">
        <f>VLOOKUP($C245,Rotation!$A$2:$J$10,7,FALSE)</f>
        <v>0</v>
      </c>
      <c r="Q245" s="14">
        <f>VLOOKUP($C245,Rotation!$A$2:$J$10,8,FALSE)</f>
        <v>0</v>
      </c>
      <c r="R245" s="14">
        <f>VLOOKUP($C245,Rotation!$A$2:$J$10,9,FALSE)</f>
        <v>0</v>
      </c>
      <c r="S245" s="14">
        <f>VLOOKUP($C245,Rotation!$A$2:$J$10,10,FALSE)</f>
        <v>0</v>
      </c>
    </row>
    <row r="246" spans="1:19" ht="18">
      <c r="A246" s="14">
        <v>244</v>
      </c>
      <c r="B246" s="14" t="s">
        <v>98</v>
      </c>
      <c r="C246" s="14" t="str">
        <f>VLOOKUP(B246,Family!B:C,2,FALSE)</f>
        <v>H</v>
      </c>
      <c r="D246" s="15">
        <v>19</v>
      </c>
      <c r="E246" s="14">
        <f>ROUND(VLOOKUP(C246,'Production Plan'!A:B,2,FALSE),2)</f>
        <v>402.02</v>
      </c>
      <c r="F246" s="16">
        <v>45669</v>
      </c>
      <c r="G246" s="17">
        <f>F246+6*7</f>
        <v>45711</v>
      </c>
      <c r="H246" s="14">
        <f>G246-F246</f>
        <v>42</v>
      </c>
      <c r="I246" s="14">
        <f>ROUND(D246/E246,3)</f>
        <v>4.7E-2</v>
      </c>
      <c r="J246" s="14">
        <f>I246*24</f>
        <v>1.1280000000000001</v>
      </c>
      <c r="K246" s="14">
        <f>VLOOKUP($C246,Rotation!$A$2:$J$10,2,FALSE)</f>
        <v>0</v>
      </c>
      <c r="L246" s="14">
        <f>VLOOKUP($C246,Rotation!$A$2:$J$10,3,FALSE)</f>
        <v>0</v>
      </c>
      <c r="M246" s="14">
        <f>VLOOKUP($C246,Rotation!$A$2:$J$10,4,FALSE)</f>
        <v>1</v>
      </c>
      <c r="N246" s="14">
        <f>VLOOKUP($C246,Rotation!$A$2:$J$10,5,FALSE)</f>
        <v>1</v>
      </c>
      <c r="O246" s="14">
        <f>VLOOKUP($C246,Rotation!$A$2:$J$10,6,FALSE)</f>
        <v>0</v>
      </c>
      <c r="P246" s="14">
        <f>VLOOKUP($C246,Rotation!$A$2:$J$10,7,FALSE)</f>
        <v>0</v>
      </c>
      <c r="Q246" s="14">
        <f>VLOOKUP($C246,Rotation!$A$2:$J$10,8,FALSE)</f>
        <v>0</v>
      </c>
      <c r="R246" s="14">
        <f>VLOOKUP($C246,Rotation!$A$2:$J$10,9,FALSE)</f>
        <v>0</v>
      </c>
      <c r="S246" s="14">
        <f>VLOOKUP($C246,Rotation!$A$2:$J$10,10,FALSE)</f>
        <v>0</v>
      </c>
    </row>
    <row r="247" spans="1:19" ht="18">
      <c r="A247" s="14">
        <v>245</v>
      </c>
      <c r="B247" s="14" t="s">
        <v>85</v>
      </c>
      <c r="C247" s="14" t="str">
        <f>VLOOKUP(B247,Family!B:C,2,FALSE)</f>
        <v>E</v>
      </c>
      <c r="D247" s="15">
        <v>19</v>
      </c>
      <c r="E247" s="14">
        <f>ROUND(VLOOKUP(C247,'Production Plan'!A:B,2,FALSE),2)</f>
        <v>333.66</v>
      </c>
      <c r="F247" s="16">
        <v>45669</v>
      </c>
      <c r="G247" s="17">
        <f>F247+6*7</f>
        <v>45711</v>
      </c>
      <c r="H247" s="14">
        <f>G247-F247</f>
        <v>42</v>
      </c>
      <c r="I247" s="14">
        <f>ROUND(D247/E247,3)</f>
        <v>5.7000000000000002E-2</v>
      </c>
      <c r="J247" s="14">
        <f>I247*24</f>
        <v>1.3680000000000001</v>
      </c>
      <c r="K247" s="14">
        <f>VLOOKUP($C247,Rotation!$A$2:$J$10,2,FALSE)</f>
        <v>1</v>
      </c>
      <c r="L247" s="14">
        <f>VLOOKUP($C247,Rotation!$A$2:$J$10,3,FALSE)</f>
        <v>0</v>
      </c>
      <c r="M247" s="14">
        <f>VLOOKUP($C247,Rotation!$A$2:$J$10,4,FALSE)</f>
        <v>0</v>
      </c>
      <c r="N247" s="14">
        <f>VLOOKUP($C247,Rotation!$A$2:$J$10,5,FALSE)</f>
        <v>0</v>
      </c>
      <c r="O247" s="14">
        <f>VLOOKUP($C247,Rotation!$A$2:$J$10,6,FALSE)</f>
        <v>0</v>
      </c>
      <c r="P247" s="14">
        <f>VLOOKUP($C247,Rotation!$A$2:$J$10,7,FALSE)</f>
        <v>1</v>
      </c>
      <c r="Q247" s="14">
        <f>VLOOKUP($C247,Rotation!$A$2:$J$10,8,FALSE)</f>
        <v>0</v>
      </c>
      <c r="R247" s="14">
        <f>VLOOKUP($C247,Rotation!$A$2:$J$10,9,FALSE)</f>
        <v>0</v>
      </c>
      <c r="S247" s="14">
        <f>VLOOKUP($C247,Rotation!$A$2:$J$10,10,FALSE)</f>
        <v>0</v>
      </c>
    </row>
    <row r="248" spans="1:19" ht="18">
      <c r="A248" s="14">
        <v>246</v>
      </c>
      <c r="B248" s="14" t="s">
        <v>67</v>
      </c>
      <c r="C248" s="14" t="str">
        <f>VLOOKUP(B248,Family!B:C,2,FALSE)</f>
        <v>A</v>
      </c>
      <c r="D248" s="15">
        <v>78</v>
      </c>
      <c r="E248" s="14">
        <f>ROUND(VLOOKUP(C248,'Production Plan'!A:B,2,FALSE),2)</f>
        <v>407.17</v>
      </c>
      <c r="F248" s="16">
        <v>45721</v>
      </c>
      <c r="G248" s="17">
        <f>F248+6*7</f>
        <v>45763</v>
      </c>
      <c r="H248" s="14">
        <f>G248-F248</f>
        <v>42</v>
      </c>
      <c r="I248" s="14">
        <f>ROUND(D248/E248,3)</f>
        <v>0.192</v>
      </c>
      <c r="J248" s="14">
        <f>I248*24</f>
        <v>4.6080000000000005</v>
      </c>
      <c r="K248" s="14">
        <f>VLOOKUP($C248,Rotation!$A$2:$J$10,2,FALSE)</f>
        <v>1</v>
      </c>
      <c r="L248" s="14">
        <f>VLOOKUP($C248,Rotation!$A$2:$J$10,3,FALSE)</f>
        <v>1</v>
      </c>
      <c r="M248" s="14">
        <f>VLOOKUP($C248,Rotation!$A$2:$J$10,4,FALSE)</f>
        <v>1</v>
      </c>
      <c r="N248" s="14">
        <f>VLOOKUP($C248,Rotation!$A$2:$J$10,5,FALSE)</f>
        <v>0</v>
      </c>
      <c r="O248" s="14">
        <f>VLOOKUP($C248,Rotation!$A$2:$J$10,6,FALSE)</f>
        <v>0</v>
      </c>
      <c r="P248" s="14">
        <f>VLOOKUP($C248,Rotation!$A$2:$J$10,7,FALSE)</f>
        <v>0</v>
      </c>
      <c r="Q248" s="14">
        <f>VLOOKUP($C248,Rotation!$A$2:$J$10,8,FALSE)</f>
        <v>0</v>
      </c>
      <c r="R248" s="14">
        <f>VLOOKUP($C248,Rotation!$A$2:$J$10,9,FALSE)</f>
        <v>0</v>
      </c>
      <c r="S248" s="14">
        <f>VLOOKUP($C248,Rotation!$A$2:$J$10,10,FALSE)</f>
        <v>0</v>
      </c>
    </row>
    <row r="249" spans="1:19" ht="18">
      <c r="A249" s="14">
        <v>247</v>
      </c>
      <c r="B249" s="14" t="s">
        <v>67</v>
      </c>
      <c r="C249" s="14" t="str">
        <f>VLOOKUP(B249,Family!B:C,2,FALSE)</f>
        <v>A</v>
      </c>
      <c r="D249" s="15">
        <v>78</v>
      </c>
      <c r="E249" s="14">
        <f>ROUND(VLOOKUP(C249,'Production Plan'!A:B,2,FALSE),2)</f>
        <v>407.17</v>
      </c>
      <c r="F249" s="16">
        <v>45721</v>
      </c>
      <c r="G249" s="17">
        <f>F249+6*7</f>
        <v>45763</v>
      </c>
      <c r="H249" s="14">
        <f>G249-F249</f>
        <v>42</v>
      </c>
      <c r="I249" s="14">
        <f>ROUND(D249/E249,3)</f>
        <v>0.192</v>
      </c>
      <c r="J249" s="14">
        <f>I249*24</f>
        <v>4.6080000000000005</v>
      </c>
      <c r="K249" s="14">
        <f>VLOOKUP($C249,Rotation!$A$2:$J$10,2,FALSE)</f>
        <v>1</v>
      </c>
      <c r="L249" s="14">
        <f>VLOOKUP($C249,Rotation!$A$2:$J$10,3,FALSE)</f>
        <v>1</v>
      </c>
      <c r="M249" s="14">
        <f>VLOOKUP($C249,Rotation!$A$2:$J$10,4,FALSE)</f>
        <v>1</v>
      </c>
      <c r="N249" s="14">
        <f>VLOOKUP($C249,Rotation!$A$2:$J$10,5,FALSE)</f>
        <v>0</v>
      </c>
      <c r="O249" s="14">
        <f>VLOOKUP($C249,Rotation!$A$2:$J$10,6,FALSE)</f>
        <v>0</v>
      </c>
      <c r="P249" s="14">
        <f>VLOOKUP($C249,Rotation!$A$2:$J$10,7,FALSE)</f>
        <v>0</v>
      </c>
      <c r="Q249" s="14">
        <f>VLOOKUP($C249,Rotation!$A$2:$J$10,8,FALSE)</f>
        <v>0</v>
      </c>
      <c r="R249" s="14">
        <f>VLOOKUP($C249,Rotation!$A$2:$J$10,9,FALSE)</f>
        <v>0</v>
      </c>
      <c r="S249" s="14">
        <f>VLOOKUP($C249,Rotation!$A$2:$J$10,10,FALSE)</f>
        <v>0</v>
      </c>
    </row>
    <row r="250" spans="1:19" ht="18">
      <c r="A250" s="14">
        <v>248</v>
      </c>
      <c r="B250" s="14" t="s">
        <v>65</v>
      </c>
      <c r="C250" s="14" t="str">
        <f>VLOOKUP(B250,Family!B:C,2,FALSE)</f>
        <v>A</v>
      </c>
      <c r="D250" s="15">
        <v>38</v>
      </c>
      <c r="E250" s="14">
        <f>ROUND(VLOOKUP(C250,'Production Plan'!A:B,2,FALSE),2)</f>
        <v>407.17</v>
      </c>
      <c r="F250" s="16">
        <v>45728</v>
      </c>
      <c r="G250" s="17">
        <f>F250+6*7</f>
        <v>45770</v>
      </c>
      <c r="H250" s="14">
        <f>G250-F250</f>
        <v>42</v>
      </c>
      <c r="I250" s="14">
        <f>ROUND(D250/E250,3)</f>
        <v>9.2999999999999999E-2</v>
      </c>
      <c r="J250" s="14">
        <f>I250*24</f>
        <v>2.2320000000000002</v>
      </c>
      <c r="K250" s="14">
        <f>VLOOKUP($C250,Rotation!$A$2:$J$10,2,FALSE)</f>
        <v>1</v>
      </c>
      <c r="L250" s="14">
        <f>VLOOKUP($C250,Rotation!$A$2:$J$10,3,FALSE)</f>
        <v>1</v>
      </c>
      <c r="M250" s="14">
        <f>VLOOKUP($C250,Rotation!$A$2:$J$10,4,FALSE)</f>
        <v>1</v>
      </c>
      <c r="N250" s="14">
        <f>VLOOKUP($C250,Rotation!$A$2:$J$10,5,FALSE)</f>
        <v>0</v>
      </c>
      <c r="O250" s="14">
        <f>VLOOKUP($C250,Rotation!$A$2:$J$10,6,FALSE)</f>
        <v>0</v>
      </c>
      <c r="P250" s="14">
        <f>VLOOKUP($C250,Rotation!$A$2:$J$10,7,FALSE)</f>
        <v>0</v>
      </c>
      <c r="Q250" s="14">
        <f>VLOOKUP($C250,Rotation!$A$2:$J$10,8,FALSE)</f>
        <v>0</v>
      </c>
      <c r="R250" s="14">
        <f>VLOOKUP($C250,Rotation!$A$2:$J$10,9,FALSE)</f>
        <v>0</v>
      </c>
      <c r="S250" s="14">
        <f>VLOOKUP($C250,Rotation!$A$2:$J$10,10,FALSE)</f>
        <v>0</v>
      </c>
    </row>
    <row r="251" spans="1:19" ht="18">
      <c r="A251" s="14">
        <v>249</v>
      </c>
      <c r="B251" s="14" t="s">
        <v>99</v>
      </c>
      <c r="C251" s="14" t="str">
        <f>VLOOKUP(B251,Family!B:C,2,FALSE)</f>
        <v>N</v>
      </c>
      <c r="D251" s="15">
        <v>310</v>
      </c>
      <c r="E251" s="14">
        <f>ROUND(VLOOKUP(C251,'Production Plan'!A:B,2,FALSE),2)</f>
        <v>334.18</v>
      </c>
      <c r="F251" s="16">
        <v>45706</v>
      </c>
      <c r="G251" s="17">
        <f>F251+6*7</f>
        <v>45748</v>
      </c>
      <c r="H251" s="14">
        <f>G251-F251</f>
        <v>42</v>
      </c>
      <c r="I251" s="14">
        <f>ROUND(D251/E251,3)</f>
        <v>0.92800000000000005</v>
      </c>
      <c r="J251" s="14">
        <f>I251*24</f>
        <v>22.272000000000002</v>
      </c>
      <c r="K251" s="14">
        <f>VLOOKUP($C251,Rotation!$A$2:$J$10,2,FALSE)</f>
        <v>1</v>
      </c>
      <c r="L251" s="14">
        <f>VLOOKUP($C251,Rotation!$A$2:$J$10,3,FALSE)</f>
        <v>0</v>
      </c>
      <c r="M251" s="14">
        <f>VLOOKUP($C251,Rotation!$A$2:$J$10,4,FALSE)</f>
        <v>0</v>
      </c>
      <c r="N251" s="14">
        <f>VLOOKUP($C251,Rotation!$A$2:$J$10,5,FALSE)</f>
        <v>0</v>
      </c>
      <c r="O251" s="14">
        <f>VLOOKUP($C251,Rotation!$A$2:$J$10,6,FALSE)</f>
        <v>0</v>
      </c>
      <c r="P251" s="14">
        <f>VLOOKUP($C251,Rotation!$A$2:$J$10,7,FALSE)</f>
        <v>0</v>
      </c>
      <c r="Q251" s="14">
        <f>VLOOKUP($C251,Rotation!$A$2:$J$10,8,FALSE)</f>
        <v>1</v>
      </c>
      <c r="R251" s="14">
        <f>VLOOKUP($C251,Rotation!$A$2:$J$10,9,FALSE)</f>
        <v>0</v>
      </c>
      <c r="S251" s="14">
        <f>VLOOKUP($C251,Rotation!$A$2:$J$10,10,FALSE)</f>
        <v>0</v>
      </c>
    </row>
    <row r="252" spans="1:19" ht="18">
      <c r="A252" s="14">
        <v>250</v>
      </c>
      <c r="B252" s="14" t="s">
        <v>94</v>
      </c>
      <c r="C252" s="14" t="str">
        <f>VLOOKUP(B252,Family!B:C,2,FALSE)</f>
        <v>H</v>
      </c>
      <c r="D252" s="15">
        <v>99</v>
      </c>
      <c r="E252" s="14">
        <f>ROUND(VLOOKUP(C252,'Production Plan'!A:B,2,FALSE),2)</f>
        <v>402.02</v>
      </c>
      <c r="F252" s="16">
        <v>45665</v>
      </c>
      <c r="G252" s="17">
        <f>F252+6*7</f>
        <v>45707</v>
      </c>
      <c r="H252" s="14">
        <f>G252-F252</f>
        <v>42</v>
      </c>
      <c r="I252" s="14">
        <f>ROUND(D252/E252,3)</f>
        <v>0.246</v>
      </c>
      <c r="J252" s="14">
        <f>I252*24</f>
        <v>5.9039999999999999</v>
      </c>
      <c r="K252" s="14">
        <f>VLOOKUP($C252,Rotation!$A$2:$J$10,2,FALSE)</f>
        <v>0</v>
      </c>
      <c r="L252" s="14">
        <f>VLOOKUP($C252,Rotation!$A$2:$J$10,3,FALSE)</f>
        <v>0</v>
      </c>
      <c r="M252" s="14">
        <f>VLOOKUP($C252,Rotation!$A$2:$J$10,4,FALSE)</f>
        <v>1</v>
      </c>
      <c r="N252" s="14">
        <f>VLOOKUP($C252,Rotation!$A$2:$J$10,5,FALSE)</f>
        <v>1</v>
      </c>
      <c r="O252" s="14">
        <f>VLOOKUP($C252,Rotation!$A$2:$J$10,6,FALSE)</f>
        <v>0</v>
      </c>
      <c r="P252" s="14">
        <f>VLOOKUP($C252,Rotation!$A$2:$J$10,7,FALSE)</f>
        <v>0</v>
      </c>
      <c r="Q252" s="14">
        <f>VLOOKUP($C252,Rotation!$A$2:$J$10,8,FALSE)</f>
        <v>0</v>
      </c>
      <c r="R252" s="14">
        <f>VLOOKUP($C252,Rotation!$A$2:$J$10,9,FALSE)</f>
        <v>0</v>
      </c>
      <c r="S252" s="14">
        <f>VLOOKUP($C252,Rotation!$A$2:$J$10,10,FALSE)</f>
        <v>0</v>
      </c>
    </row>
    <row r="253" spans="1:19" ht="18">
      <c r="A253" s="14">
        <v>251</v>
      </c>
      <c r="B253" s="14" t="s">
        <v>94</v>
      </c>
      <c r="C253" s="14" t="str">
        <f>VLOOKUP(B253,Family!B:C,2,FALSE)</f>
        <v>H</v>
      </c>
      <c r="D253" s="15">
        <v>99</v>
      </c>
      <c r="E253" s="14">
        <f>ROUND(VLOOKUP(C253,'Production Plan'!A:B,2,FALSE),2)</f>
        <v>402.02</v>
      </c>
      <c r="F253" s="16">
        <v>45665</v>
      </c>
      <c r="G253" s="17">
        <f>F253+6*7</f>
        <v>45707</v>
      </c>
      <c r="H253" s="14">
        <f>G253-F253</f>
        <v>42</v>
      </c>
      <c r="I253" s="14">
        <f>ROUND(D253/E253,3)</f>
        <v>0.246</v>
      </c>
      <c r="J253" s="14">
        <f>I253*24</f>
        <v>5.9039999999999999</v>
      </c>
      <c r="K253" s="14">
        <f>VLOOKUP($C253,Rotation!$A$2:$J$10,2,FALSE)</f>
        <v>0</v>
      </c>
      <c r="L253" s="14">
        <f>VLOOKUP($C253,Rotation!$A$2:$J$10,3,FALSE)</f>
        <v>0</v>
      </c>
      <c r="M253" s="14">
        <f>VLOOKUP($C253,Rotation!$A$2:$J$10,4,FALSE)</f>
        <v>1</v>
      </c>
      <c r="N253" s="14">
        <f>VLOOKUP($C253,Rotation!$A$2:$J$10,5,FALSE)</f>
        <v>1</v>
      </c>
      <c r="O253" s="14">
        <f>VLOOKUP($C253,Rotation!$A$2:$J$10,6,FALSE)</f>
        <v>0</v>
      </c>
      <c r="P253" s="14">
        <f>VLOOKUP($C253,Rotation!$A$2:$J$10,7,FALSE)</f>
        <v>0</v>
      </c>
      <c r="Q253" s="14">
        <f>VLOOKUP($C253,Rotation!$A$2:$J$10,8,FALSE)</f>
        <v>0</v>
      </c>
      <c r="R253" s="14">
        <f>VLOOKUP($C253,Rotation!$A$2:$J$10,9,FALSE)</f>
        <v>0</v>
      </c>
      <c r="S253" s="14">
        <f>VLOOKUP($C253,Rotation!$A$2:$J$10,10,FALSE)</f>
        <v>0</v>
      </c>
    </row>
    <row r="254" spans="1:19" ht="18">
      <c r="A254" s="14">
        <v>252</v>
      </c>
      <c r="B254" s="14" t="s">
        <v>94</v>
      </c>
      <c r="C254" s="14" t="str">
        <f>VLOOKUP(B254,Family!B:C,2,FALSE)</f>
        <v>H</v>
      </c>
      <c r="D254" s="15">
        <v>99</v>
      </c>
      <c r="E254" s="14">
        <f>ROUND(VLOOKUP(C254,'Production Plan'!A:B,2,FALSE),2)</f>
        <v>402.02</v>
      </c>
      <c r="F254" s="16">
        <v>45665</v>
      </c>
      <c r="G254" s="17">
        <f>F254+6*7</f>
        <v>45707</v>
      </c>
      <c r="H254" s="14">
        <f>G254-F254</f>
        <v>42</v>
      </c>
      <c r="I254" s="14">
        <f>ROUND(D254/E254,3)</f>
        <v>0.246</v>
      </c>
      <c r="J254" s="14">
        <f>I254*24</f>
        <v>5.9039999999999999</v>
      </c>
      <c r="K254" s="14">
        <f>VLOOKUP($C254,Rotation!$A$2:$J$10,2,FALSE)</f>
        <v>0</v>
      </c>
      <c r="L254" s="14">
        <f>VLOOKUP($C254,Rotation!$A$2:$J$10,3,FALSE)</f>
        <v>0</v>
      </c>
      <c r="M254" s="14">
        <f>VLOOKUP($C254,Rotation!$A$2:$J$10,4,FALSE)</f>
        <v>1</v>
      </c>
      <c r="N254" s="14">
        <f>VLOOKUP($C254,Rotation!$A$2:$J$10,5,FALSE)</f>
        <v>1</v>
      </c>
      <c r="O254" s="14">
        <f>VLOOKUP($C254,Rotation!$A$2:$J$10,6,FALSE)</f>
        <v>0</v>
      </c>
      <c r="P254" s="14">
        <f>VLOOKUP($C254,Rotation!$A$2:$J$10,7,FALSE)</f>
        <v>0</v>
      </c>
      <c r="Q254" s="14">
        <f>VLOOKUP($C254,Rotation!$A$2:$J$10,8,FALSE)</f>
        <v>0</v>
      </c>
      <c r="R254" s="14">
        <f>VLOOKUP($C254,Rotation!$A$2:$J$10,9,FALSE)</f>
        <v>0</v>
      </c>
      <c r="S254" s="14">
        <f>VLOOKUP($C254,Rotation!$A$2:$J$10,10,FALSE)</f>
        <v>0</v>
      </c>
    </row>
    <row r="255" spans="1:19" ht="18">
      <c r="A255" s="14">
        <v>253</v>
      </c>
      <c r="B255" s="14" t="s">
        <v>106</v>
      </c>
      <c r="C255" s="14" t="str">
        <f>VLOOKUP(B255,Family!B:C,2,FALSE)</f>
        <v>P</v>
      </c>
      <c r="D255" s="15">
        <v>19</v>
      </c>
      <c r="E255" s="14">
        <f>ROUND(VLOOKUP(C255,'Production Plan'!A:B,2,FALSE),2)</f>
        <v>409.15</v>
      </c>
      <c r="F255" s="16">
        <v>45702</v>
      </c>
      <c r="G255" s="17">
        <f>F255+6*7</f>
        <v>45744</v>
      </c>
      <c r="H255" s="14">
        <f>G255-F255</f>
        <v>42</v>
      </c>
      <c r="I255" s="14">
        <f>ROUND(D255/E255,3)</f>
        <v>4.5999999999999999E-2</v>
      </c>
      <c r="J255" s="14">
        <f>I255*24</f>
        <v>1.1040000000000001</v>
      </c>
      <c r="K255" s="14">
        <f>VLOOKUP($C255,Rotation!$A$2:$J$10,2,FALSE)</f>
        <v>1</v>
      </c>
      <c r="L255" s="14">
        <f>VLOOKUP($C255,Rotation!$A$2:$J$10,3,FALSE)</f>
        <v>1</v>
      </c>
      <c r="M255" s="14">
        <f>VLOOKUP($C255,Rotation!$A$2:$J$10,4,FALSE)</f>
        <v>0</v>
      </c>
      <c r="N255" s="14">
        <f>VLOOKUP($C255,Rotation!$A$2:$J$10,5,FALSE)</f>
        <v>0</v>
      </c>
      <c r="O255" s="14">
        <f>VLOOKUP($C255,Rotation!$A$2:$J$10,6,FALSE)</f>
        <v>0</v>
      </c>
      <c r="P255" s="14">
        <f>VLOOKUP($C255,Rotation!$A$2:$J$10,7,FALSE)</f>
        <v>0</v>
      </c>
      <c r="Q255" s="14">
        <f>VLOOKUP($C255,Rotation!$A$2:$J$10,8,FALSE)</f>
        <v>0</v>
      </c>
      <c r="R255" s="14">
        <f>VLOOKUP($C255,Rotation!$A$2:$J$10,9,FALSE)</f>
        <v>0</v>
      </c>
      <c r="S255" s="14">
        <f>VLOOKUP($C255,Rotation!$A$2:$J$10,10,FALSE)</f>
        <v>0</v>
      </c>
    </row>
    <row r="256" spans="1:19" ht="18">
      <c r="A256" s="14">
        <v>254</v>
      </c>
      <c r="B256" s="14" t="s">
        <v>98</v>
      </c>
      <c r="C256" s="14" t="str">
        <f>VLOOKUP(B256,Family!B:C,2,FALSE)</f>
        <v>H</v>
      </c>
      <c r="D256" s="15">
        <v>19</v>
      </c>
      <c r="E256" s="14">
        <f>ROUND(VLOOKUP(C256,'Production Plan'!A:B,2,FALSE),2)</f>
        <v>402.02</v>
      </c>
      <c r="F256" s="16">
        <v>45705</v>
      </c>
      <c r="G256" s="17">
        <f>F256+6*7</f>
        <v>45747</v>
      </c>
      <c r="H256" s="14">
        <f>G256-F256</f>
        <v>42</v>
      </c>
      <c r="I256" s="14">
        <f>ROUND(D256/E256,3)</f>
        <v>4.7E-2</v>
      </c>
      <c r="J256" s="14">
        <f>I256*24</f>
        <v>1.1280000000000001</v>
      </c>
      <c r="K256" s="14">
        <f>VLOOKUP($C256,Rotation!$A$2:$J$10,2,FALSE)</f>
        <v>0</v>
      </c>
      <c r="L256" s="14">
        <f>VLOOKUP($C256,Rotation!$A$2:$J$10,3,FALSE)</f>
        <v>0</v>
      </c>
      <c r="M256" s="14">
        <f>VLOOKUP($C256,Rotation!$A$2:$J$10,4,FALSE)</f>
        <v>1</v>
      </c>
      <c r="N256" s="14">
        <f>VLOOKUP($C256,Rotation!$A$2:$J$10,5,FALSE)</f>
        <v>1</v>
      </c>
      <c r="O256" s="14">
        <f>VLOOKUP($C256,Rotation!$A$2:$J$10,6,FALSE)</f>
        <v>0</v>
      </c>
      <c r="P256" s="14">
        <f>VLOOKUP($C256,Rotation!$A$2:$J$10,7,FALSE)</f>
        <v>0</v>
      </c>
      <c r="Q256" s="14">
        <f>VLOOKUP($C256,Rotation!$A$2:$J$10,8,FALSE)</f>
        <v>0</v>
      </c>
      <c r="R256" s="14">
        <f>VLOOKUP($C256,Rotation!$A$2:$J$10,9,FALSE)</f>
        <v>0</v>
      </c>
      <c r="S256" s="14">
        <f>VLOOKUP($C256,Rotation!$A$2:$J$10,10,FALSE)</f>
        <v>0</v>
      </c>
    </row>
    <row r="257" spans="1:19" ht="18">
      <c r="A257" s="14">
        <v>255</v>
      </c>
      <c r="B257" s="14" t="s">
        <v>67</v>
      </c>
      <c r="C257" s="14" t="str">
        <f>VLOOKUP(B257,Family!B:C,2,FALSE)</f>
        <v>A</v>
      </c>
      <c r="D257" s="15">
        <v>78</v>
      </c>
      <c r="E257" s="14">
        <f>ROUND(VLOOKUP(C257,'Production Plan'!A:B,2,FALSE),2)</f>
        <v>407.17</v>
      </c>
      <c r="F257" s="16">
        <v>45721</v>
      </c>
      <c r="G257" s="17">
        <f>F257+6*7</f>
        <v>45763</v>
      </c>
      <c r="H257" s="14">
        <f>G257-F257</f>
        <v>42</v>
      </c>
      <c r="I257" s="14">
        <f>ROUND(D257/E257,3)</f>
        <v>0.192</v>
      </c>
      <c r="J257" s="14">
        <f>I257*24</f>
        <v>4.6080000000000005</v>
      </c>
      <c r="K257" s="14">
        <f>VLOOKUP($C257,Rotation!$A$2:$J$10,2,FALSE)</f>
        <v>1</v>
      </c>
      <c r="L257" s="14">
        <f>VLOOKUP($C257,Rotation!$A$2:$J$10,3,FALSE)</f>
        <v>1</v>
      </c>
      <c r="M257" s="14">
        <f>VLOOKUP($C257,Rotation!$A$2:$J$10,4,FALSE)</f>
        <v>1</v>
      </c>
      <c r="N257" s="14">
        <f>VLOOKUP($C257,Rotation!$A$2:$J$10,5,FALSE)</f>
        <v>0</v>
      </c>
      <c r="O257" s="14">
        <f>VLOOKUP($C257,Rotation!$A$2:$J$10,6,FALSE)</f>
        <v>0</v>
      </c>
      <c r="P257" s="14">
        <f>VLOOKUP($C257,Rotation!$A$2:$J$10,7,FALSE)</f>
        <v>0</v>
      </c>
      <c r="Q257" s="14">
        <f>VLOOKUP($C257,Rotation!$A$2:$J$10,8,FALSE)</f>
        <v>0</v>
      </c>
      <c r="R257" s="14">
        <f>VLOOKUP($C257,Rotation!$A$2:$J$10,9,FALSE)</f>
        <v>0</v>
      </c>
      <c r="S257" s="14">
        <f>VLOOKUP($C257,Rotation!$A$2:$J$10,10,FALSE)</f>
        <v>0</v>
      </c>
    </row>
    <row r="258" spans="1:19" ht="18">
      <c r="A258" s="14">
        <v>256</v>
      </c>
      <c r="B258" s="14" t="s">
        <v>108</v>
      </c>
      <c r="C258" s="14" t="str">
        <f>VLOOKUP(B258,Family!B:C,2,FALSE)</f>
        <v>P</v>
      </c>
      <c r="D258" s="15">
        <v>54</v>
      </c>
      <c r="E258" s="14">
        <f>ROUND(VLOOKUP(C258,'Production Plan'!A:B,2,FALSE),2)</f>
        <v>409.15</v>
      </c>
      <c r="F258" s="16">
        <v>45716</v>
      </c>
      <c r="G258" s="17">
        <f>F258+6*7</f>
        <v>45758</v>
      </c>
      <c r="H258" s="14">
        <f>G258-F258</f>
        <v>42</v>
      </c>
      <c r="I258" s="14">
        <f>ROUND(D258/E258,3)</f>
        <v>0.13200000000000001</v>
      </c>
      <c r="J258" s="14">
        <f>I258*24</f>
        <v>3.1680000000000001</v>
      </c>
      <c r="K258" s="14">
        <f>VLOOKUP($C258,Rotation!$A$2:$J$10,2,FALSE)</f>
        <v>1</v>
      </c>
      <c r="L258" s="14">
        <f>VLOOKUP($C258,Rotation!$A$2:$J$10,3,FALSE)</f>
        <v>1</v>
      </c>
      <c r="M258" s="14">
        <f>VLOOKUP($C258,Rotation!$A$2:$J$10,4,FALSE)</f>
        <v>0</v>
      </c>
      <c r="N258" s="14">
        <f>VLOOKUP($C258,Rotation!$A$2:$J$10,5,FALSE)</f>
        <v>0</v>
      </c>
      <c r="O258" s="14">
        <f>VLOOKUP($C258,Rotation!$A$2:$J$10,6,FALSE)</f>
        <v>0</v>
      </c>
      <c r="P258" s="14">
        <f>VLOOKUP($C258,Rotation!$A$2:$J$10,7,FALSE)</f>
        <v>0</v>
      </c>
      <c r="Q258" s="14">
        <f>VLOOKUP($C258,Rotation!$A$2:$J$10,8,FALSE)</f>
        <v>0</v>
      </c>
      <c r="R258" s="14">
        <f>VLOOKUP($C258,Rotation!$A$2:$J$10,9,FALSE)</f>
        <v>0</v>
      </c>
      <c r="S258" s="14">
        <f>VLOOKUP($C258,Rotation!$A$2:$J$10,10,FALSE)</f>
        <v>0</v>
      </c>
    </row>
    <row r="259" spans="1:19" ht="18">
      <c r="A259" s="14">
        <v>257</v>
      </c>
      <c r="B259" s="14" t="s">
        <v>106</v>
      </c>
      <c r="C259" s="14" t="str">
        <f>VLOOKUP(B259,Family!B:C,2,FALSE)</f>
        <v>P</v>
      </c>
      <c r="D259" s="15">
        <v>19</v>
      </c>
      <c r="E259" s="14">
        <f>ROUND(VLOOKUP(C259,'Production Plan'!A:B,2,FALSE),2)</f>
        <v>409.15</v>
      </c>
      <c r="F259" s="16">
        <v>45749</v>
      </c>
      <c r="G259" s="17">
        <f>F259+6*7</f>
        <v>45791</v>
      </c>
      <c r="H259" s="14">
        <f>G259-F259</f>
        <v>42</v>
      </c>
      <c r="I259" s="14">
        <f>ROUND(D259/E259,3)</f>
        <v>4.5999999999999999E-2</v>
      </c>
      <c r="J259" s="14">
        <f>I259*24</f>
        <v>1.1040000000000001</v>
      </c>
      <c r="K259" s="14">
        <f>VLOOKUP($C259,Rotation!$A$2:$J$10,2,FALSE)</f>
        <v>1</v>
      </c>
      <c r="L259" s="14">
        <f>VLOOKUP($C259,Rotation!$A$2:$J$10,3,FALSE)</f>
        <v>1</v>
      </c>
      <c r="M259" s="14">
        <f>VLOOKUP($C259,Rotation!$A$2:$J$10,4,FALSE)</f>
        <v>0</v>
      </c>
      <c r="N259" s="14">
        <f>VLOOKUP($C259,Rotation!$A$2:$J$10,5,FALSE)</f>
        <v>0</v>
      </c>
      <c r="O259" s="14">
        <f>VLOOKUP($C259,Rotation!$A$2:$J$10,6,FALSE)</f>
        <v>0</v>
      </c>
      <c r="P259" s="14">
        <f>VLOOKUP($C259,Rotation!$A$2:$J$10,7,FALSE)</f>
        <v>0</v>
      </c>
      <c r="Q259" s="14">
        <f>VLOOKUP($C259,Rotation!$A$2:$J$10,8,FALSE)</f>
        <v>0</v>
      </c>
      <c r="R259" s="14">
        <f>VLOOKUP($C259,Rotation!$A$2:$J$10,9,FALSE)</f>
        <v>0</v>
      </c>
      <c r="S259" s="14">
        <f>VLOOKUP($C259,Rotation!$A$2:$J$10,10,FALSE)</f>
        <v>0</v>
      </c>
    </row>
    <row r="260" spans="1:19" ht="18">
      <c r="A260" s="14">
        <v>258</v>
      </c>
      <c r="B260" s="14" t="s">
        <v>65</v>
      </c>
      <c r="C260" s="14" t="str">
        <f>VLOOKUP(B260,Family!B:C,2,FALSE)</f>
        <v>A</v>
      </c>
      <c r="D260" s="15">
        <v>38</v>
      </c>
      <c r="E260" s="14">
        <f>ROUND(VLOOKUP(C260,'Production Plan'!A:B,2,FALSE),2)</f>
        <v>407.17</v>
      </c>
      <c r="F260" s="16">
        <v>45728</v>
      </c>
      <c r="G260" s="17">
        <f>F260+6*7</f>
        <v>45770</v>
      </c>
      <c r="H260" s="14">
        <f>G260-F260</f>
        <v>42</v>
      </c>
      <c r="I260" s="14">
        <f>ROUND(D260/E260,3)</f>
        <v>9.2999999999999999E-2</v>
      </c>
      <c r="J260" s="14">
        <f>I260*24</f>
        <v>2.2320000000000002</v>
      </c>
      <c r="K260" s="14">
        <f>VLOOKUP($C260,Rotation!$A$2:$J$10,2,FALSE)</f>
        <v>1</v>
      </c>
      <c r="L260" s="14">
        <f>VLOOKUP($C260,Rotation!$A$2:$J$10,3,FALSE)</f>
        <v>1</v>
      </c>
      <c r="M260" s="14">
        <f>VLOOKUP($C260,Rotation!$A$2:$J$10,4,FALSE)</f>
        <v>1</v>
      </c>
      <c r="N260" s="14">
        <f>VLOOKUP($C260,Rotation!$A$2:$J$10,5,FALSE)</f>
        <v>0</v>
      </c>
      <c r="O260" s="14">
        <f>VLOOKUP($C260,Rotation!$A$2:$J$10,6,FALSE)</f>
        <v>0</v>
      </c>
      <c r="P260" s="14">
        <f>VLOOKUP($C260,Rotation!$A$2:$J$10,7,FALSE)</f>
        <v>0</v>
      </c>
      <c r="Q260" s="14">
        <f>VLOOKUP($C260,Rotation!$A$2:$J$10,8,FALSE)</f>
        <v>0</v>
      </c>
      <c r="R260" s="14">
        <f>VLOOKUP($C260,Rotation!$A$2:$J$10,9,FALSE)</f>
        <v>0</v>
      </c>
      <c r="S260" s="14">
        <f>VLOOKUP($C260,Rotation!$A$2:$J$10,10,FALSE)</f>
        <v>0</v>
      </c>
    </row>
    <row r="261" spans="1:19" ht="18">
      <c r="A261" s="14">
        <v>259</v>
      </c>
      <c r="B261" s="14" t="s">
        <v>77</v>
      </c>
      <c r="C261" s="14" t="str">
        <f>VLOOKUP(B261,Family!B:C,2,FALSE)</f>
        <v>E</v>
      </c>
      <c r="D261" s="15">
        <v>18</v>
      </c>
      <c r="E261" s="14">
        <f>ROUND(VLOOKUP(C261,'Production Plan'!A:B,2,FALSE),2)</f>
        <v>333.66</v>
      </c>
      <c r="F261" s="16">
        <v>45665</v>
      </c>
      <c r="G261" s="17">
        <f>F261+6*7</f>
        <v>45707</v>
      </c>
      <c r="H261" s="14">
        <f>G261-F261</f>
        <v>42</v>
      </c>
      <c r="I261" s="14">
        <f>ROUND(D261/E261,3)</f>
        <v>5.3999999999999999E-2</v>
      </c>
      <c r="J261" s="14">
        <f>I261*24</f>
        <v>1.296</v>
      </c>
      <c r="K261" s="14">
        <f>VLOOKUP($C261,Rotation!$A$2:$J$10,2,FALSE)</f>
        <v>1</v>
      </c>
      <c r="L261" s="14">
        <f>VLOOKUP($C261,Rotation!$A$2:$J$10,3,FALSE)</f>
        <v>0</v>
      </c>
      <c r="M261" s="14">
        <f>VLOOKUP($C261,Rotation!$A$2:$J$10,4,FALSE)</f>
        <v>0</v>
      </c>
      <c r="N261" s="14">
        <f>VLOOKUP($C261,Rotation!$A$2:$J$10,5,FALSE)</f>
        <v>0</v>
      </c>
      <c r="O261" s="14">
        <f>VLOOKUP($C261,Rotation!$A$2:$J$10,6,FALSE)</f>
        <v>0</v>
      </c>
      <c r="P261" s="14">
        <f>VLOOKUP($C261,Rotation!$A$2:$J$10,7,FALSE)</f>
        <v>1</v>
      </c>
      <c r="Q261" s="14">
        <f>VLOOKUP($C261,Rotation!$A$2:$J$10,8,FALSE)</f>
        <v>0</v>
      </c>
      <c r="R261" s="14">
        <f>VLOOKUP($C261,Rotation!$A$2:$J$10,9,FALSE)</f>
        <v>0</v>
      </c>
      <c r="S261" s="14">
        <f>VLOOKUP($C261,Rotation!$A$2:$J$10,10,FALSE)</f>
        <v>0</v>
      </c>
    </row>
    <row r="262" spans="1:19" ht="18">
      <c r="A262" s="14">
        <v>260</v>
      </c>
      <c r="B262" s="14" t="s">
        <v>68</v>
      </c>
      <c r="C262" s="14" t="str">
        <f>VLOOKUP(B262,Family!B:C,2,FALSE)</f>
        <v>A</v>
      </c>
      <c r="D262" s="15">
        <v>504</v>
      </c>
      <c r="E262" s="14">
        <f>ROUND(VLOOKUP(C262,'Production Plan'!A:B,2,FALSE),2)</f>
        <v>407.17</v>
      </c>
      <c r="F262" s="16">
        <v>45681</v>
      </c>
      <c r="G262" s="17">
        <f>F262+6*7</f>
        <v>45723</v>
      </c>
      <c r="H262" s="14">
        <f>G262-F262</f>
        <v>42</v>
      </c>
      <c r="I262" s="14">
        <f>ROUND(D262/E262,3)</f>
        <v>1.238</v>
      </c>
      <c r="J262" s="14">
        <f>I262*24</f>
        <v>29.712</v>
      </c>
      <c r="K262" s="14">
        <f>VLOOKUP($C262,Rotation!$A$2:$J$10,2,FALSE)</f>
        <v>1</v>
      </c>
      <c r="L262" s="14">
        <f>VLOOKUP($C262,Rotation!$A$2:$J$10,3,FALSE)</f>
        <v>1</v>
      </c>
      <c r="M262" s="14">
        <f>VLOOKUP($C262,Rotation!$A$2:$J$10,4,FALSE)</f>
        <v>1</v>
      </c>
      <c r="N262" s="14">
        <f>VLOOKUP($C262,Rotation!$A$2:$J$10,5,FALSE)</f>
        <v>0</v>
      </c>
      <c r="O262" s="14">
        <f>VLOOKUP($C262,Rotation!$A$2:$J$10,6,FALSE)</f>
        <v>0</v>
      </c>
      <c r="P262" s="14">
        <f>VLOOKUP($C262,Rotation!$A$2:$J$10,7,FALSE)</f>
        <v>0</v>
      </c>
      <c r="Q262" s="14">
        <f>VLOOKUP($C262,Rotation!$A$2:$J$10,8,FALSE)</f>
        <v>0</v>
      </c>
      <c r="R262" s="14">
        <f>VLOOKUP($C262,Rotation!$A$2:$J$10,9,FALSE)</f>
        <v>0</v>
      </c>
      <c r="S262" s="14">
        <f>VLOOKUP($C262,Rotation!$A$2:$J$10,10,FALSE)</f>
        <v>0</v>
      </c>
    </row>
    <row r="263" spans="1:19" ht="18">
      <c r="A263" s="14">
        <v>261</v>
      </c>
      <c r="B263" s="14" t="s">
        <v>88</v>
      </c>
      <c r="C263" s="14" t="str">
        <f>VLOOKUP(B263,Family!B:C,2,FALSE)</f>
        <v>E</v>
      </c>
      <c r="D263" s="15">
        <v>18</v>
      </c>
      <c r="E263" s="14">
        <f>ROUND(VLOOKUP(C263,'Production Plan'!A:B,2,FALSE),2)</f>
        <v>333.66</v>
      </c>
      <c r="F263" s="16">
        <v>45674</v>
      </c>
      <c r="G263" s="17">
        <f>F263+6*7</f>
        <v>45716</v>
      </c>
      <c r="H263" s="14">
        <f>G263-F263</f>
        <v>42</v>
      </c>
      <c r="I263" s="14">
        <f>ROUND(D263/E263,3)</f>
        <v>5.3999999999999999E-2</v>
      </c>
      <c r="J263" s="14">
        <f>I263*24</f>
        <v>1.296</v>
      </c>
      <c r="K263" s="14">
        <f>VLOOKUP($C263,Rotation!$A$2:$J$10,2,FALSE)</f>
        <v>1</v>
      </c>
      <c r="L263" s="14">
        <f>VLOOKUP($C263,Rotation!$A$2:$J$10,3,FALSE)</f>
        <v>0</v>
      </c>
      <c r="M263" s="14">
        <f>VLOOKUP($C263,Rotation!$A$2:$J$10,4,FALSE)</f>
        <v>0</v>
      </c>
      <c r="N263" s="14">
        <f>VLOOKUP($C263,Rotation!$A$2:$J$10,5,FALSE)</f>
        <v>0</v>
      </c>
      <c r="O263" s="14">
        <f>VLOOKUP($C263,Rotation!$A$2:$J$10,6,FALSE)</f>
        <v>0</v>
      </c>
      <c r="P263" s="14">
        <f>VLOOKUP($C263,Rotation!$A$2:$J$10,7,FALSE)</f>
        <v>1</v>
      </c>
      <c r="Q263" s="14">
        <f>VLOOKUP($C263,Rotation!$A$2:$J$10,8,FALSE)</f>
        <v>0</v>
      </c>
      <c r="R263" s="14">
        <f>VLOOKUP($C263,Rotation!$A$2:$J$10,9,FALSE)</f>
        <v>0</v>
      </c>
      <c r="S263" s="14">
        <f>VLOOKUP($C263,Rotation!$A$2:$J$10,10,FALSE)</f>
        <v>0</v>
      </c>
    </row>
    <row r="264" spans="1:19" ht="18">
      <c r="A264" s="14">
        <v>262</v>
      </c>
      <c r="B264" s="14" t="s">
        <v>106</v>
      </c>
      <c r="C264" s="14" t="str">
        <f>VLOOKUP(B264,Family!B:C,2,FALSE)</f>
        <v>P</v>
      </c>
      <c r="D264" s="15">
        <v>19</v>
      </c>
      <c r="E264" s="14">
        <f>ROUND(VLOOKUP(C264,'Production Plan'!A:B,2,FALSE),2)</f>
        <v>409.15</v>
      </c>
      <c r="F264" s="16">
        <v>45702</v>
      </c>
      <c r="G264" s="17">
        <f>F264+6*7</f>
        <v>45744</v>
      </c>
      <c r="H264" s="14">
        <f>G264-F264</f>
        <v>42</v>
      </c>
      <c r="I264" s="14">
        <f>ROUND(D264/E264,3)</f>
        <v>4.5999999999999999E-2</v>
      </c>
      <c r="J264" s="14">
        <f>I264*24</f>
        <v>1.1040000000000001</v>
      </c>
      <c r="K264" s="14">
        <f>VLOOKUP($C264,Rotation!$A$2:$J$10,2,FALSE)</f>
        <v>1</v>
      </c>
      <c r="L264" s="14">
        <f>VLOOKUP($C264,Rotation!$A$2:$J$10,3,FALSE)</f>
        <v>1</v>
      </c>
      <c r="M264" s="14">
        <f>VLOOKUP($C264,Rotation!$A$2:$J$10,4,FALSE)</f>
        <v>0</v>
      </c>
      <c r="N264" s="14">
        <f>VLOOKUP($C264,Rotation!$A$2:$J$10,5,FALSE)</f>
        <v>0</v>
      </c>
      <c r="O264" s="14">
        <f>VLOOKUP($C264,Rotation!$A$2:$J$10,6,FALSE)</f>
        <v>0</v>
      </c>
      <c r="P264" s="14">
        <f>VLOOKUP($C264,Rotation!$A$2:$J$10,7,FALSE)</f>
        <v>0</v>
      </c>
      <c r="Q264" s="14">
        <f>VLOOKUP($C264,Rotation!$A$2:$J$10,8,FALSE)</f>
        <v>0</v>
      </c>
      <c r="R264" s="14">
        <f>VLOOKUP($C264,Rotation!$A$2:$J$10,9,FALSE)</f>
        <v>0</v>
      </c>
      <c r="S264" s="14">
        <f>VLOOKUP($C264,Rotation!$A$2:$J$10,10,FALSE)</f>
        <v>0</v>
      </c>
    </row>
    <row r="265" spans="1:19" ht="18">
      <c r="A265" s="14">
        <v>263</v>
      </c>
      <c r="B265" s="14" t="s">
        <v>106</v>
      </c>
      <c r="C265" s="14" t="str">
        <f>VLOOKUP(B265,Family!B:C,2,FALSE)</f>
        <v>P</v>
      </c>
      <c r="D265" s="15">
        <v>19</v>
      </c>
      <c r="E265" s="14">
        <f>ROUND(VLOOKUP(C265,'Production Plan'!A:B,2,FALSE),2)</f>
        <v>409.15</v>
      </c>
      <c r="F265" s="16">
        <v>45702</v>
      </c>
      <c r="G265" s="17">
        <f>F265+6*7</f>
        <v>45744</v>
      </c>
      <c r="H265" s="14">
        <f>G265-F265</f>
        <v>42</v>
      </c>
      <c r="I265" s="14">
        <f>ROUND(D265/E265,3)</f>
        <v>4.5999999999999999E-2</v>
      </c>
      <c r="J265" s="14">
        <f>I265*24</f>
        <v>1.1040000000000001</v>
      </c>
      <c r="K265" s="14">
        <f>VLOOKUP($C265,Rotation!$A$2:$J$10,2,FALSE)</f>
        <v>1</v>
      </c>
      <c r="L265" s="14">
        <f>VLOOKUP($C265,Rotation!$A$2:$J$10,3,FALSE)</f>
        <v>1</v>
      </c>
      <c r="M265" s="14">
        <f>VLOOKUP($C265,Rotation!$A$2:$J$10,4,FALSE)</f>
        <v>0</v>
      </c>
      <c r="N265" s="14">
        <f>VLOOKUP($C265,Rotation!$A$2:$J$10,5,FALSE)</f>
        <v>0</v>
      </c>
      <c r="O265" s="14">
        <f>VLOOKUP($C265,Rotation!$A$2:$J$10,6,FALSE)</f>
        <v>0</v>
      </c>
      <c r="P265" s="14">
        <f>VLOOKUP($C265,Rotation!$A$2:$J$10,7,FALSE)</f>
        <v>0</v>
      </c>
      <c r="Q265" s="14">
        <f>VLOOKUP($C265,Rotation!$A$2:$J$10,8,FALSE)</f>
        <v>0</v>
      </c>
      <c r="R265" s="14">
        <f>VLOOKUP($C265,Rotation!$A$2:$J$10,9,FALSE)</f>
        <v>0</v>
      </c>
      <c r="S265" s="14">
        <f>VLOOKUP($C265,Rotation!$A$2:$J$10,10,FALSE)</f>
        <v>0</v>
      </c>
    </row>
    <row r="266" spans="1:19" ht="18">
      <c r="A266" s="14">
        <v>264</v>
      </c>
      <c r="B266" s="14" t="s">
        <v>98</v>
      </c>
      <c r="C266" s="14" t="str">
        <f>VLOOKUP(B266,Family!B:C,2,FALSE)</f>
        <v>H</v>
      </c>
      <c r="D266" s="15">
        <v>19</v>
      </c>
      <c r="E266" s="14">
        <f>ROUND(VLOOKUP(C266,'Production Plan'!A:B,2,FALSE),2)</f>
        <v>402.02</v>
      </c>
      <c r="F266" s="16">
        <v>45705</v>
      </c>
      <c r="G266" s="17">
        <f>F266+6*7</f>
        <v>45747</v>
      </c>
      <c r="H266" s="14">
        <f>G266-F266</f>
        <v>42</v>
      </c>
      <c r="I266" s="14">
        <f>ROUND(D266/E266,3)</f>
        <v>4.7E-2</v>
      </c>
      <c r="J266" s="14">
        <f>I266*24</f>
        <v>1.1280000000000001</v>
      </c>
      <c r="K266" s="14">
        <f>VLOOKUP($C266,Rotation!$A$2:$J$10,2,FALSE)</f>
        <v>0</v>
      </c>
      <c r="L266" s="14">
        <f>VLOOKUP($C266,Rotation!$A$2:$J$10,3,FALSE)</f>
        <v>0</v>
      </c>
      <c r="M266" s="14">
        <f>VLOOKUP($C266,Rotation!$A$2:$J$10,4,FALSE)</f>
        <v>1</v>
      </c>
      <c r="N266" s="14">
        <f>VLOOKUP($C266,Rotation!$A$2:$J$10,5,FALSE)</f>
        <v>1</v>
      </c>
      <c r="O266" s="14">
        <f>VLOOKUP($C266,Rotation!$A$2:$J$10,6,FALSE)</f>
        <v>0</v>
      </c>
      <c r="P266" s="14">
        <f>VLOOKUP($C266,Rotation!$A$2:$J$10,7,FALSE)</f>
        <v>0</v>
      </c>
      <c r="Q266" s="14">
        <f>VLOOKUP($C266,Rotation!$A$2:$J$10,8,FALSE)</f>
        <v>0</v>
      </c>
      <c r="R266" s="14">
        <f>VLOOKUP($C266,Rotation!$A$2:$J$10,9,FALSE)</f>
        <v>0</v>
      </c>
      <c r="S266" s="14">
        <f>VLOOKUP($C266,Rotation!$A$2:$J$10,10,FALSE)</f>
        <v>0</v>
      </c>
    </row>
    <row r="267" spans="1:19" ht="18">
      <c r="A267" s="14">
        <v>265</v>
      </c>
      <c r="B267" s="14" t="s">
        <v>99</v>
      </c>
      <c r="C267" s="14" t="str">
        <f>VLOOKUP(B267,Family!B:C,2,FALSE)</f>
        <v>N</v>
      </c>
      <c r="D267" s="15">
        <v>166</v>
      </c>
      <c r="E267" s="14">
        <f>ROUND(VLOOKUP(C267,'Production Plan'!A:B,2,FALSE),2)</f>
        <v>334.18</v>
      </c>
      <c r="F267" s="16">
        <v>45742</v>
      </c>
      <c r="G267" s="17">
        <f>F267+6*7</f>
        <v>45784</v>
      </c>
      <c r="H267" s="14">
        <f>G267-F267</f>
        <v>42</v>
      </c>
      <c r="I267" s="14">
        <f>ROUND(D267/E267,3)</f>
        <v>0.497</v>
      </c>
      <c r="J267" s="14">
        <f>I267*24</f>
        <v>11.928000000000001</v>
      </c>
      <c r="K267" s="14">
        <f>VLOOKUP($C267,Rotation!$A$2:$J$10,2,FALSE)</f>
        <v>1</v>
      </c>
      <c r="L267" s="14">
        <f>VLOOKUP($C267,Rotation!$A$2:$J$10,3,FALSE)</f>
        <v>0</v>
      </c>
      <c r="M267" s="14">
        <f>VLOOKUP($C267,Rotation!$A$2:$J$10,4,FALSE)</f>
        <v>0</v>
      </c>
      <c r="N267" s="14">
        <f>VLOOKUP($C267,Rotation!$A$2:$J$10,5,FALSE)</f>
        <v>0</v>
      </c>
      <c r="O267" s="14">
        <f>VLOOKUP($C267,Rotation!$A$2:$J$10,6,FALSE)</f>
        <v>0</v>
      </c>
      <c r="P267" s="14">
        <f>VLOOKUP($C267,Rotation!$A$2:$J$10,7,FALSE)</f>
        <v>0</v>
      </c>
      <c r="Q267" s="14">
        <f>VLOOKUP($C267,Rotation!$A$2:$J$10,8,FALSE)</f>
        <v>1</v>
      </c>
      <c r="R267" s="14">
        <f>VLOOKUP($C267,Rotation!$A$2:$J$10,9,FALSE)</f>
        <v>0</v>
      </c>
      <c r="S267" s="14">
        <f>VLOOKUP($C267,Rotation!$A$2:$J$10,10,FALSE)</f>
        <v>0</v>
      </c>
    </row>
    <row r="268" spans="1:19" ht="18">
      <c r="A268" s="14">
        <v>266</v>
      </c>
      <c r="B268" s="14" t="s">
        <v>96</v>
      </c>
      <c r="C268" s="14" t="str">
        <f>VLOOKUP(B268,Family!B:C,2,FALSE)</f>
        <v>F</v>
      </c>
      <c r="D268" s="15">
        <v>245</v>
      </c>
      <c r="E268" s="14">
        <f>ROUND(VLOOKUP(C268,'Production Plan'!A:B,2,FALSE),2)</f>
        <v>394.98</v>
      </c>
      <c r="F268" s="16">
        <v>45714</v>
      </c>
      <c r="G268" s="17">
        <f>F268+6*7</f>
        <v>45756</v>
      </c>
      <c r="H268" s="14">
        <f>G268-F268</f>
        <v>42</v>
      </c>
      <c r="I268" s="14">
        <f>ROUND(D268/E268,3)</f>
        <v>0.62</v>
      </c>
      <c r="J268" s="14">
        <f>I268*24</f>
        <v>14.879999999999999</v>
      </c>
      <c r="K268" s="14">
        <f>VLOOKUP($C268,Rotation!$A$2:$J$10,2,FALSE)</f>
        <v>1</v>
      </c>
      <c r="L268" s="14">
        <f>VLOOKUP($C268,Rotation!$A$2:$J$10,3,FALSE)</f>
        <v>0</v>
      </c>
      <c r="M268" s="14">
        <f>VLOOKUP($C268,Rotation!$A$2:$J$10,4,FALSE)</f>
        <v>0</v>
      </c>
      <c r="N268" s="14">
        <f>VLOOKUP($C268,Rotation!$A$2:$J$10,5,FALSE)</f>
        <v>1</v>
      </c>
      <c r="O268" s="14">
        <f>VLOOKUP($C268,Rotation!$A$2:$J$10,6,FALSE)</f>
        <v>1</v>
      </c>
      <c r="P268" s="14">
        <f>VLOOKUP($C268,Rotation!$A$2:$J$10,7,FALSE)</f>
        <v>1</v>
      </c>
      <c r="Q268" s="14">
        <f>VLOOKUP($C268,Rotation!$A$2:$J$10,8,FALSE)</f>
        <v>1</v>
      </c>
      <c r="R268" s="14">
        <f>VLOOKUP($C268,Rotation!$A$2:$J$10,9,FALSE)</f>
        <v>1</v>
      </c>
      <c r="S268" s="14">
        <f>VLOOKUP($C268,Rotation!$A$2:$J$10,10,FALSE)</f>
        <v>1</v>
      </c>
    </row>
    <row r="269" spans="1:19" ht="18">
      <c r="A269" s="14">
        <v>267</v>
      </c>
      <c r="B269" s="14" t="s">
        <v>109</v>
      </c>
      <c r="C269" s="14" t="str">
        <f>VLOOKUP(B269,Family!B:C,2,FALSE)</f>
        <v>V</v>
      </c>
      <c r="D269" s="15">
        <v>250</v>
      </c>
      <c r="E269" s="14">
        <f>ROUND(VLOOKUP(C269,'Production Plan'!A:B,2,FALSE),2)</f>
        <v>334.18</v>
      </c>
      <c r="F269" s="16">
        <v>45714</v>
      </c>
      <c r="G269" s="17">
        <f>F269+6*7</f>
        <v>45756</v>
      </c>
      <c r="H269" s="14">
        <f>G269-F269</f>
        <v>42</v>
      </c>
      <c r="I269" s="14">
        <f>ROUND(D269/E269,3)</f>
        <v>0.748</v>
      </c>
      <c r="J269" s="14">
        <f>I269*24</f>
        <v>17.951999999999998</v>
      </c>
      <c r="K269" s="14">
        <f>VLOOKUP($C269,Rotation!$A$2:$J$10,2,FALSE)</f>
        <v>1</v>
      </c>
      <c r="L269" s="14">
        <f>VLOOKUP($C269,Rotation!$A$2:$J$10,3,FALSE)</f>
        <v>0</v>
      </c>
      <c r="M269" s="14">
        <f>VLOOKUP($C269,Rotation!$A$2:$J$10,4,FALSE)</f>
        <v>0</v>
      </c>
      <c r="N269" s="14">
        <f>VLOOKUP($C269,Rotation!$A$2:$J$10,5,FALSE)</f>
        <v>0</v>
      </c>
      <c r="O269" s="14">
        <f>VLOOKUP($C269,Rotation!$A$2:$J$10,6,FALSE)</f>
        <v>0</v>
      </c>
      <c r="P269" s="14">
        <f>VLOOKUP($C269,Rotation!$A$2:$J$10,7,FALSE)</f>
        <v>0</v>
      </c>
      <c r="Q269" s="14">
        <f>VLOOKUP($C269,Rotation!$A$2:$J$10,8,FALSE)</f>
        <v>0</v>
      </c>
      <c r="R269" s="14">
        <f>VLOOKUP($C269,Rotation!$A$2:$J$10,9,FALSE)</f>
        <v>0</v>
      </c>
      <c r="S269" s="14">
        <f>VLOOKUP($C269,Rotation!$A$2:$J$10,10,FALSE)</f>
        <v>1</v>
      </c>
    </row>
    <row r="270" spans="1:19" ht="18">
      <c r="A270" s="14">
        <v>268</v>
      </c>
      <c r="B270" s="14" t="s">
        <v>69</v>
      </c>
      <c r="C270" s="14" t="str">
        <f>VLOOKUP(B270,Family!B:C,2,FALSE)</f>
        <v>A</v>
      </c>
      <c r="D270" s="15">
        <v>25</v>
      </c>
      <c r="E270" s="14">
        <f>ROUND(VLOOKUP(C270,'Production Plan'!A:B,2,FALSE),2)</f>
        <v>407.17</v>
      </c>
      <c r="F270" s="16">
        <v>45727</v>
      </c>
      <c r="G270" s="17">
        <f>F270+6*7</f>
        <v>45769</v>
      </c>
      <c r="H270" s="14">
        <f>G270-F270</f>
        <v>42</v>
      </c>
      <c r="I270" s="14">
        <f>ROUND(D270/E270,3)</f>
        <v>6.0999999999999999E-2</v>
      </c>
      <c r="J270" s="14">
        <f>I270*24</f>
        <v>1.464</v>
      </c>
      <c r="K270" s="14">
        <f>VLOOKUP($C270,Rotation!$A$2:$J$10,2,FALSE)</f>
        <v>1</v>
      </c>
      <c r="L270" s="14">
        <f>VLOOKUP($C270,Rotation!$A$2:$J$10,3,FALSE)</f>
        <v>1</v>
      </c>
      <c r="M270" s="14">
        <f>VLOOKUP($C270,Rotation!$A$2:$J$10,4,FALSE)</f>
        <v>1</v>
      </c>
      <c r="N270" s="14">
        <f>VLOOKUP($C270,Rotation!$A$2:$J$10,5,FALSE)</f>
        <v>0</v>
      </c>
      <c r="O270" s="14">
        <f>VLOOKUP($C270,Rotation!$A$2:$J$10,6,FALSE)</f>
        <v>0</v>
      </c>
      <c r="P270" s="14">
        <f>VLOOKUP($C270,Rotation!$A$2:$J$10,7,FALSE)</f>
        <v>0</v>
      </c>
      <c r="Q270" s="14">
        <f>VLOOKUP($C270,Rotation!$A$2:$J$10,8,FALSE)</f>
        <v>0</v>
      </c>
      <c r="R270" s="14">
        <f>VLOOKUP($C270,Rotation!$A$2:$J$10,9,FALSE)</f>
        <v>0</v>
      </c>
      <c r="S270" s="14">
        <f>VLOOKUP($C270,Rotation!$A$2:$J$10,10,FALSE)</f>
        <v>0</v>
      </c>
    </row>
    <row r="271" spans="1:19" ht="18">
      <c r="A271" s="14">
        <v>269</v>
      </c>
      <c r="B271" s="14" t="s">
        <v>96</v>
      </c>
      <c r="C271" s="14" t="str">
        <f>VLOOKUP(B271,Family!B:C,2,FALSE)</f>
        <v>F</v>
      </c>
      <c r="D271" s="15">
        <v>24</v>
      </c>
      <c r="E271" s="14">
        <f>ROUND(VLOOKUP(C271,'Production Plan'!A:B,2,FALSE),2)</f>
        <v>394.98</v>
      </c>
      <c r="F271" s="16">
        <v>45733</v>
      </c>
      <c r="G271" s="17">
        <f>F271+6*7</f>
        <v>45775</v>
      </c>
      <c r="H271" s="14">
        <f>G271-F271</f>
        <v>42</v>
      </c>
      <c r="I271" s="14">
        <f>ROUND(D271/E271,3)</f>
        <v>6.0999999999999999E-2</v>
      </c>
      <c r="J271" s="14">
        <f>I271*24</f>
        <v>1.464</v>
      </c>
      <c r="K271" s="14">
        <f>VLOOKUP($C271,Rotation!$A$2:$J$10,2,FALSE)</f>
        <v>1</v>
      </c>
      <c r="L271" s="14">
        <f>VLOOKUP($C271,Rotation!$A$2:$J$10,3,FALSE)</f>
        <v>0</v>
      </c>
      <c r="M271" s="14">
        <f>VLOOKUP($C271,Rotation!$A$2:$J$10,4,FALSE)</f>
        <v>0</v>
      </c>
      <c r="N271" s="14">
        <f>VLOOKUP($C271,Rotation!$A$2:$J$10,5,FALSE)</f>
        <v>1</v>
      </c>
      <c r="O271" s="14">
        <f>VLOOKUP($C271,Rotation!$A$2:$J$10,6,FALSE)</f>
        <v>1</v>
      </c>
      <c r="P271" s="14">
        <f>VLOOKUP($C271,Rotation!$A$2:$J$10,7,FALSE)</f>
        <v>1</v>
      </c>
      <c r="Q271" s="14">
        <f>VLOOKUP($C271,Rotation!$A$2:$J$10,8,FALSE)</f>
        <v>1</v>
      </c>
      <c r="R271" s="14">
        <f>VLOOKUP($C271,Rotation!$A$2:$J$10,9,FALSE)</f>
        <v>1</v>
      </c>
      <c r="S271" s="14">
        <f>VLOOKUP($C271,Rotation!$A$2:$J$10,10,FALSE)</f>
        <v>1</v>
      </c>
    </row>
    <row r="272" spans="1:19" ht="18">
      <c r="A272" s="14">
        <v>270</v>
      </c>
      <c r="B272" s="14" t="s">
        <v>77</v>
      </c>
      <c r="C272" s="14" t="str">
        <f>VLOOKUP(B272,Family!B:C,2,FALSE)</f>
        <v>E</v>
      </c>
      <c r="D272" s="15">
        <v>18</v>
      </c>
      <c r="E272" s="14">
        <f>ROUND(VLOOKUP(C272,'Production Plan'!A:B,2,FALSE),2)</f>
        <v>333.66</v>
      </c>
      <c r="F272" s="16">
        <v>45671</v>
      </c>
      <c r="G272" s="17">
        <f>F272+6*7</f>
        <v>45713</v>
      </c>
      <c r="H272" s="14">
        <f>G272-F272</f>
        <v>42</v>
      </c>
      <c r="I272" s="14">
        <f>ROUND(D272/E272,3)</f>
        <v>5.3999999999999999E-2</v>
      </c>
      <c r="J272" s="14">
        <f>I272*24</f>
        <v>1.296</v>
      </c>
      <c r="K272" s="14">
        <f>VLOOKUP($C272,Rotation!$A$2:$J$10,2,FALSE)</f>
        <v>1</v>
      </c>
      <c r="L272" s="14">
        <f>VLOOKUP($C272,Rotation!$A$2:$J$10,3,FALSE)</f>
        <v>0</v>
      </c>
      <c r="M272" s="14">
        <f>VLOOKUP($C272,Rotation!$A$2:$J$10,4,FALSE)</f>
        <v>0</v>
      </c>
      <c r="N272" s="14">
        <f>VLOOKUP($C272,Rotation!$A$2:$J$10,5,FALSE)</f>
        <v>0</v>
      </c>
      <c r="O272" s="14">
        <f>VLOOKUP($C272,Rotation!$A$2:$J$10,6,FALSE)</f>
        <v>0</v>
      </c>
      <c r="P272" s="14">
        <f>VLOOKUP($C272,Rotation!$A$2:$J$10,7,FALSE)</f>
        <v>1</v>
      </c>
      <c r="Q272" s="14">
        <f>VLOOKUP($C272,Rotation!$A$2:$J$10,8,FALSE)</f>
        <v>0</v>
      </c>
      <c r="R272" s="14">
        <f>VLOOKUP($C272,Rotation!$A$2:$J$10,9,FALSE)</f>
        <v>0</v>
      </c>
      <c r="S272" s="14">
        <f>VLOOKUP($C272,Rotation!$A$2:$J$10,10,FALSE)</f>
        <v>0</v>
      </c>
    </row>
    <row r="273" spans="1:19" ht="18">
      <c r="A273" s="14">
        <v>271</v>
      </c>
      <c r="B273" s="14" t="s">
        <v>88</v>
      </c>
      <c r="C273" s="14" t="str">
        <f>VLOOKUP(B273,Family!B:C,2,FALSE)</f>
        <v>E</v>
      </c>
      <c r="D273" s="15">
        <v>18</v>
      </c>
      <c r="E273" s="14">
        <f>ROUND(VLOOKUP(C273,'Production Plan'!A:B,2,FALSE),2)</f>
        <v>333.66</v>
      </c>
      <c r="F273" s="16">
        <v>45674</v>
      </c>
      <c r="G273" s="17">
        <f>F273+6*7</f>
        <v>45716</v>
      </c>
      <c r="H273" s="14">
        <f>G273-F273</f>
        <v>42</v>
      </c>
      <c r="I273" s="14">
        <f>ROUND(D273/E273,3)</f>
        <v>5.3999999999999999E-2</v>
      </c>
      <c r="J273" s="14">
        <f>I273*24</f>
        <v>1.296</v>
      </c>
      <c r="K273" s="14">
        <f>VLOOKUP($C273,Rotation!$A$2:$J$10,2,FALSE)</f>
        <v>1</v>
      </c>
      <c r="L273" s="14">
        <f>VLOOKUP($C273,Rotation!$A$2:$J$10,3,FALSE)</f>
        <v>0</v>
      </c>
      <c r="M273" s="14">
        <f>VLOOKUP($C273,Rotation!$A$2:$J$10,4,FALSE)</f>
        <v>0</v>
      </c>
      <c r="N273" s="14">
        <f>VLOOKUP($C273,Rotation!$A$2:$J$10,5,FALSE)</f>
        <v>0</v>
      </c>
      <c r="O273" s="14">
        <f>VLOOKUP($C273,Rotation!$A$2:$J$10,6,FALSE)</f>
        <v>0</v>
      </c>
      <c r="P273" s="14">
        <f>VLOOKUP($C273,Rotation!$A$2:$J$10,7,FALSE)</f>
        <v>1</v>
      </c>
      <c r="Q273" s="14">
        <f>VLOOKUP($C273,Rotation!$A$2:$J$10,8,FALSE)</f>
        <v>0</v>
      </c>
      <c r="R273" s="14">
        <f>VLOOKUP($C273,Rotation!$A$2:$J$10,9,FALSE)</f>
        <v>0</v>
      </c>
      <c r="S273" s="14">
        <f>VLOOKUP($C273,Rotation!$A$2:$J$10,10,FALSE)</f>
        <v>0</v>
      </c>
    </row>
    <row r="274" spans="1:19" ht="18">
      <c r="A274" s="14">
        <v>272</v>
      </c>
      <c r="B274" s="14" t="s">
        <v>106</v>
      </c>
      <c r="C274" s="14" t="str">
        <f>VLOOKUP(B274,Family!B:C,2,FALSE)</f>
        <v>P</v>
      </c>
      <c r="D274" s="15">
        <v>19</v>
      </c>
      <c r="E274" s="14">
        <f>ROUND(VLOOKUP(C274,'Production Plan'!A:B,2,FALSE),2)</f>
        <v>409.15</v>
      </c>
      <c r="F274" s="16">
        <v>45702</v>
      </c>
      <c r="G274" s="17">
        <f>F274+6*7</f>
        <v>45744</v>
      </c>
      <c r="H274" s="14">
        <f>G274-F274</f>
        <v>42</v>
      </c>
      <c r="I274" s="14">
        <f>ROUND(D274/E274,3)</f>
        <v>4.5999999999999999E-2</v>
      </c>
      <c r="J274" s="14">
        <f>I274*24</f>
        <v>1.1040000000000001</v>
      </c>
      <c r="K274" s="14">
        <f>VLOOKUP($C274,Rotation!$A$2:$J$10,2,FALSE)</f>
        <v>1</v>
      </c>
      <c r="L274" s="14">
        <f>VLOOKUP($C274,Rotation!$A$2:$J$10,3,FALSE)</f>
        <v>1</v>
      </c>
      <c r="M274" s="14">
        <f>VLOOKUP($C274,Rotation!$A$2:$J$10,4,FALSE)</f>
        <v>0</v>
      </c>
      <c r="N274" s="14">
        <f>VLOOKUP($C274,Rotation!$A$2:$J$10,5,FALSE)</f>
        <v>0</v>
      </c>
      <c r="O274" s="14">
        <f>VLOOKUP($C274,Rotation!$A$2:$J$10,6,FALSE)</f>
        <v>0</v>
      </c>
      <c r="P274" s="14">
        <f>VLOOKUP($C274,Rotation!$A$2:$J$10,7,FALSE)</f>
        <v>0</v>
      </c>
      <c r="Q274" s="14">
        <f>VLOOKUP($C274,Rotation!$A$2:$J$10,8,FALSE)</f>
        <v>0</v>
      </c>
      <c r="R274" s="14">
        <f>VLOOKUP($C274,Rotation!$A$2:$J$10,9,FALSE)</f>
        <v>0</v>
      </c>
      <c r="S274" s="14">
        <f>VLOOKUP($C274,Rotation!$A$2:$J$10,10,FALSE)</f>
        <v>0</v>
      </c>
    </row>
    <row r="275" spans="1:19" ht="18">
      <c r="A275" s="14">
        <v>273</v>
      </c>
      <c r="B275" s="14" t="s">
        <v>98</v>
      </c>
      <c r="C275" s="14" t="str">
        <f>VLOOKUP(B275,Family!B:C,2,FALSE)</f>
        <v>H</v>
      </c>
      <c r="D275" s="15">
        <v>19</v>
      </c>
      <c r="E275" s="14">
        <f>ROUND(VLOOKUP(C275,'Production Plan'!A:B,2,FALSE),2)</f>
        <v>402.02</v>
      </c>
      <c r="F275" s="16">
        <v>45705</v>
      </c>
      <c r="G275" s="17">
        <f>F275+6*7</f>
        <v>45747</v>
      </c>
      <c r="H275" s="14">
        <f>G275-F275</f>
        <v>42</v>
      </c>
      <c r="I275" s="14">
        <f>ROUND(D275/E275,3)</f>
        <v>4.7E-2</v>
      </c>
      <c r="J275" s="14">
        <f>I275*24</f>
        <v>1.1280000000000001</v>
      </c>
      <c r="K275" s="14">
        <f>VLOOKUP($C275,Rotation!$A$2:$J$10,2,FALSE)</f>
        <v>0</v>
      </c>
      <c r="L275" s="14">
        <f>VLOOKUP($C275,Rotation!$A$2:$J$10,3,FALSE)</f>
        <v>0</v>
      </c>
      <c r="M275" s="14">
        <f>VLOOKUP($C275,Rotation!$A$2:$J$10,4,FALSE)</f>
        <v>1</v>
      </c>
      <c r="N275" s="14">
        <f>VLOOKUP($C275,Rotation!$A$2:$J$10,5,FALSE)</f>
        <v>1</v>
      </c>
      <c r="O275" s="14">
        <f>VLOOKUP($C275,Rotation!$A$2:$J$10,6,FALSE)</f>
        <v>0</v>
      </c>
      <c r="P275" s="14">
        <f>VLOOKUP($C275,Rotation!$A$2:$J$10,7,FALSE)</f>
        <v>0</v>
      </c>
      <c r="Q275" s="14">
        <f>VLOOKUP($C275,Rotation!$A$2:$J$10,8,FALSE)</f>
        <v>0</v>
      </c>
      <c r="R275" s="14">
        <f>VLOOKUP($C275,Rotation!$A$2:$J$10,9,FALSE)</f>
        <v>0</v>
      </c>
      <c r="S275" s="14">
        <f>VLOOKUP($C275,Rotation!$A$2:$J$10,10,FALSE)</f>
        <v>0</v>
      </c>
    </row>
    <row r="276" spans="1:19" ht="18">
      <c r="A276" s="14">
        <v>274</v>
      </c>
      <c r="B276" s="14" t="s">
        <v>67</v>
      </c>
      <c r="C276" s="14" t="str">
        <f>VLOOKUP(B276,Family!B:C,2,FALSE)</f>
        <v>A</v>
      </c>
      <c r="D276" s="15">
        <v>78</v>
      </c>
      <c r="E276" s="14">
        <f>ROUND(VLOOKUP(C276,'Production Plan'!A:B,2,FALSE),2)</f>
        <v>407.17</v>
      </c>
      <c r="F276" s="16">
        <v>45721</v>
      </c>
      <c r="G276" s="17">
        <f>F276+6*7</f>
        <v>45763</v>
      </c>
      <c r="H276" s="14">
        <f>G276-F276</f>
        <v>42</v>
      </c>
      <c r="I276" s="14">
        <f>ROUND(D276/E276,3)</f>
        <v>0.192</v>
      </c>
      <c r="J276" s="14">
        <f>I276*24</f>
        <v>4.6080000000000005</v>
      </c>
      <c r="K276" s="14">
        <f>VLOOKUP($C276,Rotation!$A$2:$J$10,2,FALSE)</f>
        <v>1</v>
      </c>
      <c r="L276" s="14">
        <f>VLOOKUP($C276,Rotation!$A$2:$J$10,3,FALSE)</f>
        <v>1</v>
      </c>
      <c r="M276" s="14">
        <f>VLOOKUP($C276,Rotation!$A$2:$J$10,4,FALSE)</f>
        <v>1</v>
      </c>
      <c r="N276" s="14">
        <f>VLOOKUP($C276,Rotation!$A$2:$J$10,5,FALSE)</f>
        <v>0</v>
      </c>
      <c r="O276" s="14">
        <f>VLOOKUP($C276,Rotation!$A$2:$J$10,6,FALSE)</f>
        <v>0</v>
      </c>
      <c r="P276" s="14">
        <f>VLOOKUP($C276,Rotation!$A$2:$J$10,7,FALSE)</f>
        <v>0</v>
      </c>
      <c r="Q276" s="14">
        <f>VLOOKUP($C276,Rotation!$A$2:$J$10,8,FALSE)</f>
        <v>0</v>
      </c>
      <c r="R276" s="14">
        <f>VLOOKUP($C276,Rotation!$A$2:$J$10,9,FALSE)</f>
        <v>0</v>
      </c>
      <c r="S276" s="14">
        <f>VLOOKUP($C276,Rotation!$A$2:$J$10,10,FALSE)</f>
        <v>0</v>
      </c>
    </row>
    <row r="277" spans="1:19" ht="18">
      <c r="A277" s="14">
        <v>275</v>
      </c>
      <c r="B277" s="14" t="s">
        <v>67</v>
      </c>
      <c r="C277" s="14" t="str">
        <f>VLOOKUP(B277,Family!B:C,2,FALSE)</f>
        <v>A</v>
      </c>
      <c r="D277" s="15">
        <v>78</v>
      </c>
      <c r="E277" s="14">
        <f>ROUND(VLOOKUP(C277,'Production Plan'!A:B,2,FALSE),2)</f>
        <v>407.17</v>
      </c>
      <c r="F277" s="16">
        <v>45721</v>
      </c>
      <c r="G277" s="17">
        <f>F277+6*7</f>
        <v>45763</v>
      </c>
      <c r="H277" s="14">
        <f>G277-F277</f>
        <v>42</v>
      </c>
      <c r="I277" s="14">
        <f>ROUND(D277/E277,3)</f>
        <v>0.192</v>
      </c>
      <c r="J277" s="14">
        <f>I277*24</f>
        <v>4.6080000000000005</v>
      </c>
      <c r="K277" s="14">
        <f>VLOOKUP($C277,Rotation!$A$2:$J$10,2,FALSE)</f>
        <v>1</v>
      </c>
      <c r="L277" s="14">
        <f>VLOOKUP($C277,Rotation!$A$2:$J$10,3,FALSE)</f>
        <v>1</v>
      </c>
      <c r="M277" s="14">
        <f>VLOOKUP($C277,Rotation!$A$2:$J$10,4,FALSE)</f>
        <v>1</v>
      </c>
      <c r="N277" s="14">
        <f>VLOOKUP($C277,Rotation!$A$2:$J$10,5,FALSE)</f>
        <v>0</v>
      </c>
      <c r="O277" s="14">
        <f>VLOOKUP($C277,Rotation!$A$2:$J$10,6,FALSE)</f>
        <v>0</v>
      </c>
      <c r="P277" s="14">
        <f>VLOOKUP($C277,Rotation!$A$2:$J$10,7,FALSE)</f>
        <v>0</v>
      </c>
      <c r="Q277" s="14">
        <f>VLOOKUP($C277,Rotation!$A$2:$J$10,8,FALSE)</f>
        <v>0</v>
      </c>
      <c r="R277" s="14">
        <f>VLOOKUP($C277,Rotation!$A$2:$J$10,9,FALSE)</f>
        <v>0</v>
      </c>
      <c r="S277" s="14">
        <f>VLOOKUP($C277,Rotation!$A$2:$J$10,10,FALSE)</f>
        <v>0</v>
      </c>
    </row>
    <row r="278" spans="1:19" ht="18">
      <c r="A278" s="14">
        <v>276</v>
      </c>
      <c r="B278" s="14" t="s">
        <v>99</v>
      </c>
      <c r="C278" s="14" t="str">
        <f>VLOOKUP(B278,Family!B:C,2,FALSE)</f>
        <v>N</v>
      </c>
      <c r="D278" s="15">
        <v>190</v>
      </c>
      <c r="E278" s="14">
        <f>ROUND(VLOOKUP(C278,'Production Plan'!A:B,2,FALSE),2)</f>
        <v>334.18</v>
      </c>
      <c r="F278" s="16">
        <v>45727</v>
      </c>
      <c r="G278" s="17">
        <f>F278+6*7</f>
        <v>45769</v>
      </c>
      <c r="H278" s="14">
        <f>G278-F278</f>
        <v>42</v>
      </c>
      <c r="I278" s="14">
        <f>ROUND(D278/E278,3)</f>
        <v>0.56899999999999995</v>
      </c>
      <c r="J278" s="14">
        <f>I278*24</f>
        <v>13.655999999999999</v>
      </c>
      <c r="K278" s="14">
        <f>VLOOKUP($C278,Rotation!$A$2:$J$10,2,FALSE)</f>
        <v>1</v>
      </c>
      <c r="L278" s="14">
        <f>VLOOKUP($C278,Rotation!$A$2:$J$10,3,FALSE)</f>
        <v>0</v>
      </c>
      <c r="M278" s="14">
        <f>VLOOKUP($C278,Rotation!$A$2:$J$10,4,FALSE)</f>
        <v>0</v>
      </c>
      <c r="N278" s="14">
        <f>VLOOKUP($C278,Rotation!$A$2:$J$10,5,FALSE)</f>
        <v>0</v>
      </c>
      <c r="O278" s="14">
        <f>VLOOKUP($C278,Rotation!$A$2:$J$10,6,FALSE)</f>
        <v>0</v>
      </c>
      <c r="P278" s="14">
        <f>VLOOKUP($C278,Rotation!$A$2:$J$10,7,FALSE)</f>
        <v>0</v>
      </c>
      <c r="Q278" s="14">
        <f>VLOOKUP($C278,Rotation!$A$2:$J$10,8,FALSE)</f>
        <v>1</v>
      </c>
      <c r="R278" s="14">
        <f>VLOOKUP($C278,Rotation!$A$2:$J$10,9,FALSE)</f>
        <v>0</v>
      </c>
      <c r="S278" s="14">
        <f>VLOOKUP($C278,Rotation!$A$2:$J$10,10,FALSE)</f>
        <v>0</v>
      </c>
    </row>
    <row r="279" spans="1:19" ht="18">
      <c r="A279" s="14">
        <v>277</v>
      </c>
      <c r="B279" s="14" t="s">
        <v>98</v>
      </c>
      <c r="C279" s="14" t="str">
        <f>VLOOKUP(B279,Family!B:C,2,FALSE)</f>
        <v>H</v>
      </c>
      <c r="D279" s="15">
        <v>19</v>
      </c>
      <c r="E279" s="14">
        <f>ROUND(VLOOKUP(C279,'Production Plan'!A:B,2,FALSE),2)</f>
        <v>402.02</v>
      </c>
      <c r="F279" s="16">
        <v>45705</v>
      </c>
      <c r="G279" s="17">
        <f>F279+6*7</f>
        <v>45747</v>
      </c>
      <c r="H279" s="14">
        <f>G279-F279</f>
        <v>42</v>
      </c>
      <c r="I279" s="14">
        <f>ROUND(D279/E279,3)</f>
        <v>4.7E-2</v>
      </c>
      <c r="J279" s="14">
        <f>I279*24</f>
        <v>1.1280000000000001</v>
      </c>
      <c r="K279" s="14">
        <f>VLOOKUP($C279,Rotation!$A$2:$J$10,2,FALSE)</f>
        <v>0</v>
      </c>
      <c r="L279" s="14">
        <f>VLOOKUP($C279,Rotation!$A$2:$J$10,3,FALSE)</f>
        <v>0</v>
      </c>
      <c r="M279" s="14">
        <f>VLOOKUP($C279,Rotation!$A$2:$J$10,4,FALSE)</f>
        <v>1</v>
      </c>
      <c r="N279" s="14">
        <f>VLOOKUP($C279,Rotation!$A$2:$J$10,5,FALSE)</f>
        <v>1</v>
      </c>
      <c r="O279" s="14">
        <f>VLOOKUP($C279,Rotation!$A$2:$J$10,6,FALSE)</f>
        <v>0</v>
      </c>
      <c r="P279" s="14">
        <f>VLOOKUP($C279,Rotation!$A$2:$J$10,7,FALSE)</f>
        <v>0</v>
      </c>
      <c r="Q279" s="14">
        <f>VLOOKUP($C279,Rotation!$A$2:$J$10,8,FALSE)</f>
        <v>0</v>
      </c>
      <c r="R279" s="14">
        <f>VLOOKUP($C279,Rotation!$A$2:$J$10,9,FALSE)</f>
        <v>0</v>
      </c>
      <c r="S279" s="14">
        <f>VLOOKUP($C279,Rotation!$A$2:$J$10,10,FALSE)</f>
        <v>0</v>
      </c>
    </row>
    <row r="280" spans="1:19" ht="18">
      <c r="A280" s="14">
        <v>278</v>
      </c>
      <c r="B280" s="14" t="s">
        <v>67</v>
      </c>
      <c r="C280" s="14" t="str">
        <f>VLOOKUP(B280,Family!B:C,2,FALSE)</f>
        <v>A</v>
      </c>
      <c r="D280" s="15">
        <v>78</v>
      </c>
      <c r="E280" s="14">
        <f>ROUND(VLOOKUP(C280,'Production Plan'!A:B,2,FALSE),2)</f>
        <v>407.17</v>
      </c>
      <c r="F280" s="16">
        <v>45721</v>
      </c>
      <c r="G280" s="17">
        <f>F280+6*7</f>
        <v>45763</v>
      </c>
      <c r="H280" s="14">
        <f>G280-F280</f>
        <v>42</v>
      </c>
      <c r="I280" s="14">
        <f>ROUND(D280/E280,3)</f>
        <v>0.192</v>
      </c>
      <c r="J280" s="14">
        <f>I280*24</f>
        <v>4.6080000000000005</v>
      </c>
      <c r="K280" s="14">
        <f>VLOOKUP($C280,Rotation!$A$2:$J$10,2,FALSE)</f>
        <v>1</v>
      </c>
      <c r="L280" s="14">
        <f>VLOOKUP($C280,Rotation!$A$2:$J$10,3,FALSE)</f>
        <v>1</v>
      </c>
      <c r="M280" s="14">
        <f>VLOOKUP($C280,Rotation!$A$2:$J$10,4,FALSE)</f>
        <v>1</v>
      </c>
      <c r="N280" s="14">
        <f>VLOOKUP($C280,Rotation!$A$2:$J$10,5,FALSE)</f>
        <v>0</v>
      </c>
      <c r="O280" s="14">
        <f>VLOOKUP($C280,Rotation!$A$2:$J$10,6,FALSE)</f>
        <v>0</v>
      </c>
      <c r="P280" s="14">
        <f>VLOOKUP($C280,Rotation!$A$2:$J$10,7,FALSE)</f>
        <v>0</v>
      </c>
      <c r="Q280" s="14">
        <f>VLOOKUP($C280,Rotation!$A$2:$J$10,8,FALSE)</f>
        <v>0</v>
      </c>
      <c r="R280" s="14">
        <f>VLOOKUP($C280,Rotation!$A$2:$J$10,9,FALSE)</f>
        <v>0</v>
      </c>
      <c r="S280" s="14">
        <f>VLOOKUP($C280,Rotation!$A$2:$J$10,10,FALSE)</f>
        <v>0</v>
      </c>
    </row>
    <row r="281" spans="1:19" ht="18">
      <c r="A281" s="14">
        <v>279</v>
      </c>
      <c r="B281" s="14" t="s">
        <v>65</v>
      </c>
      <c r="C281" s="14" t="str">
        <f>VLOOKUP(B281,Family!B:C,2,FALSE)</f>
        <v>A</v>
      </c>
      <c r="D281" s="15">
        <v>38</v>
      </c>
      <c r="E281" s="14">
        <f>ROUND(VLOOKUP(C281,'Production Plan'!A:B,2,FALSE),2)</f>
        <v>407.17</v>
      </c>
      <c r="F281" s="16">
        <v>45728</v>
      </c>
      <c r="G281" s="17">
        <f>F281+6*7</f>
        <v>45770</v>
      </c>
      <c r="H281" s="14">
        <f>G281-F281</f>
        <v>42</v>
      </c>
      <c r="I281" s="14">
        <f>ROUND(D281/E281,3)</f>
        <v>9.2999999999999999E-2</v>
      </c>
      <c r="J281" s="14">
        <f>I281*24</f>
        <v>2.2320000000000002</v>
      </c>
      <c r="K281" s="14">
        <f>VLOOKUP($C281,Rotation!$A$2:$J$10,2,FALSE)</f>
        <v>1</v>
      </c>
      <c r="L281" s="14">
        <f>VLOOKUP($C281,Rotation!$A$2:$J$10,3,FALSE)</f>
        <v>1</v>
      </c>
      <c r="M281" s="14">
        <f>VLOOKUP($C281,Rotation!$A$2:$J$10,4,FALSE)</f>
        <v>1</v>
      </c>
      <c r="N281" s="14">
        <f>VLOOKUP($C281,Rotation!$A$2:$J$10,5,FALSE)</f>
        <v>0</v>
      </c>
      <c r="O281" s="14">
        <f>VLOOKUP($C281,Rotation!$A$2:$J$10,6,FALSE)</f>
        <v>0</v>
      </c>
      <c r="P281" s="14">
        <f>VLOOKUP($C281,Rotation!$A$2:$J$10,7,FALSE)</f>
        <v>0</v>
      </c>
      <c r="Q281" s="14">
        <f>VLOOKUP($C281,Rotation!$A$2:$J$10,8,FALSE)</f>
        <v>0</v>
      </c>
      <c r="R281" s="14">
        <f>VLOOKUP($C281,Rotation!$A$2:$J$10,9,FALSE)</f>
        <v>0</v>
      </c>
      <c r="S281" s="14">
        <f>VLOOKUP($C281,Rotation!$A$2:$J$10,10,FALSE)</f>
        <v>0</v>
      </c>
    </row>
    <row r="282" spans="1:19" ht="18">
      <c r="A282" s="14">
        <v>280</v>
      </c>
      <c r="B282" s="14" t="s">
        <v>93</v>
      </c>
      <c r="C282" s="14" t="str">
        <f>VLOOKUP(B282,Family!B:C,2,FALSE)</f>
        <v>F</v>
      </c>
      <c r="D282" s="15">
        <v>336</v>
      </c>
      <c r="E282" s="14">
        <f>ROUND(VLOOKUP(C282,'Production Plan'!A:B,2,FALSE),2)</f>
        <v>394.98</v>
      </c>
      <c r="F282" s="16">
        <v>45673</v>
      </c>
      <c r="G282" s="17">
        <f>F282+6*7</f>
        <v>45715</v>
      </c>
      <c r="H282" s="14">
        <f>G282-F282</f>
        <v>42</v>
      </c>
      <c r="I282" s="14">
        <f>ROUND(D282/E282,3)</f>
        <v>0.85099999999999998</v>
      </c>
      <c r="J282" s="14">
        <f>I282*24</f>
        <v>20.423999999999999</v>
      </c>
      <c r="K282" s="14">
        <f>VLOOKUP($C282,Rotation!$A$2:$J$10,2,FALSE)</f>
        <v>1</v>
      </c>
      <c r="L282" s="14">
        <f>VLOOKUP($C282,Rotation!$A$2:$J$10,3,FALSE)</f>
        <v>0</v>
      </c>
      <c r="M282" s="14">
        <f>VLOOKUP($C282,Rotation!$A$2:$J$10,4,FALSE)</f>
        <v>0</v>
      </c>
      <c r="N282" s="14">
        <f>VLOOKUP($C282,Rotation!$A$2:$J$10,5,FALSE)</f>
        <v>1</v>
      </c>
      <c r="O282" s="14">
        <f>VLOOKUP($C282,Rotation!$A$2:$J$10,6,FALSE)</f>
        <v>1</v>
      </c>
      <c r="P282" s="14">
        <f>VLOOKUP($C282,Rotation!$A$2:$J$10,7,FALSE)</f>
        <v>1</v>
      </c>
      <c r="Q282" s="14">
        <f>VLOOKUP($C282,Rotation!$A$2:$J$10,8,FALSE)</f>
        <v>1</v>
      </c>
      <c r="R282" s="14">
        <f>VLOOKUP($C282,Rotation!$A$2:$J$10,9,FALSE)</f>
        <v>1</v>
      </c>
      <c r="S282" s="14">
        <f>VLOOKUP($C282,Rotation!$A$2:$J$10,10,FALSE)</f>
        <v>1</v>
      </c>
    </row>
    <row r="283" spans="1:19" ht="18">
      <c r="A283" s="14">
        <v>281</v>
      </c>
      <c r="B283" s="14" t="s">
        <v>101</v>
      </c>
      <c r="C283" s="14" t="str">
        <f>VLOOKUP(B283,Family!B:C,2,FALSE)</f>
        <v>H</v>
      </c>
      <c r="D283" s="15">
        <v>99</v>
      </c>
      <c r="E283" s="14">
        <f>ROUND(VLOOKUP(C283,'Production Plan'!A:B,2,FALSE),2)</f>
        <v>402.02</v>
      </c>
      <c r="F283" s="16">
        <v>45686</v>
      </c>
      <c r="G283" s="17">
        <f>F283+6*7</f>
        <v>45728</v>
      </c>
      <c r="H283" s="14">
        <f>G283-F283</f>
        <v>42</v>
      </c>
      <c r="I283" s="14">
        <f>ROUND(D283/E283,3)</f>
        <v>0.246</v>
      </c>
      <c r="J283" s="14">
        <f>I283*24</f>
        <v>5.9039999999999999</v>
      </c>
      <c r="K283" s="14">
        <f>VLOOKUP($C283,Rotation!$A$2:$J$10,2,FALSE)</f>
        <v>0</v>
      </c>
      <c r="L283" s="14">
        <f>VLOOKUP($C283,Rotation!$A$2:$J$10,3,FALSE)</f>
        <v>0</v>
      </c>
      <c r="M283" s="14">
        <f>VLOOKUP($C283,Rotation!$A$2:$J$10,4,FALSE)</f>
        <v>1</v>
      </c>
      <c r="N283" s="14">
        <f>VLOOKUP($C283,Rotation!$A$2:$J$10,5,FALSE)</f>
        <v>1</v>
      </c>
      <c r="O283" s="14">
        <f>VLOOKUP($C283,Rotation!$A$2:$J$10,6,FALSE)</f>
        <v>0</v>
      </c>
      <c r="P283" s="14">
        <f>VLOOKUP($C283,Rotation!$A$2:$J$10,7,FALSE)</f>
        <v>0</v>
      </c>
      <c r="Q283" s="14">
        <f>VLOOKUP($C283,Rotation!$A$2:$J$10,8,FALSE)</f>
        <v>0</v>
      </c>
      <c r="R283" s="14">
        <f>VLOOKUP($C283,Rotation!$A$2:$J$10,9,FALSE)</f>
        <v>0</v>
      </c>
      <c r="S283" s="14">
        <f>VLOOKUP($C283,Rotation!$A$2:$J$10,10,FALSE)</f>
        <v>0</v>
      </c>
    </row>
    <row r="284" spans="1:19" ht="18">
      <c r="A284" s="14">
        <v>282</v>
      </c>
      <c r="B284" s="14" t="s">
        <v>114</v>
      </c>
      <c r="C284" s="14" t="str">
        <f>VLOOKUP(B284,Family!B:C,2,FALSE)</f>
        <v>V</v>
      </c>
      <c r="D284" s="15">
        <v>21</v>
      </c>
      <c r="E284" s="14">
        <f>ROUND(VLOOKUP(C284,'Production Plan'!A:B,2,FALSE),2)</f>
        <v>334.18</v>
      </c>
      <c r="F284" s="16">
        <v>45713</v>
      </c>
      <c r="G284" s="17">
        <f>F284+6*7</f>
        <v>45755</v>
      </c>
      <c r="H284" s="14">
        <f>G284-F284</f>
        <v>42</v>
      </c>
      <c r="I284" s="14">
        <f>ROUND(D284/E284,3)</f>
        <v>6.3E-2</v>
      </c>
      <c r="J284" s="14">
        <f>I284*24</f>
        <v>1.512</v>
      </c>
      <c r="K284" s="14">
        <f>VLOOKUP($C284,Rotation!$A$2:$J$10,2,FALSE)</f>
        <v>1</v>
      </c>
      <c r="L284" s="14">
        <f>VLOOKUP($C284,Rotation!$A$2:$J$10,3,FALSE)</f>
        <v>0</v>
      </c>
      <c r="M284" s="14">
        <f>VLOOKUP($C284,Rotation!$A$2:$J$10,4,FALSE)</f>
        <v>0</v>
      </c>
      <c r="N284" s="14">
        <f>VLOOKUP($C284,Rotation!$A$2:$J$10,5,FALSE)</f>
        <v>0</v>
      </c>
      <c r="O284" s="14">
        <f>VLOOKUP($C284,Rotation!$A$2:$J$10,6,FALSE)</f>
        <v>0</v>
      </c>
      <c r="P284" s="14">
        <f>VLOOKUP($C284,Rotation!$A$2:$J$10,7,FALSE)</f>
        <v>0</v>
      </c>
      <c r="Q284" s="14">
        <f>VLOOKUP($C284,Rotation!$A$2:$J$10,8,FALSE)</f>
        <v>0</v>
      </c>
      <c r="R284" s="14">
        <f>VLOOKUP($C284,Rotation!$A$2:$J$10,9,FALSE)</f>
        <v>0</v>
      </c>
      <c r="S284" s="14">
        <f>VLOOKUP($C284,Rotation!$A$2:$J$10,10,FALSE)</f>
        <v>1</v>
      </c>
    </row>
    <row r="285" spans="1:19" ht="18">
      <c r="A285" s="14">
        <v>283</v>
      </c>
      <c r="B285" s="14" t="s">
        <v>70</v>
      </c>
      <c r="C285" s="14" t="str">
        <f>VLOOKUP(B285,Family!B:C,2,FALSE)</f>
        <v>A</v>
      </c>
      <c r="D285" s="15">
        <v>198</v>
      </c>
      <c r="E285" s="14">
        <f>ROUND(VLOOKUP(C285,'Production Plan'!A:B,2,FALSE),2)</f>
        <v>407.17</v>
      </c>
      <c r="F285" s="16">
        <v>45706</v>
      </c>
      <c r="G285" s="17">
        <f>F285+6*7</f>
        <v>45748</v>
      </c>
      <c r="H285" s="14">
        <f>G285-F285</f>
        <v>42</v>
      </c>
      <c r="I285" s="14">
        <f>ROUND(D285/E285,3)</f>
        <v>0.48599999999999999</v>
      </c>
      <c r="J285" s="14">
        <f>I285*24</f>
        <v>11.664</v>
      </c>
      <c r="K285" s="14">
        <f>VLOOKUP($C285,Rotation!$A$2:$J$10,2,FALSE)</f>
        <v>1</v>
      </c>
      <c r="L285" s="14">
        <f>VLOOKUP($C285,Rotation!$A$2:$J$10,3,FALSE)</f>
        <v>1</v>
      </c>
      <c r="M285" s="14">
        <f>VLOOKUP($C285,Rotation!$A$2:$J$10,4,FALSE)</f>
        <v>1</v>
      </c>
      <c r="N285" s="14">
        <f>VLOOKUP($C285,Rotation!$A$2:$J$10,5,FALSE)</f>
        <v>0</v>
      </c>
      <c r="O285" s="14">
        <f>VLOOKUP($C285,Rotation!$A$2:$J$10,6,FALSE)</f>
        <v>0</v>
      </c>
      <c r="P285" s="14">
        <f>VLOOKUP($C285,Rotation!$A$2:$J$10,7,FALSE)</f>
        <v>0</v>
      </c>
      <c r="Q285" s="14">
        <f>VLOOKUP($C285,Rotation!$A$2:$J$10,8,FALSE)</f>
        <v>0</v>
      </c>
      <c r="R285" s="14">
        <f>VLOOKUP($C285,Rotation!$A$2:$J$10,9,FALSE)</f>
        <v>0</v>
      </c>
      <c r="S285" s="14">
        <f>VLOOKUP($C285,Rotation!$A$2:$J$10,10,FALSE)</f>
        <v>0</v>
      </c>
    </row>
    <row r="286" spans="1:19" ht="18">
      <c r="A286" s="14">
        <v>284</v>
      </c>
      <c r="B286" s="14" t="s">
        <v>98</v>
      </c>
      <c r="C286" s="14" t="str">
        <f>VLOOKUP(B286,Family!B:C,2,FALSE)</f>
        <v>H</v>
      </c>
      <c r="D286" s="15">
        <v>19</v>
      </c>
      <c r="E286" s="14">
        <f>ROUND(VLOOKUP(C286,'Production Plan'!A:B,2,FALSE),2)</f>
        <v>402.02</v>
      </c>
      <c r="F286" s="16">
        <v>45705</v>
      </c>
      <c r="G286" s="17">
        <f>F286+6*7</f>
        <v>45747</v>
      </c>
      <c r="H286" s="14">
        <f>G286-F286</f>
        <v>42</v>
      </c>
      <c r="I286" s="14">
        <f>ROUND(D286/E286,3)</f>
        <v>4.7E-2</v>
      </c>
      <c r="J286" s="14">
        <f>I286*24</f>
        <v>1.1280000000000001</v>
      </c>
      <c r="K286" s="14">
        <f>VLOOKUP($C286,Rotation!$A$2:$J$10,2,FALSE)</f>
        <v>0</v>
      </c>
      <c r="L286" s="14">
        <f>VLOOKUP($C286,Rotation!$A$2:$J$10,3,FALSE)</f>
        <v>0</v>
      </c>
      <c r="M286" s="14">
        <f>VLOOKUP($C286,Rotation!$A$2:$J$10,4,FALSE)</f>
        <v>1</v>
      </c>
      <c r="N286" s="14">
        <f>VLOOKUP($C286,Rotation!$A$2:$J$10,5,FALSE)</f>
        <v>1</v>
      </c>
      <c r="O286" s="14">
        <f>VLOOKUP($C286,Rotation!$A$2:$J$10,6,FALSE)</f>
        <v>0</v>
      </c>
      <c r="P286" s="14">
        <f>VLOOKUP($C286,Rotation!$A$2:$J$10,7,FALSE)</f>
        <v>0</v>
      </c>
      <c r="Q286" s="14">
        <f>VLOOKUP($C286,Rotation!$A$2:$J$10,8,FALSE)</f>
        <v>0</v>
      </c>
      <c r="R286" s="14">
        <f>VLOOKUP($C286,Rotation!$A$2:$J$10,9,FALSE)</f>
        <v>0</v>
      </c>
      <c r="S286" s="14">
        <f>VLOOKUP($C286,Rotation!$A$2:$J$10,10,FALSE)</f>
        <v>0</v>
      </c>
    </row>
    <row r="287" spans="1:19" ht="18">
      <c r="A287" s="14">
        <v>285</v>
      </c>
      <c r="B287" s="14" t="s">
        <v>67</v>
      </c>
      <c r="C287" s="14" t="str">
        <f>VLOOKUP(B287,Family!B:C,2,FALSE)</f>
        <v>A</v>
      </c>
      <c r="D287" s="15">
        <v>78</v>
      </c>
      <c r="E287" s="14">
        <f>ROUND(VLOOKUP(C287,'Production Plan'!A:B,2,FALSE),2)</f>
        <v>407.17</v>
      </c>
      <c r="F287" s="16">
        <v>45721</v>
      </c>
      <c r="G287" s="17">
        <f>F287+6*7</f>
        <v>45763</v>
      </c>
      <c r="H287" s="14">
        <f>G287-F287</f>
        <v>42</v>
      </c>
      <c r="I287" s="14">
        <f>ROUND(D287/E287,3)</f>
        <v>0.192</v>
      </c>
      <c r="J287" s="14">
        <f>I287*24</f>
        <v>4.6080000000000005</v>
      </c>
      <c r="K287" s="14">
        <f>VLOOKUP($C287,Rotation!$A$2:$J$10,2,FALSE)</f>
        <v>1</v>
      </c>
      <c r="L287" s="14">
        <f>VLOOKUP($C287,Rotation!$A$2:$J$10,3,FALSE)</f>
        <v>1</v>
      </c>
      <c r="M287" s="14">
        <f>VLOOKUP($C287,Rotation!$A$2:$J$10,4,FALSE)</f>
        <v>1</v>
      </c>
      <c r="N287" s="14">
        <f>VLOOKUP($C287,Rotation!$A$2:$J$10,5,FALSE)</f>
        <v>0</v>
      </c>
      <c r="O287" s="14">
        <f>VLOOKUP($C287,Rotation!$A$2:$J$10,6,FALSE)</f>
        <v>0</v>
      </c>
      <c r="P287" s="14">
        <f>VLOOKUP($C287,Rotation!$A$2:$J$10,7,FALSE)</f>
        <v>0</v>
      </c>
      <c r="Q287" s="14">
        <f>VLOOKUP($C287,Rotation!$A$2:$J$10,8,FALSE)</f>
        <v>0</v>
      </c>
      <c r="R287" s="14">
        <f>VLOOKUP($C287,Rotation!$A$2:$J$10,9,FALSE)</f>
        <v>0</v>
      </c>
      <c r="S287" s="14">
        <f>VLOOKUP($C287,Rotation!$A$2:$J$10,10,FALSE)</f>
        <v>0</v>
      </c>
    </row>
    <row r="288" spans="1:19" ht="18">
      <c r="A288" s="14">
        <v>286</v>
      </c>
      <c r="B288" s="14" t="s">
        <v>67</v>
      </c>
      <c r="C288" s="14" t="str">
        <f>VLOOKUP(B288,Family!B:C,2,FALSE)</f>
        <v>A</v>
      </c>
      <c r="D288" s="15">
        <v>78</v>
      </c>
      <c r="E288" s="14">
        <f>ROUND(VLOOKUP(C288,'Production Plan'!A:B,2,FALSE),2)</f>
        <v>407.17</v>
      </c>
      <c r="F288" s="16">
        <v>45721</v>
      </c>
      <c r="G288" s="17">
        <f>F288+6*7</f>
        <v>45763</v>
      </c>
      <c r="H288" s="14">
        <f>G288-F288</f>
        <v>42</v>
      </c>
      <c r="I288" s="14">
        <f>ROUND(D288/E288,3)</f>
        <v>0.192</v>
      </c>
      <c r="J288" s="14">
        <f>I288*24</f>
        <v>4.6080000000000005</v>
      </c>
      <c r="K288" s="14">
        <f>VLOOKUP($C288,Rotation!$A$2:$J$10,2,FALSE)</f>
        <v>1</v>
      </c>
      <c r="L288" s="14">
        <f>VLOOKUP($C288,Rotation!$A$2:$J$10,3,FALSE)</f>
        <v>1</v>
      </c>
      <c r="M288" s="14">
        <f>VLOOKUP($C288,Rotation!$A$2:$J$10,4,FALSE)</f>
        <v>1</v>
      </c>
      <c r="N288" s="14">
        <f>VLOOKUP($C288,Rotation!$A$2:$J$10,5,FALSE)</f>
        <v>0</v>
      </c>
      <c r="O288" s="14">
        <f>VLOOKUP($C288,Rotation!$A$2:$J$10,6,FALSE)</f>
        <v>0</v>
      </c>
      <c r="P288" s="14">
        <f>VLOOKUP($C288,Rotation!$A$2:$J$10,7,FALSE)</f>
        <v>0</v>
      </c>
      <c r="Q288" s="14">
        <f>VLOOKUP($C288,Rotation!$A$2:$J$10,8,FALSE)</f>
        <v>0</v>
      </c>
      <c r="R288" s="14">
        <f>VLOOKUP($C288,Rotation!$A$2:$J$10,9,FALSE)</f>
        <v>0</v>
      </c>
      <c r="S288" s="14">
        <f>VLOOKUP($C288,Rotation!$A$2:$J$10,10,FALSE)</f>
        <v>0</v>
      </c>
    </row>
    <row r="289" spans="1:19" ht="18">
      <c r="A289" s="14">
        <v>287</v>
      </c>
      <c r="B289" s="14" t="s">
        <v>65</v>
      </c>
      <c r="C289" s="14" t="str">
        <f>VLOOKUP(B289,Family!B:C,2,FALSE)</f>
        <v>A</v>
      </c>
      <c r="D289" s="15">
        <v>38</v>
      </c>
      <c r="E289" s="14">
        <f>ROUND(VLOOKUP(C289,'Production Plan'!A:B,2,FALSE),2)</f>
        <v>407.17</v>
      </c>
      <c r="F289" s="16">
        <v>45728</v>
      </c>
      <c r="G289" s="17">
        <f>F289+6*7</f>
        <v>45770</v>
      </c>
      <c r="H289" s="14">
        <f>G289-F289</f>
        <v>42</v>
      </c>
      <c r="I289" s="14">
        <f>ROUND(D289/E289,3)</f>
        <v>9.2999999999999999E-2</v>
      </c>
      <c r="J289" s="14">
        <f>I289*24</f>
        <v>2.2320000000000002</v>
      </c>
      <c r="K289" s="14">
        <f>VLOOKUP($C289,Rotation!$A$2:$J$10,2,FALSE)</f>
        <v>1</v>
      </c>
      <c r="L289" s="14">
        <f>VLOOKUP($C289,Rotation!$A$2:$J$10,3,FALSE)</f>
        <v>1</v>
      </c>
      <c r="M289" s="14">
        <f>VLOOKUP($C289,Rotation!$A$2:$J$10,4,FALSE)</f>
        <v>1</v>
      </c>
      <c r="N289" s="14">
        <f>VLOOKUP($C289,Rotation!$A$2:$J$10,5,FALSE)</f>
        <v>0</v>
      </c>
      <c r="O289" s="14">
        <f>VLOOKUP($C289,Rotation!$A$2:$J$10,6,FALSE)</f>
        <v>0</v>
      </c>
      <c r="P289" s="14">
        <f>VLOOKUP($C289,Rotation!$A$2:$J$10,7,FALSE)</f>
        <v>0</v>
      </c>
      <c r="Q289" s="14">
        <f>VLOOKUP($C289,Rotation!$A$2:$J$10,8,FALSE)</f>
        <v>0</v>
      </c>
      <c r="R289" s="14">
        <f>VLOOKUP($C289,Rotation!$A$2:$J$10,9,FALSE)</f>
        <v>0</v>
      </c>
      <c r="S289" s="14">
        <f>VLOOKUP($C289,Rotation!$A$2:$J$10,10,FALSE)</f>
        <v>0</v>
      </c>
    </row>
    <row r="290" spans="1:19" ht="18">
      <c r="A290" s="14">
        <v>288</v>
      </c>
      <c r="B290" s="14" t="s">
        <v>65</v>
      </c>
      <c r="C290" s="14" t="str">
        <f>VLOOKUP(B290,Family!B:C,2,FALSE)</f>
        <v>A</v>
      </c>
      <c r="D290" s="15">
        <v>38</v>
      </c>
      <c r="E290" s="14">
        <f>ROUND(VLOOKUP(C290,'Production Plan'!A:B,2,FALSE),2)</f>
        <v>407.17</v>
      </c>
      <c r="F290" s="16">
        <v>45728</v>
      </c>
      <c r="G290" s="17">
        <f>F290+6*7</f>
        <v>45770</v>
      </c>
      <c r="H290" s="14">
        <f>G290-F290</f>
        <v>42</v>
      </c>
      <c r="I290" s="14">
        <f>ROUND(D290/E290,3)</f>
        <v>9.2999999999999999E-2</v>
      </c>
      <c r="J290" s="14">
        <f>I290*24</f>
        <v>2.2320000000000002</v>
      </c>
      <c r="K290" s="14">
        <f>VLOOKUP($C290,Rotation!$A$2:$J$10,2,FALSE)</f>
        <v>1</v>
      </c>
      <c r="L290" s="14">
        <f>VLOOKUP($C290,Rotation!$A$2:$J$10,3,FALSE)</f>
        <v>1</v>
      </c>
      <c r="M290" s="14">
        <f>VLOOKUP($C290,Rotation!$A$2:$J$10,4,FALSE)</f>
        <v>1</v>
      </c>
      <c r="N290" s="14">
        <f>VLOOKUP($C290,Rotation!$A$2:$J$10,5,FALSE)</f>
        <v>0</v>
      </c>
      <c r="O290" s="14">
        <f>VLOOKUP($C290,Rotation!$A$2:$J$10,6,FALSE)</f>
        <v>0</v>
      </c>
      <c r="P290" s="14">
        <f>VLOOKUP($C290,Rotation!$A$2:$J$10,7,FALSE)</f>
        <v>0</v>
      </c>
      <c r="Q290" s="14">
        <f>VLOOKUP($C290,Rotation!$A$2:$J$10,8,FALSE)</f>
        <v>0</v>
      </c>
      <c r="R290" s="14">
        <f>VLOOKUP($C290,Rotation!$A$2:$J$10,9,FALSE)</f>
        <v>0</v>
      </c>
      <c r="S290" s="14">
        <f>VLOOKUP($C290,Rotation!$A$2:$J$10,10,FALSE)</f>
        <v>0</v>
      </c>
    </row>
    <row r="291" spans="1:19" ht="18">
      <c r="A291" s="14">
        <v>289</v>
      </c>
      <c r="B291" s="14" t="s">
        <v>87</v>
      </c>
      <c r="C291" s="14" t="str">
        <f>VLOOKUP(B291,Family!B:C,2,FALSE)</f>
        <v>E</v>
      </c>
      <c r="D291" s="15">
        <v>18</v>
      </c>
      <c r="E291" s="14">
        <f>ROUND(VLOOKUP(C291,'Production Plan'!A:B,2,FALSE),2)</f>
        <v>333.66</v>
      </c>
      <c r="F291" s="16">
        <v>45750</v>
      </c>
      <c r="G291" s="17">
        <f>F291+6*7</f>
        <v>45792</v>
      </c>
      <c r="H291" s="14">
        <f>G291-F291</f>
        <v>42</v>
      </c>
      <c r="I291" s="14">
        <f>ROUND(D291/E291,3)</f>
        <v>5.3999999999999999E-2</v>
      </c>
      <c r="J291" s="14">
        <f>I291*24</f>
        <v>1.296</v>
      </c>
      <c r="K291" s="14">
        <f>VLOOKUP($C291,Rotation!$A$2:$J$10,2,FALSE)</f>
        <v>1</v>
      </c>
      <c r="L291" s="14">
        <f>VLOOKUP($C291,Rotation!$A$2:$J$10,3,FALSE)</f>
        <v>0</v>
      </c>
      <c r="M291" s="14">
        <f>VLOOKUP($C291,Rotation!$A$2:$J$10,4,FALSE)</f>
        <v>0</v>
      </c>
      <c r="N291" s="14">
        <f>VLOOKUP($C291,Rotation!$A$2:$J$10,5,FALSE)</f>
        <v>0</v>
      </c>
      <c r="O291" s="14">
        <f>VLOOKUP($C291,Rotation!$A$2:$J$10,6,FALSE)</f>
        <v>0</v>
      </c>
      <c r="P291" s="14">
        <f>VLOOKUP($C291,Rotation!$A$2:$J$10,7,FALSE)</f>
        <v>1</v>
      </c>
      <c r="Q291" s="14">
        <f>VLOOKUP($C291,Rotation!$A$2:$J$10,8,FALSE)</f>
        <v>0</v>
      </c>
      <c r="R291" s="14">
        <f>VLOOKUP($C291,Rotation!$A$2:$J$10,9,FALSE)</f>
        <v>0</v>
      </c>
      <c r="S291" s="14">
        <f>VLOOKUP($C291,Rotation!$A$2:$J$10,10,FALSE)</f>
        <v>0</v>
      </c>
    </row>
    <row r="292" spans="1:19" ht="18">
      <c r="A292" s="14">
        <v>290</v>
      </c>
      <c r="B292" s="14" t="s">
        <v>65</v>
      </c>
      <c r="C292" s="14" t="str">
        <f>VLOOKUP(B292,Family!B:C,2,FALSE)</f>
        <v>A</v>
      </c>
      <c r="D292" s="15">
        <v>38</v>
      </c>
      <c r="E292" s="14">
        <f>ROUND(VLOOKUP(C292,'Production Plan'!A:B,2,FALSE),2)</f>
        <v>407.17</v>
      </c>
      <c r="F292" s="16">
        <v>45728</v>
      </c>
      <c r="G292" s="17">
        <f>F292+6*7</f>
        <v>45770</v>
      </c>
      <c r="H292" s="14">
        <f>G292-F292</f>
        <v>42</v>
      </c>
      <c r="I292" s="14">
        <f>ROUND(D292/E292,3)</f>
        <v>9.2999999999999999E-2</v>
      </c>
      <c r="J292" s="14">
        <f>I292*24</f>
        <v>2.2320000000000002</v>
      </c>
      <c r="K292" s="14">
        <f>VLOOKUP($C292,Rotation!$A$2:$J$10,2,FALSE)</f>
        <v>1</v>
      </c>
      <c r="L292" s="14">
        <f>VLOOKUP($C292,Rotation!$A$2:$J$10,3,FALSE)</f>
        <v>1</v>
      </c>
      <c r="M292" s="14">
        <f>VLOOKUP($C292,Rotation!$A$2:$J$10,4,FALSE)</f>
        <v>1</v>
      </c>
      <c r="N292" s="14">
        <f>VLOOKUP($C292,Rotation!$A$2:$J$10,5,FALSE)</f>
        <v>0</v>
      </c>
      <c r="O292" s="14">
        <f>VLOOKUP($C292,Rotation!$A$2:$J$10,6,FALSE)</f>
        <v>0</v>
      </c>
      <c r="P292" s="14">
        <f>VLOOKUP($C292,Rotation!$A$2:$J$10,7,FALSE)</f>
        <v>0</v>
      </c>
      <c r="Q292" s="14">
        <f>VLOOKUP($C292,Rotation!$A$2:$J$10,8,FALSE)</f>
        <v>0</v>
      </c>
      <c r="R292" s="14">
        <f>VLOOKUP($C292,Rotation!$A$2:$J$10,9,FALSE)</f>
        <v>0</v>
      </c>
      <c r="S292" s="14">
        <f>VLOOKUP($C292,Rotation!$A$2:$J$10,10,FALSE)</f>
        <v>0</v>
      </c>
    </row>
    <row r="293" spans="1:19" ht="18">
      <c r="A293" s="14">
        <v>291</v>
      </c>
      <c r="B293" s="14" t="s">
        <v>105</v>
      </c>
      <c r="C293" s="14" t="str">
        <f>VLOOKUP(B293,Family!B:C,2,FALSE)</f>
        <v>N</v>
      </c>
      <c r="D293" s="15">
        <v>406</v>
      </c>
      <c r="E293" s="14">
        <f>ROUND(VLOOKUP(C293,'Production Plan'!A:B,2,FALSE),2)</f>
        <v>334.18</v>
      </c>
      <c r="F293" s="16">
        <v>45680</v>
      </c>
      <c r="G293" s="17">
        <f>F293+6*7</f>
        <v>45722</v>
      </c>
      <c r="H293" s="14">
        <f>G293-F293</f>
        <v>42</v>
      </c>
      <c r="I293" s="14">
        <f>ROUND(D293/E293,3)</f>
        <v>1.2150000000000001</v>
      </c>
      <c r="J293" s="14">
        <f>I293*24</f>
        <v>29.160000000000004</v>
      </c>
      <c r="K293" s="14">
        <f>VLOOKUP($C293,Rotation!$A$2:$J$10,2,FALSE)</f>
        <v>1</v>
      </c>
      <c r="L293" s="14">
        <f>VLOOKUP($C293,Rotation!$A$2:$J$10,3,FALSE)</f>
        <v>0</v>
      </c>
      <c r="M293" s="14">
        <f>VLOOKUP($C293,Rotation!$A$2:$J$10,4,FALSE)</f>
        <v>0</v>
      </c>
      <c r="N293" s="14">
        <f>VLOOKUP($C293,Rotation!$A$2:$J$10,5,FALSE)</f>
        <v>0</v>
      </c>
      <c r="O293" s="14">
        <f>VLOOKUP($C293,Rotation!$A$2:$J$10,6,FALSE)</f>
        <v>0</v>
      </c>
      <c r="P293" s="14">
        <f>VLOOKUP($C293,Rotation!$A$2:$J$10,7,FALSE)</f>
        <v>0</v>
      </c>
      <c r="Q293" s="14">
        <f>VLOOKUP($C293,Rotation!$A$2:$J$10,8,FALSE)</f>
        <v>1</v>
      </c>
      <c r="R293" s="14">
        <f>VLOOKUP($C293,Rotation!$A$2:$J$10,9,FALSE)</f>
        <v>0</v>
      </c>
      <c r="S293" s="14">
        <f>VLOOKUP($C293,Rotation!$A$2:$J$10,10,FALSE)</f>
        <v>0</v>
      </c>
    </row>
    <row r="294" spans="1:19" ht="18">
      <c r="A294" s="14">
        <v>292</v>
      </c>
      <c r="B294" s="14" t="s">
        <v>79</v>
      </c>
      <c r="C294" s="14" t="str">
        <f>VLOOKUP(B294,Family!B:C,2,FALSE)</f>
        <v>C</v>
      </c>
      <c r="D294" s="15">
        <v>25</v>
      </c>
      <c r="E294" s="14">
        <f>ROUND(VLOOKUP(C294,'Production Plan'!A:B,2,FALSE),2)</f>
        <v>411.11</v>
      </c>
      <c r="F294" s="16">
        <v>45698</v>
      </c>
      <c r="G294" s="17">
        <f>F294+6*7</f>
        <v>45740</v>
      </c>
      <c r="H294" s="14">
        <f>G294-F294</f>
        <v>42</v>
      </c>
      <c r="I294" s="14">
        <f>ROUND(D294/E294,3)</f>
        <v>6.0999999999999999E-2</v>
      </c>
      <c r="J294" s="14">
        <f>I294*24</f>
        <v>1.464</v>
      </c>
      <c r="K294" s="14">
        <f>VLOOKUP($C294,Rotation!$A$2:$J$10,2,FALSE)</f>
        <v>1</v>
      </c>
      <c r="L294" s="14">
        <f>VLOOKUP($C294,Rotation!$A$2:$J$10,3,FALSE)</f>
        <v>0</v>
      </c>
      <c r="M294" s="14">
        <f>VLOOKUP($C294,Rotation!$A$2:$J$10,4,FALSE)</f>
        <v>0</v>
      </c>
      <c r="N294" s="14">
        <f>VLOOKUP($C294,Rotation!$A$2:$J$10,5,FALSE)</f>
        <v>0</v>
      </c>
      <c r="O294" s="14">
        <f>VLOOKUP($C294,Rotation!$A$2:$J$10,6,FALSE)</f>
        <v>1</v>
      </c>
      <c r="P294" s="14">
        <f>VLOOKUP($C294,Rotation!$A$2:$J$10,7,FALSE)</f>
        <v>0</v>
      </c>
      <c r="Q294" s="14">
        <f>VLOOKUP($C294,Rotation!$A$2:$J$10,8,FALSE)</f>
        <v>0</v>
      </c>
      <c r="R294" s="14">
        <f>VLOOKUP($C294,Rotation!$A$2:$J$10,9,FALSE)</f>
        <v>0</v>
      </c>
      <c r="S294" s="14">
        <f>VLOOKUP($C294,Rotation!$A$2:$J$10,10,FALSE)</f>
        <v>0</v>
      </c>
    </row>
    <row r="295" spans="1:19" ht="18">
      <c r="A295" s="14">
        <v>293</v>
      </c>
      <c r="B295" s="14" t="s">
        <v>98</v>
      </c>
      <c r="C295" s="14" t="str">
        <f>VLOOKUP(B295,Family!B:C,2,FALSE)</f>
        <v>H</v>
      </c>
      <c r="D295" s="15">
        <v>19</v>
      </c>
      <c r="E295" s="14">
        <f>ROUND(VLOOKUP(C295,'Production Plan'!A:B,2,FALSE),2)</f>
        <v>402.02</v>
      </c>
      <c r="F295" s="16">
        <v>45706</v>
      </c>
      <c r="G295" s="17">
        <f>F295+6*7</f>
        <v>45748</v>
      </c>
      <c r="H295" s="14">
        <f>G295-F295</f>
        <v>42</v>
      </c>
      <c r="I295" s="14">
        <f>ROUND(D295/E295,3)</f>
        <v>4.7E-2</v>
      </c>
      <c r="J295" s="14">
        <f>I295*24</f>
        <v>1.1280000000000001</v>
      </c>
      <c r="K295" s="14">
        <f>VLOOKUP($C295,Rotation!$A$2:$J$10,2,FALSE)</f>
        <v>0</v>
      </c>
      <c r="L295" s="14">
        <f>VLOOKUP($C295,Rotation!$A$2:$J$10,3,FALSE)</f>
        <v>0</v>
      </c>
      <c r="M295" s="14">
        <f>VLOOKUP($C295,Rotation!$A$2:$J$10,4,FALSE)</f>
        <v>1</v>
      </c>
      <c r="N295" s="14">
        <f>VLOOKUP($C295,Rotation!$A$2:$J$10,5,FALSE)</f>
        <v>1</v>
      </c>
      <c r="O295" s="14">
        <f>VLOOKUP($C295,Rotation!$A$2:$J$10,6,FALSE)</f>
        <v>0</v>
      </c>
      <c r="P295" s="14">
        <f>VLOOKUP($C295,Rotation!$A$2:$J$10,7,FALSE)</f>
        <v>0</v>
      </c>
      <c r="Q295" s="14">
        <f>VLOOKUP($C295,Rotation!$A$2:$J$10,8,FALSE)</f>
        <v>0</v>
      </c>
      <c r="R295" s="14">
        <f>VLOOKUP($C295,Rotation!$A$2:$J$10,9,FALSE)</f>
        <v>0</v>
      </c>
      <c r="S295" s="14">
        <f>VLOOKUP($C295,Rotation!$A$2:$J$10,10,FALSE)</f>
        <v>0</v>
      </c>
    </row>
    <row r="296" spans="1:19" ht="18">
      <c r="A296" s="14">
        <v>294</v>
      </c>
      <c r="B296" s="14" t="s">
        <v>98</v>
      </c>
      <c r="C296" s="14" t="str">
        <f>VLOOKUP(B296,Family!B:C,2,FALSE)</f>
        <v>H</v>
      </c>
      <c r="D296" s="15">
        <v>19</v>
      </c>
      <c r="E296" s="14">
        <f>ROUND(VLOOKUP(C296,'Production Plan'!A:B,2,FALSE),2)</f>
        <v>402.02</v>
      </c>
      <c r="F296" s="16">
        <v>45706</v>
      </c>
      <c r="G296" s="17">
        <f>F296+6*7</f>
        <v>45748</v>
      </c>
      <c r="H296" s="14">
        <f>G296-F296</f>
        <v>42</v>
      </c>
      <c r="I296" s="14">
        <f>ROUND(D296/E296,3)</f>
        <v>4.7E-2</v>
      </c>
      <c r="J296" s="14">
        <f>I296*24</f>
        <v>1.1280000000000001</v>
      </c>
      <c r="K296" s="14">
        <f>VLOOKUP($C296,Rotation!$A$2:$J$10,2,FALSE)</f>
        <v>0</v>
      </c>
      <c r="L296" s="14">
        <f>VLOOKUP($C296,Rotation!$A$2:$J$10,3,FALSE)</f>
        <v>0</v>
      </c>
      <c r="M296" s="14">
        <f>VLOOKUP($C296,Rotation!$A$2:$J$10,4,FALSE)</f>
        <v>1</v>
      </c>
      <c r="N296" s="14">
        <f>VLOOKUP($C296,Rotation!$A$2:$J$10,5,FALSE)</f>
        <v>1</v>
      </c>
      <c r="O296" s="14">
        <f>VLOOKUP($C296,Rotation!$A$2:$J$10,6,FALSE)</f>
        <v>0</v>
      </c>
      <c r="P296" s="14">
        <f>VLOOKUP($C296,Rotation!$A$2:$J$10,7,FALSE)</f>
        <v>0</v>
      </c>
      <c r="Q296" s="14">
        <f>VLOOKUP($C296,Rotation!$A$2:$J$10,8,FALSE)</f>
        <v>0</v>
      </c>
      <c r="R296" s="14">
        <f>VLOOKUP($C296,Rotation!$A$2:$J$10,9,FALSE)</f>
        <v>0</v>
      </c>
      <c r="S296" s="14">
        <f>VLOOKUP($C296,Rotation!$A$2:$J$10,10,FALSE)</f>
        <v>0</v>
      </c>
    </row>
    <row r="297" spans="1:19" ht="18">
      <c r="A297" s="14">
        <v>295</v>
      </c>
      <c r="B297" s="14" t="s">
        <v>93</v>
      </c>
      <c r="C297" s="14" t="str">
        <f>VLOOKUP(B297,Family!B:C,2,FALSE)</f>
        <v>F</v>
      </c>
      <c r="D297" s="15">
        <v>144</v>
      </c>
      <c r="E297" s="14">
        <f>ROUND(VLOOKUP(C297,'Production Plan'!A:B,2,FALSE),2)</f>
        <v>394.98</v>
      </c>
      <c r="F297" s="16">
        <v>45708</v>
      </c>
      <c r="G297" s="17">
        <f>F297+6*7</f>
        <v>45750</v>
      </c>
      <c r="H297" s="14">
        <f>G297-F297</f>
        <v>42</v>
      </c>
      <c r="I297" s="14">
        <f>ROUND(D297/E297,3)</f>
        <v>0.36499999999999999</v>
      </c>
      <c r="J297" s="14">
        <f>I297*24</f>
        <v>8.76</v>
      </c>
      <c r="K297" s="14">
        <f>VLOOKUP($C297,Rotation!$A$2:$J$10,2,FALSE)</f>
        <v>1</v>
      </c>
      <c r="L297" s="14">
        <f>VLOOKUP($C297,Rotation!$A$2:$J$10,3,FALSE)</f>
        <v>0</v>
      </c>
      <c r="M297" s="14">
        <f>VLOOKUP($C297,Rotation!$A$2:$J$10,4,FALSE)</f>
        <v>0</v>
      </c>
      <c r="N297" s="14">
        <f>VLOOKUP($C297,Rotation!$A$2:$J$10,5,FALSE)</f>
        <v>1</v>
      </c>
      <c r="O297" s="14">
        <f>VLOOKUP($C297,Rotation!$A$2:$J$10,6,FALSE)</f>
        <v>1</v>
      </c>
      <c r="P297" s="14">
        <f>VLOOKUP($C297,Rotation!$A$2:$J$10,7,FALSE)</f>
        <v>1</v>
      </c>
      <c r="Q297" s="14">
        <f>VLOOKUP($C297,Rotation!$A$2:$J$10,8,FALSE)</f>
        <v>1</v>
      </c>
      <c r="R297" s="14">
        <f>VLOOKUP($C297,Rotation!$A$2:$J$10,9,FALSE)</f>
        <v>1</v>
      </c>
      <c r="S297" s="14">
        <f>VLOOKUP($C297,Rotation!$A$2:$J$10,10,FALSE)</f>
        <v>1</v>
      </c>
    </row>
    <row r="298" spans="1:19" ht="18">
      <c r="A298" s="14">
        <v>296</v>
      </c>
      <c r="B298" s="14" t="s">
        <v>67</v>
      </c>
      <c r="C298" s="14" t="str">
        <f>VLOOKUP(B298,Family!B:C,2,FALSE)</f>
        <v>A</v>
      </c>
      <c r="D298" s="15">
        <v>78</v>
      </c>
      <c r="E298" s="14">
        <f>ROUND(VLOOKUP(C298,'Production Plan'!A:B,2,FALSE),2)</f>
        <v>407.17</v>
      </c>
      <c r="F298" s="16">
        <v>45721</v>
      </c>
      <c r="G298" s="17">
        <f>F298+6*7</f>
        <v>45763</v>
      </c>
      <c r="H298" s="14">
        <f>G298-F298</f>
        <v>42</v>
      </c>
      <c r="I298" s="14">
        <f>ROUND(D298/E298,3)</f>
        <v>0.192</v>
      </c>
      <c r="J298" s="14">
        <f>I298*24</f>
        <v>4.6080000000000005</v>
      </c>
      <c r="K298" s="14">
        <f>VLOOKUP($C298,Rotation!$A$2:$J$10,2,FALSE)</f>
        <v>1</v>
      </c>
      <c r="L298" s="14">
        <f>VLOOKUP($C298,Rotation!$A$2:$J$10,3,FALSE)</f>
        <v>1</v>
      </c>
      <c r="M298" s="14">
        <f>VLOOKUP($C298,Rotation!$A$2:$J$10,4,FALSE)</f>
        <v>1</v>
      </c>
      <c r="N298" s="14">
        <f>VLOOKUP($C298,Rotation!$A$2:$J$10,5,FALSE)</f>
        <v>0</v>
      </c>
      <c r="O298" s="14">
        <f>VLOOKUP($C298,Rotation!$A$2:$J$10,6,FALSE)</f>
        <v>0</v>
      </c>
      <c r="P298" s="14">
        <f>VLOOKUP($C298,Rotation!$A$2:$J$10,7,FALSE)</f>
        <v>0</v>
      </c>
      <c r="Q298" s="14">
        <f>VLOOKUP($C298,Rotation!$A$2:$J$10,8,FALSE)</f>
        <v>0</v>
      </c>
      <c r="R298" s="14">
        <f>VLOOKUP($C298,Rotation!$A$2:$J$10,9,FALSE)</f>
        <v>0</v>
      </c>
      <c r="S298" s="14">
        <f>VLOOKUP($C298,Rotation!$A$2:$J$10,10,FALSE)</f>
        <v>0</v>
      </c>
    </row>
    <row r="299" spans="1:19" ht="18">
      <c r="A299" s="14">
        <v>297</v>
      </c>
      <c r="B299" s="14" t="s">
        <v>108</v>
      </c>
      <c r="C299" s="14" t="str">
        <f>VLOOKUP(B299,Family!B:C,2,FALSE)</f>
        <v>P</v>
      </c>
      <c r="D299" s="15">
        <v>108</v>
      </c>
      <c r="E299" s="14">
        <f>ROUND(VLOOKUP(C299,'Production Plan'!A:B,2,FALSE),2)</f>
        <v>409.15</v>
      </c>
      <c r="F299" s="16">
        <v>45709</v>
      </c>
      <c r="G299" s="17">
        <f>F299+6*7</f>
        <v>45751</v>
      </c>
      <c r="H299" s="14">
        <f>G299-F299</f>
        <v>42</v>
      </c>
      <c r="I299" s="14">
        <f>ROUND(D299/E299,3)</f>
        <v>0.26400000000000001</v>
      </c>
      <c r="J299" s="14">
        <f>I299*24</f>
        <v>6.3360000000000003</v>
      </c>
      <c r="K299" s="14">
        <f>VLOOKUP($C299,Rotation!$A$2:$J$10,2,FALSE)</f>
        <v>1</v>
      </c>
      <c r="L299" s="14">
        <f>VLOOKUP($C299,Rotation!$A$2:$J$10,3,FALSE)</f>
        <v>1</v>
      </c>
      <c r="M299" s="14">
        <f>VLOOKUP($C299,Rotation!$A$2:$J$10,4,FALSE)</f>
        <v>0</v>
      </c>
      <c r="N299" s="14">
        <f>VLOOKUP($C299,Rotation!$A$2:$J$10,5,FALSE)</f>
        <v>0</v>
      </c>
      <c r="O299" s="14">
        <f>VLOOKUP($C299,Rotation!$A$2:$J$10,6,FALSE)</f>
        <v>0</v>
      </c>
      <c r="P299" s="14">
        <f>VLOOKUP($C299,Rotation!$A$2:$J$10,7,FALSE)</f>
        <v>0</v>
      </c>
      <c r="Q299" s="14">
        <f>VLOOKUP($C299,Rotation!$A$2:$J$10,8,FALSE)</f>
        <v>0</v>
      </c>
      <c r="R299" s="14">
        <f>VLOOKUP($C299,Rotation!$A$2:$J$10,9,FALSE)</f>
        <v>0</v>
      </c>
      <c r="S299" s="14">
        <f>VLOOKUP($C299,Rotation!$A$2:$J$10,10,FALSE)</f>
        <v>0</v>
      </c>
    </row>
    <row r="300" spans="1:19" ht="18">
      <c r="A300" s="14">
        <v>298</v>
      </c>
      <c r="B300" s="14" t="s">
        <v>108</v>
      </c>
      <c r="C300" s="14" t="str">
        <f>VLOOKUP(B300,Family!B:C,2,FALSE)</f>
        <v>P</v>
      </c>
      <c r="D300" s="15">
        <v>108</v>
      </c>
      <c r="E300" s="14">
        <f>ROUND(VLOOKUP(C300,'Production Plan'!A:B,2,FALSE),2)</f>
        <v>409.15</v>
      </c>
      <c r="F300" s="16">
        <v>45709</v>
      </c>
      <c r="G300" s="17">
        <f>F300+6*7</f>
        <v>45751</v>
      </c>
      <c r="H300" s="14">
        <f>G300-F300</f>
        <v>42</v>
      </c>
      <c r="I300" s="14">
        <f>ROUND(D300/E300,3)</f>
        <v>0.26400000000000001</v>
      </c>
      <c r="J300" s="14">
        <f>I300*24</f>
        <v>6.3360000000000003</v>
      </c>
      <c r="K300" s="14">
        <f>VLOOKUP($C300,Rotation!$A$2:$J$10,2,FALSE)</f>
        <v>1</v>
      </c>
      <c r="L300" s="14">
        <f>VLOOKUP($C300,Rotation!$A$2:$J$10,3,FALSE)</f>
        <v>1</v>
      </c>
      <c r="M300" s="14">
        <f>VLOOKUP($C300,Rotation!$A$2:$J$10,4,FALSE)</f>
        <v>0</v>
      </c>
      <c r="N300" s="14">
        <f>VLOOKUP($C300,Rotation!$A$2:$J$10,5,FALSE)</f>
        <v>0</v>
      </c>
      <c r="O300" s="14">
        <f>VLOOKUP($C300,Rotation!$A$2:$J$10,6,FALSE)</f>
        <v>0</v>
      </c>
      <c r="P300" s="14">
        <f>VLOOKUP($C300,Rotation!$A$2:$J$10,7,FALSE)</f>
        <v>0</v>
      </c>
      <c r="Q300" s="14">
        <f>VLOOKUP($C300,Rotation!$A$2:$J$10,8,FALSE)</f>
        <v>0</v>
      </c>
      <c r="R300" s="14">
        <f>VLOOKUP($C300,Rotation!$A$2:$J$10,9,FALSE)</f>
        <v>0</v>
      </c>
      <c r="S300" s="14">
        <f>VLOOKUP($C300,Rotation!$A$2:$J$10,10,FALSE)</f>
        <v>0</v>
      </c>
    </row>
    <row r="301" spans="1:19" ht="18">
      <c r="A301" s="14">
        <v>299</v>
      </c>
      <c r="B301" s="14" t="s">
        <v>108</v>
      </c>
      <c r="C301" s="14" t="str">
        <f>VLOOKUP(B301,Family!B:C,2,FALSE)</f>
        <v>P</v>
      </c>
      <c r="D301" s="15">
        <v>108</v>
      </c>
      <c r="E301" s="14">
        <f>ROUND(VLOOKUP(C301,'Production Plan'!A:B,2,FALSE),2)</f>
        <v>409.15</v>
      </c>
      <c r="F301" s="16">
        <v>45709</v>
      </c>
      <c r="G301" s="17">
        <f>F301+6*7</f>
        <v>45751</v>
      </c>
      <c r="H301" s="14">
        <f>G301-F301</f>
        <v>42</v>
      </c>
      <c r="I301" s="14">
        <f>ROUND(D301/E301,3)</f>
        <v>0.26400000000000001</v>
      </c>
      <c r="J301" s="14">
        <f>I301*24</f>
        <v>6.3360000000000003</v>
      </c>
      <c r="K301" s="14">
        <f>VLOOKUP($C301,Rotation!$A$2:$J$10,2,FALSE)</f>
        <v>1</v>
      </c>
      <c r="L301" s="14">
        <f>VLOOKUP($C301,Rotation!$A$2:$J$10,3,FALSE)</f>
        <v>1</v>
      </c>
      <c r="M301" s="14">
        <f>VLOOKUP($C301,Rotation!$A$2:$J$10,4,FALSE)</f>
        <v>0</v>
      </c>
      <c r="N301" s="14">
        <f>VLOOKUP($C301,Rotation!$A$2:$J$10,5,FALSE)</f>
        <v>0</v>
      </c>
      <c r="O301" s="14">
        <f>VLOOKUP($C301,Rotation!$A$2:$J$10,6,FALSE)</f>
        <v>0</v>
      </c>
      <c r="P301" s="14">
        <f>VLOOKUP($C301,Rotation!$A$2:$J$10,7,FALSE)</f>
        <v>0</v>
      </c>
      <c r="Q301" s="14">
        <f>VLOOKUP($C301,Rotation!$A$2:$J$10,8,FALSE)</f>
        <v>0</v>
      </c>
      <c r="R301" s="14">
        <f>VLOOKUP($C301,Rotation!$A$2:$J$10,9,FALSE)</f>
        <v>0</v>
      </c>
      <c r="S301" s="14">
        <f>VLOOKUP($C301,Rotation!$A$2:$J$10,10,FALSE)</f>
        <v>0</v>
      </c>
    </row>
    <row r="302" spans="1:19" ht="18">
      <c r="A302" s="14">
        <v>300</v>
      </c>
      <c r="B302" s="14" t="s">
        <v>67</v>
      </c>
      <c r="C302" s="14" t="str">
        <f>VLOOKUP(B302,Family!B:C,2,FALSE)</f>
        <v>A</v>
      </c>
      <c r="D302" s="15">
        <v>78</v>
      </c>
      <c r="E302" s="14">
        <f>ROUND(VLOOKUP(C302,'Production Plan'!A:B,2,FALSE),2)</f>
        <v>407.17</v>
      </c>
      <c r="F302" s="16">
        <v>45721</v>
      </c>
      <c r="G302" s="17">
        <f>F302+6*7</f>
        <v>45763</v>
      </c>
      <c r="H302" s="14">
        <f>G302-F302</f>
        <v>42</v>
      </c>
      <c r="I302" s="14">
        <f>ROUND(D302/E302,3)</f>
        <v>0.192</v>
      </c>
      <c r="J302" s="14">
        <f>I302*24</f>
        <v>4.6080000000000005</v>
      </c>
      <c r="K302" s="14">
        <f>VLOOKUP($C302,Rotation!$A$2:$J$10,2,FALSE)</f>
        <v>1</v>
      </c>
      <c r="L302" s="14">
        <f>VLOOKUP($C302,Rotation!$A$2:$J$10,3,FALSE)</f>
        <v>1</v>
      </c>
      <c r="M302" s="14">
        <f>VLOOKUP($C302,Rotation!$A$2:$J$10,4,FALSE)</f>
        <v>1</v>
      </c>
      <c r="N302" s="14">
        <f>VLOOKUP($C302,Rotation!$A$2:$J$10,5,FALSE)</f>
        <v>0</v>
      </c>
      <c r="O302" s="14">
        <f>VLOOKUP($C302,Rotation!$A$2:$J$10,6,FALSE)</f>
        <v>0</v>
      </c>
      <c r="P302" s="14">
        <f>VLOOKUP($C302,Rotation!$A$2:$J$10,7,FALSE)</f>
        <v>0</v>
      </c>
      <c r="Q302" s="14">
        <f>VLOOKUP($C302,Rotation!$A$2:$J$10,8,FALSE)</f>
        <v>0</v>
      </c>
      <c r="R302" s="14">
        <f>VLOOKUP($C302,Rotation!$A$2:$J$10,9,FALSE)</f>
        <v>0</v>
      </c>
      <c r="S302" s="14">
        <f>VLOOKUP($C302,Rotation!$A$2:$J$10,10,FALSE)</f>
        <v>0</v>
      </c>
    </row>
    <row r="303" spans="1:19" ht="18">
      <c r="A303" s="14">
        <v>301</v>
      </c>
      <c r="B303" s="14" t="s">
        <v>67</v>
      </c>
      <c r="C303" s="14" t="str">
        <f>VLOOKUP(B303,Family!B:C,2,FALSE)</f>
        <v>A</v>
      </c>
      <c r="D303" s="15">
        <v>78</v>
      </c>
      <c r="E303" s="14">
        <f>ROUND(VLOOKUP(C303,'Production Plan'!A:B,2,FALSE),2)</f>
        <v>407.17</v>
      </c>
      <c r="F303" s="16">
        <v>45721</v>
      </c>
      <c r="G303" s="17">
        <f>F303+6*7</f>
        <v>45763</v>
      </c>
      <c r="H303" s="14">
        <f>G303-F303</f>
        <v>42</v>
      </c>
      <c r="I303" s="14">
        <f>ROUND(D303/E303,3)</f>
        <v>0.192</v>
      </c>
      <c r="J303" s="14">
        <f>I303*24</f>
        <v>4.6080000000000005</v>
      </c>
      <c r="K303" s="14">
        <f>VLOOKUP($C303,Rotation!$A$2:$J$10,2,FALSE)</f>
        <v>1</v>
      </c>
      <c r="L303" s="14">
        <f>VLOOKUP($C303,Rotation!$A$2:$J$10,3,FALSE)</f>
        <v>1</v>
      </c>
      <c r="M303" s="14">
        <f>VLOOKUP($C303,Rotation!$A$2:$J$10,4,FALSE)</f>
        <v>1</v>
      </c>
      <c r="N303" s="14">
        <f>VLOOKUP($C303,Rotation!$A$2:$J$10,5,FALSE)</f>
        <v>0</v>
      </c>
      <c r="O303" s="14">
        <f>VLOOKUP($C303,Rotation!$A$2:$J$10,6,FALSE)</f>
        <v>0</v>
      </c>
      <c r="P303" s="14">
        <f>VLOOKUP($C303,Rotation!$A$2:$J$10,7,FALSE)</f>
        <v>0</v>
      </c>
      <c r="Q303" s="14">
        <f>VLOOKUP($C303,Rotation!$A$2:$J$10,8,FALSE)</f>
        <v>0</v>
      </c>
      <c r="R303" s="14">
        <f>VLOOKUP($C303,Rotation!$A$2:$J$10,9,FALSE)</f>
        <v>0</v>
      </c>
      <c r="S303" s="14">
        <f>VLOOKUP($C303,Rotation!$A$2:$J$10,10,FALSE)</f>
        <v>0</v>
      </c>
    </row>
    <row r="304" spans="1:19" ht="18">
      <c r="A304" s="14">
        <v>302</v>
      </c>
      <c r="B304" s="14" t="s">
        <v>99</v>
      </c>
      <c r="C304" s="14" t="str">
        <f>VLOOKUP(B304,Family!B:C,2,FALSE)</f>
        <v>N</v>
      </c>
      <c r="D304" s="15">
        <v>19</v>
      </c>
      <c r="E304" s="14">
        <f>ROUND(VLOOKUP(C304,'Production Plan'!A:B,2,FALSE),2)</f>
        <v>334.18</v>
      </c>
      <c r="F304" s="16">
        <v>45758</v>
      </c>
      <c r="G304" s="17">
        <f>F304+6*7</f>
        <v>45800</v>
      </c>
      <c r="H304" s="14">
        <f>G304-F304</f>
        <v>42</v>
      </c>
      <c r="I304" s="14">
        <f>ROUND(D304/E304,3)</f>
        <v>5.7000000000000002E-2</v>
      </c>
      <c r="J304" s="14">
        <f>I304*24</f>
        <v>1.3680000000000001</v>
      </c>
      <c r="K304" s="14">
        <f>VLOOKUP($C304,Rotation!$A$2:$J$10,2,FALSE)</f>
        <v>1</v>
      </c>
      <c r="L304" s="14">
        <f>VLOOKUP($C304,Rotation!$A$2:$J$10,3,FALSE)</f>
        <v>0</v>
      </c>
      <c r="M304" s="14">
        <f>VLOOKUP($C304,Rotation!$A$2:$J$10,4,FALSE)</f>
        <v>0</v>
      </c>
      <c r="N304" s="14">
        <f>VLOOKUP($C304,Rotation!$A$2:$J$10,5,FALSE)</f>
        <v>0</v>
      </c>
      <c r="O304" s="14">
        <f>VLOOKUP($C304,Rotation!$A$2:$J$10,6,FALSE)</f>
        <v>0</v>
      </c>
      <c r="P304" s="14">
        <f>VLOOKUP($C304,Rotation!$A$2:$J$10,7,FALSE)</f>
        <v>0</v>
      </c>
      <c r="Q304" s="14">
        <f>VLOOKUP($C304,Rotation!$A$2:$J$10,8,FALSE)</f>
        <v>1</v>
      </c>
      <c r="R304" s="14">
        <f>VLOOKUP($C304,Rotation!$A$2:$J$10,9,FALSE)</f>
        <v>0</v>
      </c>
      <c r="S304" s="14">
        <f>VLOOKUP($C304,Rotation!$A$2:$J$10,10,FALSE)</f>
        <v>0</v>
      </c>
    </row>
    <row r="305" spans="1:19" ht="18">
      <c r="A305" s="14">
        <v>303</v>
      </c>
      <c r="B305" s="14" t="s">
        <v>99</v>
      </c>
      <c r="C305" s="14" t="str">
        <f>VLOOKUP(B305,Family!B:C,2,FALSE)</f>
        <v>N</v>
      </c>
      <c r="D305" s="15">
        <v>19</v>
      </c>
      <c r="E305" s="14">
        <f>ROUND(VLOOKUP(C305,'Production Plan'!A:B,2,FALSE),2)</f>
        <v>334.18</v>
      </c>
      <c r="F305" s="16">
        <v>45758</v>
      </c>
      <c r="G305" s="17">
        <f>F305+6*7</f>
        <v>45800</v>
      </c>
      <c r="H305" s="14">
        <f>G305-F305</f>
        <v>42</v>
      </c>
      <c r="I305" s="14">
        <f>ROUND(D305/E305,3)</f>
        <v>5.7000000000000002E-2</v>
      </c>
      <c r="J305" s="14">
        <f>I305*24</f>
        <v>1.3680000000000001</v>
      </c>
      <c r="K305" s="14">
        <f>VLOOKUP($C305,Rotation!$A$2:$J$10,2,FALSE)</f>
        <v>1</v>
      </c>
      <c r="L305" s="14">
        <f>VLOOKUP($C305,Rotation!$A$2:$J$10,3,FALSE)</f>
        <v>0</v>
      </c>
      <c r="M305" s="14">
        <f>VLOOKUP($C305,Rotation!$A$2:$J$10,4,FALSE)</f>
        <v>0</v>
      </c>
      <c r="N305" s="14">
        <f>VLOOKUP($C305,Rotation!$A$2:$J$10,5,FALSE)</f>
        <v>0</v>
      </c>
      <c r="O305" s="14">
        <f>VLOOKUP($C305,Rotation!$A$2:$J$10,6,FALSE)</f>
        <v>0</v>
      </c>
      <c r="P305" s="14">
        <f>VLOOKUP($C305,Rotation!$A$2:$J$10,7,FALSE)</f>
        <v>0</v>
      </c>
      <c r="Q305" s="14">
        <f>VLOOKUP($C305,Rotation!$A$2:$J$10,8,FALSE)</f>
        <v>1</v>
      </c>
      <c r="R305" s="14">
        <f>VLOOKUP($C305,Rotation!$A$2:$J$10,9,FALSE)</f>
        <v>0</v>
      </c>
      <c r="S305" s="14">
        <f>VLOOKUP($C305,Rotation!$A$2:$J$10,10,FALSE)</f>
        <v>0</v>
      </c>
    </row>
    <row r="306" spans="1:19" ht="18">
      <c r="A306" s="14">
        <v>304</v>
      </c>
      <c r="B306" s="14" t="s">
        <v>99</v>
      </c>
      <c r="C306" s="14" t="str">
        <f>VLOOKUP(B306,Family!B:C,2,FALSE)</f>
        <v>N</v>
      </c>
      <c r="D306" s="15">
        <v>19</v>
      </c>
      <c r="E306" s="14">
        <f>ROUND(VLOOKUP(C306,'Production Plan'!A:B,2,FALSE),2)</f>
        <v>334.18</v>
      </c>
      <c r="F306" s="16">
        <v>45758</v>
      </c>
      <c r="G306" s="17">
        <f>F306+6*7</f>
        <v>45800</v>
      </c>
      <c r="H306" s="14">
        <f>G306-F306</f>
        <v>42</v>
      </c>
      <c r="I306" s="14">
        <f>ROUND(D306/E306,3)</f>
        <v>5.7000000000000002E-2</v>
      </c>
      <c r="J306" s="14">
        <f>I306*24</f>
        <v>1.3680000000000001</v>
      </c>
      <c r="K306" s="14">
        <f>VLOOKUP($C306,Rotation!$A$2:$J$10,2,FALSE)</f>
        <v>1</v>
      </c>
      <c r="L306" s="14">
        <f>VLOOKUP($C306,Rotation!$A$2:$J$10,3,FALSE)</f>
        <v>0</v>
      </c>
      <c r="M306" s="14">
        <f>VLOOKUP($C306,Rotation!$A$2:$J$10,4,FALSE)</f>
        <v>0</v>
      </c>
      <c r="N306" s="14">
        <f>VLOOKUP($C306,Rotation!$A$2:$J$10,5,FALSE)</f>
        <v>0</v>
      </c>
      <c r="O306" s="14">
        <f>VLOOKUP($C306,Rotation!$A$2:$J$10,6,FALSE)</f>
        <v>0</v>
      </c>
      <c r="P306" s="14">
        <f>VLOOKUP($C306,Rotation!$A$2:$J$10,7,FALSE)</f>
        <v>0</v>
      </c>
      <c r="Q306" s="14">
        <f>VLOOKUP($C306,Rotation!$A$2:$J$10,8,FALSE)</f>
        <v>1</v>
      </c>
      <c r="R306" s="14">
        <f>VLOOKUP($C306,Rotation!$A$2:$J$10,9,FALSE)</f>
        <v>0</v>
      </c>
      <c r="S306" s="14">
        <f>VLOOKUP($C306,Rotation!$A$2:$J$10,10,FALSE)</f>
        <v>0</v>
      </c>
    </row>
    <row r="307" spans="1:19" ht="18">
      <c r="A307" s="14">
        <v>305</v>
      </c>
      <c r="B307" s="14" t="s">
        <v>99</v>
      </c>
      <c r="C307" s="14" t="str">
        <f>VLOOKUP(B307,Family!B:C,2,FALSE)</f>
        <v>N</v>
      </c>
      <c r="D307" s="15">
        <v>19</v>
      </c>
      <c r="E307" s="14">
        <f>ROUND(VLOOKUP(C307,'Production Plan'!A:B,2,FALSE),2)</f>
        <v>334.18</v>
      </c>
      <c r="F307" s="16">
        <v>45758</v>
      </c>
      <c r="G307" s="17">
        <f>F307+6*7</f>
        <v>45800</v>
      </c>
      <c r="H307" s="14">
        <f>G307-F307</f>
        <v>42</v>
      </c>
      <c r="I307" s="14">
        <f>ROUND(D307/E307,3)</f>
        <v>5.7000000000000002E-2</v>
      </c>
      <c r="J307" s="14">
        <f>I307*24</f>
        <v>1.3680000000000001</v>
      </c>
      <c r="K307" s="14">
        <f>VLOOKUP($C307,Rotation!$A$2:$J$10,2,FALSE)</f>
        <v>1</v>
      </c>
      <c r="L307" s="14">
        <f>VLOOKUP($C307,Rotation!$A$2:$J$10,3,FALSE)</f>
        <v>0</v>
      </c>
      <c r="M307" s="14">
        <f>VLOOKUP($C307,Rotation!$A$2:$J$10,4,FALSE)</f>
        <v>0</v>
      </c>
      <c r="N307" s="14">
        <f>VLOOKUP($C307,Rotation!$A$2:$J$10,5,FALSE)</f>
        <v>0</v>
      </c>
      <c r="O307" s="14">
        <f>VLOOKUP($C307,Rotation!$A$2:$J$10,6,FALSE)</f>
        <v>0</v>
      </c>
      <c r="P307" s="14">
        <f>VLOOKUP($C307,Rotation!$A$2:$J$10,7,FALSE)</f>
        <v>0</v>
      </c>
      <c r="Q307" s="14">
        <f>VLOOKUP($C307,Rotation!$A$2:$J$10,8,FALSE)</f>
        <v>1</v>
      </c>
      <c r="R307" s="14">
        <f>VLOOKUP($C307,Rotation!$A$2:$J$10,9,FALSE)</f>
        <v>0</v>
      </c>
      <c r="S307" s="14">
        <f>VLOOKUP($C307,Rotation!$A$2:$J$10,10,FALSE)</f>
        <v>0</v>
      </c>
    </row>
    <row r="308" spans="1:19" ht="18">
      <c r="A308" s="14">
        <v>306</v>
      </c>
      <c r="B308" s="14" t="s">
        <v>111</v>
      </c>
      <c r="C308" s="14" t="str">
        <f>VLOOKUP(B308,Family!B:C,2,FALSE)</f>
        <v>N</v>
      </c>
      <c r="D308" s="15">
        <v>67</v>
      </c>
      <c r="E308" s="14">
        <f>ROUND(VLOOKUP(C308,'Production Plan'!A:B,2,FALSE),2)</f>
        <v>334.18</v>
      </c>
      <c r="F308" s="16">
        <v>45699</v>
      </c>
      <c r="G308" s="17">
        <f>F308+6*7</f>
        <v>45741</v>
      </c>
      <c r="H308" s="14">
        <f>G308-F308</f>
        <v>42</v>
      </c>
      <c r="I308" s="14">
        <f>ROUND(D308/E308,3)</f>
        <v>0.2</v>
      </c>
      <c r="J308" s="14">
        <f>I308*24</f>
        <v>4.8000000000000007</v>
      </c>
      <c r="K308" s="14">
        <f>VLOOKUP($C308,Rotation!$A$2:$J$10,2,FALSE)</f>
        <v>1</v>
      </c>
      <c r="L308" s="14">
        <f>VLOOKUP($C308,Rotation!$A$2:$J$10,3,FALSE)</f>
        <v>0</v>
      </c>
      <c r="M308" s="14">
        <f>VLOOKUP($C308,Rotation!$A$2:$J$10,4,FALSE)</f>
        <v>0</v>
      </c>
      <c r="N308" s="14">
        <f>VLOOKUP($C308,Rotation!$A$2:$J$10,5,FALSE)</f>
        <v>0</v>
      </c>
      <c r="O308" s="14">
        <f>VLOOKUP($C308,Rotation!$A$2:$J$10,6,FALSE)</f>
        <v>0</v>
      </c>
      <c r="P308" s="14">
        <f>VLOOKUP($C308,Rotation!$A$2:$J$10,7,FALSE)</f>
        <v>0</v>
      </c>
      <c r="Q308" s="14">
        <f>VLOOKUP($C308,Rotation!$A$2:$J$10,8,FALSE)</f>
        <v>1</v>
      </c>
      <c r="R308" s="14">
        <f>VLOOKUP($C308,Rotation!$A$2:$J$10,9,FALSE)</f>
        <v>0</v>
      </c>
      <c r="S308" s="14">
        <f>VLOOKUP($C308,Rotation!$A$2:$J$10,10,FALSE)</f>
        <v>0</v>
      </c>
    </row>
    <row r="309" spans="1:19" ht="18">
      <c r="A309" s="14">
        <v>307</v>
      </c>
      <c r="B309" s="14" t="s">
        <v>99</v>
      </c>
      <c r="C309" s="14" t="str">
        <f>VLOOKUP(B309,Family!B:C,2,FALSE)</f>
        <v>N</v>
      </c>
      <c r="D309" s="15">
        <v>23</v>
      </c>
      <c r="E309" s="14">
        <f>ROUND(VLOOKUP(C309,'Production Plan'!A:B,2,FALSE),2)</f>
        <v>334.18</v>
      </c>
      <c r="F309" s="16">
        <v>45762</v>
      </c>
      <c r="G309" s="17">
        <f>F309+6*7</f>
        <v>45804</v>
      </c>
      <c r="H309" s="14">
        <f>G309-F309</f>
        <v>42</v>
      </c>
      <c r="I309" s="14">
        <f>ROUND(D309/E309,3)</f>
        <v>6.9000000000000006E-2</v>
      </c>
      <c r="J309" s="14">
        <f>I309*24</f>
        <v>1.6560000000000001</v>
      </c>
      <c r="K309" s="14">
        <f>VLOOKUP($C309,Rotation!$A$2:$J$10,2,FALSE)</f>
        <v>1</v>
      </c>
      <c r="L309" s="14">
        <f>VLOOKUP($C309,Rotation!$A$2:$J$10,3,FALSE)</f>
        <v>0</v>
      </c>
      <c r="M309" s="14">
        <f>VLOOKUP($C309,Rotation!$A$2:$J$10,4,FALSE)</f>
        <v>0</v>
      </c>
      <c r="N309" s="14">
        <f>VLOOKUP($C309,Rotation!$A$2:$J$10,5,FALSE)</f>
        <v>0</v>
      </c>
      <c r="O309" s="14">
        <f>VLOOKUP($C309,Rotation!$A$2:$J$10,6,FALSE)</f>
        <v>0</v>
      </c>
      <c r="P309" s="14">
        <f>VLOOKUP($C309,Rotation!$A$2:$J$10,7,FALSE)</f>
        <v>0</v>
      </c>
      <c r="Q309" s="14">
        <f>VLOOKUP($C309,Rotation!$A$2:$J$10,8,FALSE)</f>
        <v>1</v>
      </c>
      <c r="R309" s="14">
        <f>VLOOKUP($C309,Rotation!$A$2:$J$10,9,FALSE)</f>
        <v>0</v>
      </c>
      <c r="S309" s="14">
        <f>VLOOKUP($C309,Rotation!$A$2:$J$10,10,FALSE)</f>
        <v>0</v>
      </c>
    </row>
    <row r="310" spans="1:19" ht="18">
      <c r="A310" s="14">
        <v>308</v>
      </c>
      <c r="B310" s="14" t="s">
        <v>93</v>
      </c>
      <c r="C310" s="14" t="str">
        <f>VLOOKUP(B310,Family!B:C,2,FALSE)</f>
        <v>F</v>
      </c>
      <c r="D310" s="15">
        <v>72</v>
      </c>
      <c r="E310" s="14">
        <f>ROUND(VLOOKUP(C310,'Production Plan'!A:B,2,FALSE),2)</f>
        <v>394.98</v>
      </c>
      <c r="F310" s="16">
        <v>45699</v>
      </c>
      <c r="G310" s="17">
        <f>F310+6*7</f>
        <v>45741</v>
      </c>
      <c r="H310" s="14">
        <f>G310-F310</f>
        <v>42</v>
      </c>
      <c r="I310" s="14">
        <f>ROUND(D310/E310,3)</f>
        <v>0.182</v>
      </c>
      <c r="J310" s="14">
        <f>I310*24</f>
        <v>4.3680000000000003</v>
      </c>
      <c r="K310" s="14">
        <f>VLOOKUP($C310,Rotation!$A$2:$J$10,2,FALSE)</f>
        <v>1</v>
      </c>
      <c r="L310" s="14">
        <f>VLOOKUP($C310,Rotation!$A$2:$J$10,3,FALSE)</f>
        <v>0</v>
      </c>
      <c r="M310" s="14">
        <f>VLOOKUP($C310,Rotation!$A$2:$J$10,4,FALSE)</f>
        <v>0</v>
      </c>
      <c r="N310" s="14">
        <f>VLOOKUP($C310,Rotation!$A$2:$J$10,5,FALSE)</f>
        <v>1</v>
      </c>
      <c r="O310" s="14">
        <f>VLOOKUP($C310,Rotation!$A$2:$J$10,6,FALSE)</f>
        <v>1</v>
      </c>
      <c r="P310" s="14">
        <f>VLOOKUP($C310,Rotation!$A$2:$J$10,7,FALSE)</f>
        <v>1</v>
      </c>
      <c r="Q310" s="14">
        <f>VLOOKUP($C310,Rotation!$A$2:$J$10,8,FALSE)</f>
        <v>1</v>
      </c>
      <c r="R310" s="14">
        <f>VLOOKUP($C310,Rotation!$A$2:$J$10,9,FALSE)</f>
        <v>1</v>
      </c>
      <c r="S310" s="14">
        <f>VLOOKUP($C310,Rotation!$A$2:$J$10,10,FALSE)</f>
        <v>1</v>
      </c>
    </row>
    <row r="311" spans="1:19" ht="18">
      <c r="A311" s="14">
        <v>309</v>
      </c>
      <c r="B311" s="14" t="s">
        <v>94</v>
      </c>
      <c r="C311" s="14" t="str">
        <f>VLOOKUP(B311,Family!B:C,2,FALSE)</f>
        <v>H</v>
      </c>
      <c r="D311" s="15">
        <v>99</v>
      </c>
      <c r="E311" s="14">
        <f>ROUND(VLOOKUP(C311,'Production Plan'!A:B,2,FALSE),2)</f>
        <v>402.02</v>
      </c>
      <c r="F311" s="16">
        <v>45677</v>
      </c>
      <c r="G311" s="17">
        <f>F311+6*7</f>
        <v>45719</v>
      </c>
      <c r="H311" s="14">
        <f>G311-F311</f>
        <v>42</v>
      </c>
      <c r="I311" s="14">
        <f>ROUND(D311/E311,3)</f>
        <v>0.246</v>
      </c>
      <c r="J311" s="14">
        <f>I311*24</f>
        <v>5.9039999999999999</v>
      </c>
      <c r="K311" s="14">
        <f>VLOOKUP($C311,Rotation!$A$2:$J$10,2,FALSE)</f>
        <v>0</v>
      </c>
      <c r="L311" s="14">
        <f>VLOOKUP($C311,Rotation!$A$2:$J$10,3,FALSE)</f>
        <v>0</v>
      </c>
      <c r="M311" s="14">
        <f>VLOOKUP($C311,Rotation!$A$2:$J$10,4,FALSE)</f>
        <v>1</v>
      </c>
      <c r="N311" s="14">
        <f>VLOOKUP($C311,Rotation!$A$2:$J$10,5,FALSE)</f>
        <v>1</v>
      </c>
      <c r="O311" s="14">
        <f>VLOOKUP($C311,Rotation!$A$2:$J$10,6,FALSE)</f>
        <v>0</v>
      </c>
      <c r="P311" s="14">
        <f>VLOOKUP($C311,Rotation!$A$2:$J$10,7,FALSE)</f>
        <v>0</v>
      </c>
      <c r="Q311" s="14">
        <f>VLOOKUP($C311,Rotation!$A$2:$J$10,8,FALSE)</f>
        <v>0</v>
      </c>
      <c r="R311" s="14">
        <f>VLOOKUP($C311,Rotation!$A$2:$J$10,9,FALSE)</f>
        <v>0</v>
      </c>
      <c r="S311" s="14">
        <f>VLOOKUP($C311,Rotation!$A$2:$J$10,10,FALSE)</f>
        <v>0</v>
      </c>
    </row>
    <row r="312" spans="1:19" ht="18">
      <c r="A312" s="14">
        <v>310</v>
      </c>
      <c r="B312" s="14" t="s">
        <v>66</v>
      </c>
      <c r="C312" s="14" t="str">
        <f>VLOOKUP(B312,Family!B:C,2,FALSE)</f>
        <v>A</v>
      </c>
      <c r="D312" s="15">
        <v>108</v>
      </c>
      <c r="E312" s="14">
        <f>ROUND(VLOOKUP(C312,'Production Plan'!A:B,2,FALSE),2)</f>
        <v>407.17</v>
      </c>
      <c r="F312" s="16">
        <v>45709</v>
      </c>
      <c r="G312" s="17">
        <f>F312+6*7</f>
        <v>45751</v>
      </c>
      <c r="H312" s="14">
        <f>G312-F312</f>
        <v>42</v>
      </c>
      <c r="I312" s="14">
        <f>ROUND(D312/E312,3)</f>
        <v>0.26500000000000001</v>
      </c>
      <c r="J312" s="14">
        <f>I312*24</f>
        <v>6.36</v>
      </c>
      <c r="K312" s="14">
        <f>VLOOKUP($C312,Rotation!$A$2:$J$10,2,FALSE)</f>
        <v>1</v>
      </c>
      <c r="L312" s="14">
        <f>VLOOKUP($C312,Rotation!$A$2:$J$10,3,FALSE)</f>
        <v>1</v>
      </c>
      <c r="M312" s="14">
        <f>VLOOKUP($C312,Rotation!$A$2:$J$10,4,FALSE)</f>
        <v>1</v>
      </c>
      <c r="N312" s="14">
        <f>VLOOKUP($C312,Rotation!$A$2:$J$10,5,FALSE)</f>
        <v>0</v>
      </c>
      <c r="O312" s="14">
        <f>VLOOKUP($C312,Rotation!$A$2:$J$10,6,FALSE)</f>
        <v>0</v>
      </c>
      <c r="P312" s="14">
        <f>VLOOKUP($C312,Rotation!$A$2:$J$10,7,FALSE)</f>
        <v>0</v>
      </c>
      <c r="Q312" s="14">
        <f>VLOOKUP($C312,Rotation!$A$2:$J$10,8,FALSE)</f>
        <v>0</v>
      </c>
      <c r="R312" s="14">
        <f>VLOOKUP($C312,Rotation!$A$2:$J$10,9,FALSE)</f>
        <v>0</v>
      </c>
      <c r="S312" s="14">
        <f>VLOOKUP($C312,Rotation!$A$2:$J$10,10,FALSE)</f>
        <v>0</v>
      </c>
    </row>
    <row r="313" spans="1:19" ht="18">
      <c r="A313" s="14">
        <v>311</v>
      </c>
      <c r="B313" s="14" t="s">
        <v>66</v>
      </c>
      <c r="C313" s="14" t="str">
        <f>VLOOKUP(B313,Family!B:C,2,FALSE)</f>
        <v>A</v>
      </c>
      <c r="D313" s="15">
        <v>54</v>
      </c>
      <c r="E313" s="14">
        <f>ROUND(VLOOKUP(C313,'Production Plan'!A:B,2,FALSE),2)</f>
        <v>407.17</v>
      </c>
      <c r="F313" s="16">
        <v>45709</v>
      </c>
      <c r="G313" s="17">
        <f>F313+6*7</f>
        <v>45751</v>
      </c>
      <c r="H313" s="14">
        <f>G313-F313</f>
        <v>42</v>
      </c>
      <c r="I313" s="14">
        <f>ROUND(D313/E313,3)</f>
        <v>0.13300000000000001</v>
      </c>
      <c r="J313" s="14">
        <f>I313*24</f>
        <v>3.1920000000000002</v>
      </c>
      <c r="K313" s="14">
        <f>VLOOKUP($C313,Rotation!$A$2:$J$10,2,FALSE)</f>
        <v>1</v>
      </c>
      <c r="L313" s="14">
        <f>VLOOKUP($C313,Rotation!$A$2:$J$10,3,FALSE)</f>
        <v>1</v>
      </c>
      <c r="M313" s="14">
        <f>VLOOKUP($C313,Rotation!$A$2:$J$10,4,FALSE)</f>
        <v>1</v>
      </c>
      <c r="N313" s="14">
        <f>VLOOKUP($C313,Rotation!$A$2:$J$10,5,FALSE)</f>
        <v>0</v>
      </c>
      <c r="O313" s="14">
        <f>VLOOKUP($C313,Rotation!$A$2:$J$10,6,FALSE)</f>
        <v>0</v>
      </c>
      <c r="P313" s="14">
        <f>VLOOKUP($C313,Rotation!$A$2:$J$10,7,FALSE)</f>
        <v>0</v>
      </c>
      <c r="Q313" s="14">
        <f>VLOOKUP($C313,Rotation!$A$2:$J$10,8,FALSE)</f>
        <v>0</v>
      </c>
      <c r="R313" s="14">
        <f>VLOOKUP($C313,Rotation!$A$2:$J$10,9,FALSE)</f>
        <v>0</v>
      </c>
      <c r="S313" s="14">
        <f>VLOOKUP($C313,Rotation!$A$2:$J$10,10,FALSE)</f>
        <v>0</v>
      </c>
    </row>
    <row r="314" spans="1:19" ht="18">
      <c r="A314" s="14">
        <v>312</v>
      </c>
      <c r="B314" s="14" t="s">
        <v>67</v>
      </c>
      <c r="C314" s="14" t="str">
        <f>VLOOKUP(B314,Family!B:C,2,FALSE)</f>
        <v>A</v>
      </c>
      <c r="D314" s="15">
        <v>78</v>
      </c>
      <c r="E314" s="14">
        <f>ROUND(VLOOKUP(C314,'Production Plan'!A:B,2,FALSE),2)</f>
        <v>407.17</v>
      </c>
      <c r="F314" s="16">
        <v>45721</v>
      </c>
      <c r="G314" s="17">
        <f>F314+6*7</f>
        <v>45763</v>
      </c>
      <c r="H314" s="14">
        <f>G314-F314</f>
        <v>42</v>
      </c>
      <c r="I314" s="14">
        <f>ROUND(D314/E314,3)</f>
        <v>0.192</v>
      </c>
      <c r="J314" s="14">
        <f>I314*24</f>
        <v>4.6080000000000005</v>
      </c>
      <c r="K314" s="14">
        <f>VLOOKUP($C314,Rotation!$A$2:$J$10,2,FALSE)</f>
        <v>1</v>
      </c>
      <c r="L314" s="14">
        <f>VLOOKUP($C314,Rotation!$A$2:$J$10,3,FALSE)</f>
        <v>1</v>
      </c>
      <c r="M314" s="14">
        <f>VLOOKUP($C314,Rotation!$A$2:$J$10,4,FALSE)</f>
        <v>1</v>
      </c>
      <c r="N314" s="14">
        <f>VLOOKUP($C314,Rotation!$A$2:$J$10,5,FALSE)</f>
        <v>0</v>
      </c>
      <c r="O314" s="14">
        <f>VLOOKUP($C314,Rotation!$A$2:$J$10,6,FALSE)</f>
        <v>0</v>
      </c>
      <c r="P314" s="14">
        <f>VLOOKUP($C314,Rotation!$A$2:$J$10,7,FALSE)</f>
        <v>0</v>
      </c>
      <c r="Q314" s="14">
        <f>VLOOKUP($C314,Rotation!$A$2:$J$10,8,FALSE)</f>
        <v>0</v>
      </c>
      <c r="R314" s="14">
        <f>VLOOKUP($C314,Rotation!$A$2:$J$10,9,FALSE)</f>
        <v>0</v>
      </c>
      <c r="S314" s="14">
        <f>VLOOKUP($C314,Rotation!$A$2:$J$10,10,FALSE)</f>
        <v>0</v>
      </c>
    </row>
    <row r="315" spans="1:19" ht="18">
      <c r="A315" s="14">
        <v>313</v>
      </c>
      <c r="B315" s="14" t="s">
        <v>67</v>
      </c>
      <c r="C315" s="14" t="str">
        <f>VLOOKUP(B315,Family!B:C,2,FALSE)</f>
        <v>A</v>
      </c>
      <c r="D315" s="15">
        <v>78</v>
      </c>
      <c r="E315" s="14">
        <f>ROUND(VLOOKUP(C315,'Production Plan'!A:B,2,FALSE),2)</f>
        <v>407.17</v>
      </c>
      <c r="F315" s="16">
        <v>45721</v>
      </c>
      <c r="G315" s="17">
        <f>F315+6*7</f>
        <v>45763</v>
      </c>
      <c r="H315" s="14">
        <f>G315-F315</f>
        <v>42</v>
      </c>
      <c r="I315" s="14">
        <f>ROUND(D315/E315,3)</f>
        <v>0.192</v>
      </c>
      <c r="J315" s="14">
        <f>I315*24</f>
        <v>4.6080000000000005</v>
      </c>
      <c r="K315" s="14">
        <f>VLOOKUP($C315,Rotation!$A$2:$J$10,2,FALSE)</f>
        <v>1</v>
      </c>
      <c r="L315" s="14">
        <f>VLOOKUP($C315,Rotation!$A$2:$J$10,3,FALSE)</f>
        <v>1</v>
      </c>
      <c r="M315" s="14">
        <f>VLOOKUP($C315,Rotation!$A$2:$J$10,4,FALSE)</f>
        <v>1</v>
      </c>
      <c r="N315" s="14">
        <f>VLOOKUP($C315,Rotation!$A$2:$J$10,5,FALSE)</f>
        <v>0</v>
      </c>
      <c r="O315" s="14">
        <f>VLOOKUP($C315,Rotation!$A$2:$J$10,6,FALSE)</f>
        <v>0</v>
      </c>
      <c r="P315" s="14">
        <f>VLOOKUP($C315,Rotation!$A$2:$J$10,7,FALSE)</f>
        <v>0</v>
      </c>
      <c r="Q315" s="14">
        <f>VLOOKUP($C315,Rotation!$A$2:$J$10,8,FALSE)</f>
        <v>0</v>
      </c>
      <c r="R315" s="14">
        <f>VLOOKUP($C315,Rotation!$A$2:$J$10,9,FALSE)</f>
        <v>0</v>
      </c>
      <c r="S315" s="14">
        <f>VLOOKUP($C315,Rotation!$A$2:$J$10,10,FALSE)</f>
        <v>0</v>
      </c>
    </row>
    <row r="316" spans="1:19" ht="18">
      <c r="A316" s="14">
        <v>314</v>
      </c>
      <c r="B316" s="14" t="s">
        <v>65</v>
      </c>
      <c r="C316" s="14" t="str">
        <f>VLOOKUP(B316,Family!B:C,2,FALSE)</f>
        <v>A</v>
      </c>
      <c r="D316" s="15">
        <v>38</v>
      </c>
      <c r="E316" s="14">
        <f>ROUND(VLOOKUP(C316,'Production Plan'!A:B,2,FALSE),2)</f>
        <v>407.17</v>
      </c>
      <c r="F316" s="16">
        <v>45728</v>
      </c>
      <c r="G316" s="17">
        <f>F316+6*7</f>
        <v>45770</v>
      </c>
      <c r="H316" s="14">
        <f>G316-F316</f>
        <v>42</v>
      </c>
      <c r="I316" s="14">
        <f>ROUND(D316/E316,3)</f>
        <v>9.2999999999999999E-2</v>
      </c>
      <c r="J316" s="14">
        <f>I316*24</f>
        <v>2.2320000000000002</v>
      </c>
      <c r="K316" s="14">
        <f>VLOOKUP($C316,Rotation!$A$2:$J$10,2,FALSE)</f>
        <v>1</v>
      </c>
      <c r="L316" s="14">
        <f>VLOOKUP($C316,Rotation!$A$2:$J$10,3,FALSE)</f>
        <v>1</v>
      </c>
      <c r="M316" s="14">
        <f>VLOOKUP($C316,Rotation!$A$2:$J$10,4,FALSE)</f>
        <v>1</v>
      </c>
      <c r="N316" s="14">
        <f>VLOOKUP($C316,Rotation!$A$2:$J$10,5,FALSE)</f>
        <v>0</v>
      </c>
      <c r="O316" s="14">
        <f>VLOOKUP($C316,Rotation!$A$2:$J$10,6,FALSE)</f>
        <v>0</v>
      </c>
      <c r="P316" s="14">
        <f>VLOOKUP($C316,Rotation!$A$2:$J$10,7,FALSE)</f>
        <v>0</v>
      </c>
      <c r="Q316" s="14">
        <f>VLOOKUP($C316,Rotation!$A$2:$J$10,8,FALSE)</f>
        <v>0</v>
      </c>
      <c r="R316" s="14">
        <f>VLOOKUP($C316,Rotation!$A$2:$J$10,9,FALSE)</f>
        <v>0</v>
      </c>
      <c r="S316" s="14">
        <f>VLOOKUP($C316,Rotation!$A$2:$J$10,10,FALSE)</f>
        <v>0</v>
      </c>
    </row>
    <row r="317" spans="1:19" ht="18">
      <c r="A317" s="14">
        <v>315</v>
      </c>
      <c r="B317" s="14" t="s">
        <v>87</v>
      </c>
      <c r="C317" s="14" t="str">
        <f>VLOOKUP(B317,Family!B:C,2,FALSE)</f>
        <v>E</v>
      </c>
      <c r="D317" s="15">
        <v>18</v>
      </c>
      <c r="E317" s="14">
        <f>ROUND(VLOOKUP(C317,'Production Plan'!A:B,2,FALSE),2)</f>
        <v>333.66</v>
      </c>
      <c r="F317" s="16">
        <v>45750</v>
      </c>
      <c r="G317" s="17">
        <f>F317+6*7</f>
        <v>45792</v>
      </c>
      <c r="H317" s="14">
        <f>G317-F317</f>
        <v>42</v>
      </c>
      <c r="I317" s="14">
        <f>ROUND(D317/E317,3)</f>
        <v>5.3999999999999999E-2</v>
      </c>
      <c r="J317" s="14">
        <f>I317*24</f>
        <v>1.296</v>
      </c>
      <c r="K317" s="14">
        <f>VLOOKUP($C317,Rotation!$A$2:$J$10,2,FALSE)</f>
        <v>1</v>
      </c>
      <c r="L317" s="14">
        <f>VLOOKUP($C317,Rotation!$A$2:$J$10,3,FALSE)</f>
        <v>0</v>
      </c>
      <c r="M317" s="14">
        <f>VLOOKUP($C317,Rotation!$A$2:$J$10,4,FALSE)</f>
        <v>0</v>
      </c>
      <c r="N317" s="14">
        <f>VLOOKUP($C317,Rotation!$A$2:$J$10,5,FALSE)</f>
        <v>0</v>
      </c>
      <c r="O317" s="14">
        <f>VLOOKUP($C317,Rotation!$A$2:$J$10,6,FALSE)</f>
        <v>0</v>
      </c>
      <c r="P317" s="14">
        <f>VLOOKUP($C317,Rotation!$A$2:$J$10,7,FALSE)</f>
        <v>1</v>
      </c>
      <c r="Q317" s="14">
        <f>VLOOKUP($C317,Rotation!$A$2:$J$10,8,FALSE)</f>
        <v>0</v>
      </c>
      <c r="R317" s="14">
        <f>VLOOKUP($C317,Rotation!$A$2:$J$10,9,FALSE)</f>
        <v>0</v>
      </c>
      <c r="S317" s="14">
        <f>VLOOKUP($C317,Rotation!$A$2:$J$10,10,FALSE)</f>
        <v>0</v>
      </c>
    </row>
    <row r="318" spans="1:19" ht="18">
      <c r="A318" s="14">
        <v>316</v>
      </c>
      <c r="B318" s="14" t="s">
        <v>67</v>
      </c>
      <c r="C318" s="14" t="str">
        <f>VLOOKUP(B318,Family!B:C,2,FALSE)</f>
        <v>A</v>
      </c>
      <c r="D318" s="15">
        <v>77.712000000000003</v>
      </c>
      <c r="E318" s="14">
        <f>ROUND(VLOOKUP(C318,'Production Plan'!A:B,2,FALSE),2)</f>
        <v>407.17</v>
      </c>
      <c r="F318" s="16">
        <v>45722</v>
      </c>
      <c r="G318" s="17">
        <f>F318+6*7</f>
        <v>45764</v>
      </c>
      <c r="H318" s="14">
        <f>G318-F318</f>
        <v>42</v>
      </c>
      <c r="I318" s="14">
        <f>ROUND(D318/E318,3)</f>
        <v>0.191</v>
      </c>
      <c r="J318" s="14">
        <f>I318*24</f>
        <v>4.5839999999999996</v>
      </c>
      <c r="K318" s="14">
        <f>VLOOKUP($C318,Rotation!$A$2:$J$10,2,FALSE)</f>
        <v>1</v>
      </c>
      <c r="L318" s="14">
        <f>VLOOKUP($C318,Rotation!$A$2:$J$10,3,FALSE)</f>
        <v>1</v>
      </c>
      <c r="M318" s="14">
        <f>VLOOKUP($C318,Rotation!$A$2:$J$10,4,FALSE)</f>
        <v>1</v>
      </c>
      <c r="N318" s="14">
        <f>VLOOKUP($C318,Rotation!$A$2:$J$10,5,FALSE)</f>
        <v>0</v>
      </c>
      <c r="O318" s="14">
        <f>VLOOKUP($C318,Rotation!$A$2:$J$10,6,FALSE)</f>
        <v>0</v>
      </c>
      <c r="P318" s="14">
        <f>VLOOKUP($C318,Rotation!$A$2:$J$10,7,FALSE)</f>
        <v>0</v>
      </c>
      <c r="Q318" s="14">
        <f>VLOOKUP($C318,Rotation!$A$2:$J$10,8,FALSE)</f>
        <v>0</v>
      </c>
      <c r="R318" s="14">
        <f>VLOOKUP($C318,Rotation!$A$2:$J$10,9,FALSE)</f>
        <v>0</v>
      </c>
      <c r="S318" s="14">
        <f>VLOOKUP($C318,Rotation!$A$2:$J$10,10,FALSE)</f>
        <v>0</v>
      </c>
    </row>
    <row r="319" spans="1:19" ht="18">
      <c r="A319" s="14">
        <v>317</v>
      </c>
      <c r="B319" s="14" t="s">
        <v>67</v>
      </c>
      <c r="C319" s="14" t="str">
        <f>VLOOKUP(B319,Family!B:C,2,FALSE)</f>
        <v>A</v>
      </c>
      <c r="D319" s="15">
        <v>78</v>
      </c>
      <c r="E319" s="14">
        <f>ROUND(VLOOKUP(C319,'Production Plan'!A:B,2,FALSE),2)</f>
        <v>407.17</v>
      </c>
      <c r="F319" s="16">
        <v>45721</v>
      </c>
      <c r="G319" s="17">
        <f>F319+6*7</f>
        <v>45763</v>
      </c>
      <c r="H319" s="14">
        <f>G319-F319</f>
        <v>42</v>
      </c>
      <c r="I319" s="14">
        <f>ROUND(D319/E319,3)</f>
        <v>0.192</v>
      </c>
      <c r="J319" s="14">
        <f>I319*24</f>
        <v>4.6080000000000005</v>
      </c>
      <c r="K319" s="14">
        <f>VLOOKUP($C319,Rotation!$A$2:$J$10,2,FALSE)</f>
        <v>1</v>
      </c>
      <c r="L319" s="14">
        <f>VLOOKUP($C319,Rotation!$A$2:$J$10,3,FALSE)</f>
        <v>1</v>
      </c>
      <c r="M319" s="14">
        <f>VLOOKUP($C319,Rotation!$A$2:$J$10,4,FALSE)</f>
        <v>1</v>
      </c>
      <c r="N319" s="14">
        <f>VLOOKUP($C319,Rotation!$A$2:$J$10,5,FALSE)</f>
        <v>0</v>
      </c>
      <c r="O319" s="14">
        <f>VLOOKUP($C319,Rotation!$A$2:$J$10,6,FALSE)</f>
        <v>0</v>
      </c>
      <c r="P319" s="14">
        <f>VLOOKUP($C319,Rotation!$A$2:$J$10,7,FALSE)</f>
        <v>0</v>
      </c>
      <c r="Q319" s="14">
        <f>VLOOKUP($C319,Rotation!$A$2:$J$10,8,FALSE)</f>
        <v>0</v>
      </c>
      <c r="R319" s="14">
        <f>VLOOKUP($C319,Rotation!$A$2:$J$10,9,FALSE)</f>
        <v>0</v>
      </c>
      <c r="S319" s="14">
        <f>VLOOKUP($C319,Rotation!$A$2:$J$10,10,FALSE)</f>
        <v>0</v>
      </c>
    </row>
    <row r="320" spans="1:19" ht="18">
      <c r="A320" s="14">
        <v>318</v>
      </c>
      <c r="B320" s="14" t="s">
        <v>65</v>
      </c>
      <c r="C320" s="14" t="str">
        <f>VLOOKUP(B320,Family!B:C,2,FALSE)</f>
        <v>A</v>
      </c>
      <c r="D320" s="15">
        <v>38</v>
      </c>
      <c r="E320" s="14">
        <f>ROUND(VLOOKUP(C320,'Production Plan'!A:B,2,FALSE),2)</f>
        <v>407.17</v>
      </c>
      <c r="F320" s="16">
        <v>45728</v>
      </c>
      <c r="G320" s="17">
        <f>F320+6*7</f>
        <v>45770</v>
      </c>
      <c r="H320" s="14">
        <f>G320-F320</f>
        <v>42</v>
      </c>
      <c r="I320" s="14">
        <f>ROUND(D320/E320,3)</f>
        <v>9.2999999999999999E-2</v>
      </c>
      <c r="J320" s="14">
        <f>I320*24</f>
        <v>2.2320000000000002</v>
      </c>
      <c r="K320" s="14">
        <f>VLOOKUP($C320,Rotation!$A$2:$J$10,2,FALSE)</f>
        <v>1</v>
      </c>
      <c r="L320" s="14">
        <f>VLOOKUP($C320,Rotation!$A$2:$J$10,3,FALSE)</f>
        <v>1</v>
      </c>
      <c r="M320" s="14">
        <f>VLOOKUP($C320,Rotation!$A$2:$J$10,4,FALSE)</f>
        <v>1</v>
      </c>
      <c r="N320" s="14">
        <f>VLOOKUP($C320,Rotation!$A$2:$J$10,5,FALSE)</f>
        <v>0</v>
      </c>
      <c r="O320" s="14">
        <f>VLOOKUP($C320,Rotation!$A$2:$J$10,6,FALSE)</f>
        <v>0</v>
      </c>
      <c r="P320" s="14">
        <f>VLOOKUP($C320,Rotation!$A$2:$J$10,7,FALSE)</f>
        <v>0</v>
      </c>
      <c r="Q320" s="14">
        <f>VLOOKUP($C320,Rotation!$A$2:$J$10,8,FALSE)</f>
        <v>0</v>
      </c>
      <c r="R320" s="14">
        <f>VLOOKUP($C320,Rotation!$A$2:$J$10,9,FALSE)</f>
        <v>0</v>
      </c>
      <c r="S320" s="14">
        <f>VLOOKUP($C320,Rotation!$A$2:$J$10,10,FALSE)</f>
        <v>0</v>
      </c>
    </row>
    <row r="321" spans="1:19" ht="18">
      <c r="A321" s="14">
        <v>319</v>
      </c>
      <c r="B321" s="14" t="s">
        <v>94</v>
      </c>
      <c r="C321" s="14" t="str">
        <f>VLOOKUP(B321,Family!B:C,2,FALSE)</f>
        <v>H</v>
      </c>
      <c r="D321" s="15">
        <v>24</v>
      </c>
      <c r="E321" s="14">
        <f>ROUND(VLOOKUP(C321,'Production Plan'!A:B,2,FALSE),2)</f>
        <v>402.02</v>
      </c>
      <c r="F321" s="16">
        <v>45748</v>
      </c>
      <c r="G321" s="17">
        <f>F321+6*7</f>
        <v>45790</v>
      </c>
      <c r="H321" s="14">
        <f>G321-F321</f>
        <v>42</v>
      </c>
      <c r="I321" s="14">
        <f>ROUND(D321/E321,3)</f>
        <v>0.06</v>
      </c>
      <c r="J321" s="14">
        <f>I321*24</f>
        <v>1.44</v>
      </c>
      <c r="K321" s="14">
        <f>VLOOKUP($C321,Rotation!$A$2:$J$10,2,FALSE)</f>
        <v>0</v>
      </c>
      <c r="L321" s="14">
        <f>VLOOKUP($C321,Rotation!$A$2:$J$10,3,FALSE)</f>
        <v>0</v>
      </c>
      <c r="M321" s="14">
        <f>VLOOKUP($C321,Rotation!$A$2:$J$10,4,FALSE)</f>
        <v>1</v>
      </c>
      <c r="N321" s="14">
        <f>VLOOKUP($C321,Rotation!$A$2:$J$10,5,FALSE)</f>
        <v>1</v>
      </c>
      <c r="O321" s="14">
        <f>VLOOKUP($C321,Rotation!$A$2:$J$10,6,FALSE)</f>
        <v>0</v>
      </c>
      <c r="P321" s="14">
        <f>VLOOKUP($C321,Rotation!$A$2:$J$10,7,FALSE)</f>
        <v>0</v>
      </c>
      <c r="Q321" s="14">
        <f>VLOOKUP($C321,Rotation!$A$2:$J$10,8,FALSE)</f>
        <v>0</v>
      </c>
      <c r="R321" s="14">
        <f>VLOOKUP($C321,Rotation!$A$2:$J$10,9,FALSE)</f>
        <v>0</v>
      </c>
      <c r="S321" s="14">
        <f>VLOOKUP($C321,Rotation!$A$2:$J$10,10,FALSE)</f>
        <v>0</v>
      </c>
    </row>
    <row r="322" spans="1:19" ht="18">
      <c r="A322" s="14">
        <v>320</v>
      </c>
      <c r="B322" s="14" t="s">
        <v>94</v>
      </c>
      <c r="C322" s="14" t="str">
        <f>VLOOKUP(B322,Family!B:C,2,FALSE)</f>
        <v>H</v>
      </c>
      <c r="D322" s="15">
        <v>49</v>
      </c>
      <c r="E322" s="14">
        <f>ROUND(VLOOKUP(C322,'Production Plan'!A:B,2,FALSE),2)</f>
        <v>402.02</v>
      </c>
      <c r="F322" s="16">
        <v>45737</v>
      </c>
      <c r="G322" s="17">
        <f>F322+6*7</f>
        <v>45779</v>
      </c>
      <c r="H322" s="14">
        <f>G322-F322</f>
        <v>42</v>
      </c>
      <c r="I322" s="14">
        <f>ROUND(D322/E322,3)</f>
        <v>0.122</v>
      </c>
      <c r="J322" s="14">
        <f>I322*24</f>
        <v>2.9279999999999999</v>
      </c>
      <c r="K322" s="14">
        <f>VLOOKUP($C322,Rotation!$A$2:$J$10,2,FALSE)</f>
        <v>0</v>
      </c>
      <c r="L322" s="14">
        <f>VLOOKUP($C322,Rotation!$A$2:$J$10,3,FALSE)</f>
        <v>0</v>
      </c>
      <c r="M322" s="14">
        <f>VLOOKUP($C322,Rotation!$A$2:$J$10,4,FALSE)</f>
        <v>1</v>
      </c>
      <c r="N322" s="14">
        <f>VLOOKUP($C322,Rotation!$A$2:$J$10,5,FALSE)</f>
        <v>1</v>
      </c>
      <c r="O322" s="14">
        <f>VLOOKUP($C322,Rotation!$A$2:$J$10,6,FALSE)</f>
        <v>0</v>
      </c>
      <c r="P322" s="14">
        <f>VLOOKUP($C322,Rotation!$A$2:$J$10,7,FALSE)</f>
        <v>0</v>
      </c>
      <c r="Q322" s="14">
        <f>VLOOKUP($C322,Rotation!$A$2:$J$10,8,FALSE)</f>
        <v>0</v>
      </c>
      <c r="R322" s="14">
        <f>VLOOKUP($C322,Rotation!$A$2:$J$10,9,FALSE)</f>
        <v>0</v>
      </c>
      <c r="S322" s="14">
        <f>VLOOKUP($C322,Rotation!$A$2:$J$10,10,FALSE)</f>
        <v>0</v>
      </c>
    </row>
    <row r="323" spans="1:19" ht="18">
      <c r="A323" s="14">
        <v>321</v>
      </c>
      <c r="B323" s="14" t="s">
        <v>94</v>
      </c>
      <c r="C323" s="14" t="str">
        <f>VLOOKUP(B323,Family!B:C,2,FALSE)</f>
        <v>H</v>
      </c>
      <c r="D323" s="15">
        <v>49</v>
      </c>
      <c r="E323" s="14">
        <f>ROUND(VLOOKUP(C323,'Production Plan'!A:B,2,FALSE),2)</f>
        <v>402.02</v>
      </c>
      <c r="F323" s="16">
        <v>45748</v>
      </c>
      <c r="G323" s="17">
        <f>F323+6*7</f>
        <v>45790</v>
      </c>
      <c r="H323" s="14">
        <f>G323-F323</f>
        <v>42</v>
      </c>
      <c r="I323" s="14">
        <f>ROUND(D323/E323,3)</f>
        <v>0.122</v>
      </c>
      <c r="J323" s="14">
        <f>I323*24</f>
        <v>2.9279999999999999</v>
      </c>
      <c r="K323" s="14">
        <f>VLOOKUP($C323,Rotation!$A$2:$J$10,2,FALSE)</f>
        <v>0</v>
      </c>
      <c r="L323" s="14">
        <f>VLOOKUP($C323,Rotation!$A$2:$J$10,3,FALSE)</f>
        <v>0</v>
      </c>
      <c r="M323" s="14">
        <f>VLOOKUP($C323,Rotation!$A$2:$J$10,4,FALSE)</f>
        <v>1</v>
      </c>
      <c r="N323" s="14">
        <f>VLOOKUP($C323,Rotation!$A$2:$J$10,5,FALSE)</f>
        <v>1</v>
      </c>
      <c r="O323" s="14">
        <f>VLOOKUP($C323,Rotation!$A$2:$J$10,6,FALSE)</f>
        <v>0</v>
      </c>
      <c r="P323" s="14">
        <f>VLOOKUP($C323,Rotation!$A$2:$J$10,7,FALSE)</f>
        <v>0</v>
      </c>
      <c r="Q323" s="14">
        <f>VLOOKUP($C323,Rotation!$A$2:$J$10,8,FALSE)</f>
        <v>0</v>
      </c>
      <c r="R323" s="14">
        <f>VLOOKUP($C323,Rotation!$A$2:$J$10,9,FALSE)</f>
        <v>0</v>
      </c>
      <c r="S323" s="14">
        <f>VLOOKUP($C323,Rotation!$A$2:$J$10,10,FALSE)</f>
        <v>0</v>
      </c>
    </row>
    <row r="324" spans="1:19" ht="18">
      <c r="A324" s="14">
        <v>322</v>
      </c>
      <c r="B324" s="14" t="s">
        <v>98</v>
      </c>
      <c r="C324" s="14" t="str">
        <f>VLOOKUP(B324,Family!B:C,2,FALSE)</f>
        <v>H</v>
      </c>
      <c r="D324" s="15">
        <v>19</v>
      </c>
      <c r="E324" s="14">
        <f>ROUND(VLOOKUP(C324,'Production Plan'!A:B,2,FALSE),2)</f>
        <v>402.02</v>
      </c>
      <c r="F324" s="16">
        <v>45669</v>
      </c>
      <c r="G324" s="17">
        <f>F324+6*7</f>
        <v>45711</v>
      </c>
      <c r="H324" s="14">
        <f>G324-F324</f>
        <v>42</v>
      </c>
      <c r="I324" s="14">
        <f>ROUND(D324/E324,3)</f>
        <v>4.7E-2</v>
      </c>
      <c r="J324" s="14">
        <f>I324*24</f>
        <v>1.1280000000000001</v>
      </c>
      <c r="K324" s="14">
        <f>VLOOKUP($C324,Rotation!$A$2:$J$10,2,FALSE)</f>
        <v>0</v>
      </c>
      <c r="L324" s="14">
        <f>VLOOKUP($C324,Rotation!$A$2:$J$10,3,FALSE)</f>
        <v>0</v>
      </c>
      <c r="M324" s="14">
        <f>VLOOKUP($C324,Rotation!$A$2:$J$10,4,FALSE)</f>
        <v>1</v>
      </c>
      <c r="N324" s="14">
        <f>VLOOKUP($C324,Rotation!$A$2:$J$10,5,FALSE)</f>
        <v>1</v>
      </c>
      <c r="O324" s="14">
        <f>VLOOKUP($C324,Rotation!$A$2:$J$10,6,FALSE)</f>
        <v>0</v>
      </c>
      <c r="P324" s="14">
        <f>VLOOKUP($C324,Rotation!$A$2:$J$10,7,FALSE)</f>
        <v>0</v>
      </c>
      <c r="Q324" s="14">
        <f>VLOOKUP($C324,Rotation!$A$2:$J$10,8,FALSE)</f>
        <v>0</v>
      </c>
      <c r="R324" s="14">
        <f>VLOOKUP($C324,Rotation!$A$2:$J$10,9,FALSE)</f>
        <v>0</v>
      </c>
      <c r="S324" s="14">
        <f>VLOOKUP($C324,Rotation!$A$2:$J$10,10,FALSE)</f>
        <v>0</v>
      </c>
    </row>
    <row r="325" spans="1:19" ht="18">
      <c r="A325" s="14">
        <v>323</v>
      </c>
      <c r="B325" s="14" t="s">
        <v>65</v>
      </c>
      <c r="C325" s="14" t="str">
        <f>VLOOKUP(B325,Family!B:C,2,FALSE)</f>
        <v>A</v>
      </c>
      <c r="D325" s="15">
        <v>38</v>
      </c>
      <c r="E325" s="14">
        <f>ROUND(VLOOKUP(C325,'Production Plan'!A:B,2,FALSE),2)</f>
        <v>407.17</v>
      </c>
      <c r="F325" s="16">
        <v>45728</v>
      </c>
      <c r="G325" s="17">
        <f>F325+6*7</f>
        <v>45770</v>
      </c>
      <c r="H325" s="14">
        <f>G325-F325</f>
        <v>42</v>
      </c>
      <c r="I325" s="14">
        <f>ROUND(D325/E325,3)</f>
        <v>9.2999999999999999E-2</v>
      </c>
      <c r="J325" s="14">
        <f>I325*24</f>
        <v>2.2320000000000002</v>
      </c>
      <c r="K325" s="14">
        <f>VLOOKUP($C325,Rotation!$A$2:$J$10,2,FALSE)</f>
        <v>1</v>
      </c>
      <c r="L325" s="14">
        <f>VLOOKUP($C325,Rotation!$A$2:$J$10,3,FALSE)</f>
        <v>1</v>
      </c>
      <c r="M325" s="14">
        <f>VLOOKUP($C325,Rotation!$A$2:$J$10,4,FALSE)</f>
        <v>1</v>
      </c>
      <c r="N325" s="14">
        <f>VLOOKUP($C325,Rotation!$A$2:$J$10,5,FALSE)</f>
        <v>0</v>
      </c>
      <c r="O325" s="14">
        <f>VLOOKUP($C325,Rotation!$A$2:$J$10,6,FALSE)</f>
        <v>0</v>
      </c>
      <c r="P325" s="14">
        <f>VLOOKUP($C325,Rotation!$A$2:$J$10,7,FALSE)</f>
        <v>0</v>
      </c>
      <c r="Q325" s="14">
        <f>VLOOKUP($C325,Rotation!$A$2:$J$10,8,FALSE)</f>
        <v>0</v>
      </c>
      <c r="R325" s="14">
        <f>VLOOKUP($C325,Rotation!$A$2:$J$10,9,FALSE)</f>
        <v>0</v>
      </c>
      <c r="S325" s="14">
        <f>VLOOKUP($C325,Rotation!$A$2:$J$10,10,FALSE)</f>
        <v>0</v>
      </c>
    </row>
    <row r="326" spans="1:19" ht="18">
      <c r="A326" s="14">
        <v>324</v>
      </c>
      <c r="B326" s="14" t="s">
        <v>64</v>
      </c>
      <c r="C326" s="14" t="str">
        <f>VLOOKUP(B326,Family!B:C,2,FALSE)</f>
        <v>A</v>
      </c>
      <c r="D326" s="15">
        <v>111</v>
      </c>
      <c r="E326" s="14">
        <f>ROUND(VLOOKUP(C326,'Production Plan'!A:B,2,FALSE),2)</f>
        <v>407.17</v>
      </c>
      <c r="F326" s="16">
        <v>45763</v>
      </c>
      <c r="G326" s="17">
        <f>F326+6*7</f>
        <v>45805</v>
      </c>
      <c r="H326" s="14">
        <f>G326-F326</f>
        <v>42</v>
      </c>
      <c r="I326" s="14">
        <f>ROUND(D326/E326,3)</f>
        <v>0.27300000000000002</v>
      </c>
      <c r="J326" s="14">
        <f>I326*24</f>
        <v>6.5520000000000005</v>
      </c>
      <c r="K326" s="14">
        <f>VLOOKUP($C326,Rotation!$A$2:$J$10,2,FALSE)</f>
        <v>1</v>
      </c>
      <c r="L326" s="14">
        <f>VLOOKUP($C326,Rotation!$A$2:$J$10,3,FALSE)</f>
        <v>1</v>
      </c>
      <c r="M326" s="14">
        <f>VLOOKUP($C326,Rotation!$A$2:$J$10,4,FALSE)</f>
        <v>1</v>
      </c>
      <c r="N326" s="14">
        <f>VLOOKUP($C326,Rotation!$A$2:$J$10,5,FALSE)</f>
        <v>0</v>
      </c>
      <c r="O326" s="14">
        <f>VLOOKUP($C326,Rotation!$A$2:$J$10,6,FALSE)</f>
        <v>0</v>
      </c>
      <c r="P326" s="14">
        <f>VLOOKUP($C326,Rotation!$A$2:$J$10,7,FALSE)</f>
        <v>0</v>
      </c>
      <c r="Q326" s="14">
        <f>VLOOKUP($C326,Rotation!$A$2:$J$10,8,FALSE)</f>
        <v>0</v>
      </c>
      <c r="R326" s="14">
        <f>VLOOKUP($C326,Rotation!$A$2:$J$10,9,FALSE)</f>
        <v>0</v>
      </c>
      <c r="S326" s="14">
        <f>VLOOKUP($C326,Rotation!$A$2:$J$10,10,FALSE)</f>
        <v>0</v>
      </c>
    </row>
    <row r="327" spans="1:19" ht="18">
      <c r="A327" s="14">
        <v>325</v>
      </c>
      <c r="B327" s="14" t="s">
        <v>77</v>
      </c>
      <c r="C327" s="14" t="str">
        <f>VLOOKUP(B327,Family!B:C,2,FALSE)</f>
        <v>E</v>
      </c>
      <c r="D327" s="15">
        <v>18</v>
      </c>
      <c r="E327" s="14">
        <f>ROUND(VLOOKUP(C327,'Production Plan'!A:B,2,FALSE),2)</f>
        <v>333.66</v>
      </c>
      <c r="F327" s="16">
        <v>45671</v>
      </c>
      <c r="G327" s="17">
        <f>F327+6*7</f>
        <v>45713</v>
      </c>
      <c r="H327" s="14">
        <f>G327-F327</f>
        <v>42</v>
      </c>
      <c r="I327" s="14">
        <f>ROUND(D327/E327,3)</f>
        <v>5.3999999999999999E-2</v>
      </c>
      <c r="J327" s="14">
        <f>I327*24</f>
        <v>1.296</v>
      </c>
      <c r="K327" s="14">
        <f>VLOOKUP($C327,Rotation!$A$2:$J$10,2,FALSE)</f>
        <v>1</v>
      </c>
      <c r="L327" s="14">
        <f>VLOOKUP($C327,Rotation!$A$2:$J$10,3,FALSE)</f>
        <v>0</v>
      </c>
      <c r="M327" s="14">
        <f>VLOOKUP($C327,Rotation!$A$2:$J$10,4,FALSE)</f>
        <v>0</v>
      </c>
      <c r="N327" s="14">
        <f>VLOOKUP($C327,Rotation!$A$2:$J$10,5,FALSE)</f>
        <v>0</v>
      </c>
      <c r="O327" s="14">
        <f>VLOOKUP($C327,Rotation!$A$2:$J$10,6,FALSE)</f>
        <v>0</v>
      </c>
      <c r="P327" s="14">
        <f>VLOOKUP($C327,Rotation!$A$2:$J$10,7,FALSE)</f>
        <v>1</v>
      </c>
      <c r="Q327" s="14">
        <f>VLOOKUP($C327,Rotation!$A$2:$J$10,8,FALSE)</f>
        <v>0</v>
      </c>
      <c r="R327" s="14">
        <f>VLOOKUP($C327,Rotation!$A$2:$J$10,9,FALSE)</f>
        <v>0</v>
      </c>
      <c r="S327" s="14">
        <f>VLOOKUP($C327,Rotation!$A$2:$J$10,10,FALSE)</f>
        <v>0</v>
      </c>
    </row>
    <row r="328" spans="1:19" ht="18">
      <c r="A328" s="14">
        <v>326</v>
      </c>
      <c r="B328" s="14" t="s">
        <v>102</v>
      </c>
      <c r="C328" s="14" t="str">
        <f>VLOOKUP(B328,Family!B:C,2,FALSE)</f>
        <v>H</v>
      </c>
      <c r="D328" s="15">
        <v>45</v>
      </c>
      <c r="E328" s="14">
        <f>ROUND(VLOOKUP(C328,'Production Plan'!A:B,2,FALSE),2)</f>
        <v>402.02</v>
      </c>
      <c r="F328" s="16">
        <v>45695</v>
      </c>
      <c r="G328" s="17">
        <f>F328+6*7</f>
        <v>45737</v>
      </c>
      <c r="H328" s="14">
        <f>G328-F328</f>
        <v>42</v>
      </c>
      <c r="I328" s="14">
        <f>ROUND(D328/E328,3)</f>
        <v>0.112</v>
      </c>
      <c r="J328" s="14">
        <f>I328*24</f>
        <v>2.6880000000000002</v>
      </c>
      <c r="K328" s="14">
        <f>VLOOKUP($C328,Rotation!$A$2:$J$10,2,FALSE)</f>
        <v>0</v>
      </c>
      <c r="L328" s="14">
        <f>VLOOKUP($C328,Rotation!$A$2:$J$10,3,FALSE)</f>
        <v>0</v>
      </c>
      <c r="M328" s="14">
        <f>VLOOKUP($C328,Rotation!$A$2:$J$10,4,FALSE)</f>
        <v>1</v>
      </c>
      <c r="N328" s="14">
        <f>VLOOKUP($C328,Rotation!$A$2:$J$10,5,FALSE)</f>
        <v>1</v>
      </c>
      <c r="O328" s="14">
        <f>VLOOKUP($C328,Rotation!$A$2:$J$10,6,FALSE)</f>
        <v>0</v>
      </c>
      <c r="P328" s="14">
        <f>VLOOKUP($C328,Rotation!$A$2:$J$10,7,FALSE)</f>
        <v>0</v>
      </c>
      <c r="Q328" s="14">
        <f>VLOOKUP($C328,Rotation!$A$2:$J$10,8,FALSE)</f>
        <v>0</v>
      </c>
      <c r="R328" s="14">
        <f>VLOOKUP($C328,Rotation!$A$2:$J$10,9,FALSE)</f>
        <v>0</v>
      </c>
      <c r="S328" s="14">
        <f>VLOOKUP($C328,Rotation!$A$2:$J$10,10,FALSE)</f>
        <v>0</v>
      </c>
    </row>
    <row r="329" spans="1:19" ht="18">
      <c r="A329" s="14">
        <v>327</v>
      </c>
      <c r="B329" s="14" t="s">
        <v>100</v>
      </c>
      <c r="C329" s="14" t="str">
        <f>VLOOKUP(B329,Family!B:C,2,FALSE)</f>
        <v>H</v>
      </c>
      <c r="D329" s="15">
        <v>23</v>
      </c>
      <c r="E329" s="14">
        <f>ROUND(VLOOKUP(C329,'Production Plan'!A:B,2,FALSE),2)</f>
        <v>402.02</v>
      </c>
      <c r="F329" s="16">
        <v>45707</v>
      </c>
      <c r="G329" s="17">
        <f>F329+6*7</f>
        <v>45749</v>
      </c>
      <c r="H329" s="14">
        <f>G329-F329</f>
        <v>42</v>
      </c>
      <c r="I329" s="14">
        <f>ROUND(D329/E329,3)</f>
        <v>5.7000000000000002E-2</v>
      </c>
      <c r="J329" s="14">
        <f>I329*24</f>
        <v>1.3680000000000001</v>
      </c>
      <c r="K329" s="14">
        <f>VLOOKUP($C329,Rotation!$A$2:$J$10,2,FALSE)</f>
        <v>0</v>
      </c>
      <c r="L329" s="14">
        <f>VLOOKUP($C329,Rotation!$A$2:$J$10,3,FALSE)</f>
        <v>0</v>
      </c>
      <c r="M329" s="14">
        <f>VLOOKUP($C329,Rotation!$A$2:$J$10,4,FALSE)</f>
        <v>1</v>
      </c>
      <c r="N329" s="14">
        <f>VLOOKUP($C329,Rotation!$A$2:$J$10,5,FALSE)</f>
        <v>1</v>
      </c>
      <c r="O329" s="14">
        <f>VLOOKUP($C329,Rotation!$A$2:$J$10,6,FALSE)</f>
        <v>0</v>
      </c>
      <c r="P329" s="14">
        <f>VLOOKUP($C329,Rotation!$A$2:$J$10,7,FALSE)</f>
        <v>0</v>
      </c>
      <c r="Q329" s="14">
        <f>VLOOKUP($C329,Rotation!$A$2:$J$10,8,FALSE)</f>
        <v>0</v>
      </c>
      <c r="R329" s="14">
        <f>VLOOKUP($C329,Rotation!$A$2:$J$10,9,FALSE)</f>
        <v>0</v>
      </c>
      <c r="S329" s="14">
        <f>VLOOKUP($C329,Rotation!$A$2:$J$10,10,FALSE)</f>
        <v>0</v>
      </c>
    </row>
    <row r="330" spans="1:19" ht="18">
      <c r="A330" s="14">
        <v>328</v>
      </c>
      <c r="B330" s="14" t="s">
        <v>65</v>
      </c>
      <c r="C330" s="14" t="str">
        <f>VLOOKUP(B330,Family!B:C,2,FALSE)</f>
        <v>A</v>
      </c>
      <c r="D330" s="15">
        <v>38</v>
      </c>
      <c r="E330" s="14">
        <f>ROUND(VLOOKUP(C330,'Production Plan'!A:B,2,FALSE),2)</f>
        <v>407.17</v>
      </c>
      <c r="F330" s="16">
        <v>45728</v>
      </c>
      <c r="G330" s="17">
        <f>F330+6*7</f>
        <v>45770</v>
      </c>
      <c r="H330" s="14">
        <f>G330-F330</f>
        <v>42</v>
      </c>
      <c r="I330" s="14">
        <f>ROUND(D330/E330,3)</f>
        <v>9.2999999999999999E-2</v>
      </c>
      <c r="J330" s="14">
        <f>I330*24</f>
        <v>2.2320000000000002</v>
      </c>
      <c r="K330" s="14">
        <f>VLOOKUP($C330,Rotation!$A$2:$J$10,2,FALSE)</f>
        <v>1</v>
      </c>
      <c r="L330" s="14">
        <f>VLOOKUP($C330,Rotation!$A$2:$J$10,3,FALSE)</f>
        <v>1</v>
      </c>
      <c r="M330" s="14">
        <f>VLOOKUP($C330,Rotation!$A$2:$J$10,4,FALSE)</f>
        <v>1</v>
      </c>
      <c r="N330" s="14">
        <f>VLOOKUP($C330,Rotation!$A$2:$J$10,5,FALSE)</f>
        <v>0</v>
      </c>
      <c r="O330" s="14">
        <f>VLOOKUP($C330,Rotation!$A$2:$J$10,6,FALSE)</f>
        <v>0</v>
      </c>
      <c r="P330" s="14">
        <f>VLOOKUP($C330,Rotation!$A$2:$J$10,7,FALSE)</f>
        <v>0</v>
      </c>
      <c r="Q330" s="14">
        <f>VLOOKUP($C330,Rotation!$A$2:$J$10,8,FALSE)</f>
        <v>0</v>
      </c>
      <c r="R330" s="14">
        <f>VLOOKUP($C330,Rotation!$A$2:$J$10,9,FALSE)</f>
        <v>0</v>
      </c>
      <c r="S330" s="14">
        <f>VLOOKUP($C330,Rotation!$A$2:$J$10,10,FALSE)</f>
        <v>0</v>
      </c>
    </row>
    <row r="331" spans="1:19" ht="18">
      <c r="A331" s="14">
        <v>329</v>
      </c>
      <c r="B331" s="14" t="s">
        <v>64</v>
      </c>
      <c r="C331" s="14" t="str">
        <f>VLOOKUP(B331,Family!B:C,2,FALSE)</f>
        <v>A</v>
      </c>
      <c r="D331" s="15">
        <v>111</v>
      </c>
      <c r="E331" s="14">
        <f>ROUND(VLOOKUP(C331,'Production Plan'!A:B,2,FALSE),2)</f>
        <v>407.17</v>
      </c>
      <c r="F331" s="16">
        <v>45763</v>
      </c>
      <c r="G331" s="17">
        <f>F331+6*7</f>
        <v>45805</v>
      </c>
      <c r="H331" s="14">
        <f>G331-F331</f>
        <v>42</v>
      </c>
      <c r="I331" s="14">
        <f>ROUND(D331/E331,3)</f>
        <v>0.27300000000000002</v>
      </c>
      <c r="J331" s="14">
        <f>I331*24</f>
        <v>6.5520000000000005</v>
      </c>
      <c r="K331" s="14">
        <f>VLOOKUP($C331,Rotation!$A$2:$J$10,2,FALSE)</f>
        <v>1</v>
      </c>
      <c r="L331" s="14">
        <f>VLOOKUP($C331,Rotation!$A$2:$J$10,3,FALSE)</f>
        <v>1</v>
      </c>
      <c r="M331" s="14">
        <f>VLOOKUP($C331,Rotation!$A$2:$J$10,4,FALSE)</f>
        <v>1</v>
      </c>
      <c r="N331" s="14">
        <f>VLOOKUP($C331,Rotation!$A$2:$J$10,5,FALSE)</f>
        <v>0</v>
      </c>
      <c r="O331" s="14">
        <f>VLOOKUP($C331,Rotation!$A$2:$J$10,6,FALSE)</f>
        <v>0</v>
      </c>
      <c r="P331" s="14">
        <f>VLOOKUP($C331,Rotation!$A$2:$J$10,7,FALSE)</f>
        <v>0</v>
      </c>
      <c r="Q331" s="14">
        <f>VLOOKUP($C331,Rotation!$A$2:$J$10,8,FALSE)</f>
        <v>0</v>
      </c>
      <c r="R331" s="14">
        <f>VLOOKUP($C331,Rotation!$A$2:$J$10,9,FALSE)</f>
        <v>0</v>
      </c>
      <c r="S331" s="14">
        <f>VLOOKUP($C331,Rotation!$A$2:$J$10,10,FALSE)</f>
        <v>0</v>
      </c>
    </row>
    <row r="332" spans="1:19" ht="18">
      <c r="A332" s="14">
        <v>330</v>
      </c>
      <c r="B332" s="14" t="s">
        <v>99</v>
      </c>
      <c r="C332" s="14" t="str">
        <f>VLOOKUP(B332,Family!B:C,2,FALSE)</f>
        <v>N</v>
      </c>
      <c r="D332" s="15">
        <v>238</v>
      </c>
      <c r="E332" s="14">
        <f>ROUND(VLOOKUP(C332,'Production Plan'!A:B,2,FALSE),2)</f>
        <v>334.18</v>
      </c>
      <c r="F332" s="16">
        <v>45755</v>
      </c>
      <c r="G332" s="17">
        <f>F332+6*7</f>
        <v>45797</v>
      </c>
      <c r="H332" s="14">
        <f>G332-F332</f>
        <v>42</v>
      </c>
      <c r="I332" s="14">
        <f>ROUND(D332/E332,3)</f>
        <v>0.71199999999999997</v>
      </c>
      <c r="J332" s="14">
        <f>I332*24</f>
        <v>17.088000000000001</v>
      </c>
      <c r="K332" s="14">
        <f>VLOOKUP($C332,Rotation!$A$2:$J$10,2,FALSE)</f>
        <v>1</v>
      </c>
      <c r="L332" s="14">
        <f>VLOOKUP($C332,Rotation!$A$2:$J$10,3,FALSE)</f>
        <v>0</v>
      </c>
      <c r="M332" s="14">
        <f>VLOOKUP($C332,Rotation!$A$2:$J$10,4,FALSE)</f>
        <v>0</v>
      </c>
      <c r="N332" s="14">
        <f>VLOOKUP($C332,Rotation!$A$2:$J$10,5,FALSE)</f>
        <v>0</v>
      </c>
      <c r="O332" s="14">
        <f>VLOOKUP($C332,Rotation!$A$2:$J$10,6,FALSE)</f>
        <v>0</v>
      </c>
      <c r="P332" s="14">
        <f>VLOOKUP($C332,Rotation!$A$2:$J$10,7,FALSE)</f>
        <v>0</v>
      </c>
      <c r="Q332" s="14">
        <f>VLOOKUP($C332,Rotation!$A$2:$J$10,8,FALSE)</f>
        <v>1</v>
      </c>
      <c r="R332" s="14">
        <f>VLOOKUP($C332,Rotation!$A$2:$J$10,9,FALSE)</f>
        <v>0</v>
      </c>
      <c r="S332" s="14">
        <f>VLOOKUP($C332,Rotation!$A$2:$J$10,10,FALSE)</f>
        <v>0</v>
      </c>
    </row>
    <row r="333" spans="1:19" ht="18">
      <c r="A333" s="14">
        <v>331</v>
      </c>
      <c r="B333" s="14" t="s">
        <v>108</v>
      </c>
      <c r="C333" s="14" t="str">
        <f>VLOOKUP(B333,Family!B:C,2,FALSE)</f>
        <v>P</v>
      </c>
      <c r="D333" s="15">
        <v>108</v>
      </c>
      <c r="E333" s="14">
        <f>ROUND(VLOOKUP(C333,'Production Plan'!A:B,2,FALSE),2)</f>
        <v>409.15</v>
      </c>
      <c r="F333" s="16">
        <v>45709</v>
      </c>
      <c r="G333" s="17">
        <f>F333+6*7</f>
        <v>45751</v>
      </c>
      <c r="H333" s="14">
        <f>G333-F333</f>
        <v>42</v>
      </c>
      <c r="I333" s="14">
        <f>ROUND(D333/E333,3)</f>
        <v>0.26400000000000001</v>
      </c>
      <c r="J333" s="14">
        <f>I333*24</f>
        <v>6.3360000000000003</v>
      </c>
      <c r="K333" s="14">
        <f>VLOOKUP($C333,Rotation!$A$2:$J$10,2,FALSE)</f>
        <v>1</v>
      </c>
      <c r="L333" s="14">
        <f>VLOOKUP($C333,Rotation!$A$2:$J$10,3,FALSE)</f>
        <v>1</v>
      </c>
      <c r="M333" s="14">
        <f>VLOOKUP($C333,Rotation!$A$2:$J$10,4,FALSE)</f>
        <v>0</v>
      </c>
      <c r="N333" s="14">
        <f>VLOOKUP($C333,Rotation!$A$2:$J$10,5,FALSE)</f>
        <v>0</v>
      </c>
      <c r="O333" s="14">
        <f>VLOOKUP($C333,Rotation!$A$2:$J$10,6,FALSE)</f>
        <v>0</v>
      </c>
      <c r="P333" s="14">
        <f>VLOOKUP($C333,Rotation!$A$2:$J$10,7,FALSE)</f>
        <v>0</v>
      </c>
      <c r="Q333" s="14">
        <f>VLOOKUP($C333,Rotation!$A$2:$J$10,8,FALSE)</f>
        <v>0</v>
      </c>
      <c r="R333" s="14">
        <f>VLOOKUP($C333,Rotation!$A$2:$J$10,9,FALSE)</f>
        <v>0</v>
      </c>
      <c r="S333" s="14">
        <f>VLOOKUP($C333,Rotation!$A$2:$J$10,10,FALSE)</f>
        <v>0</v>
      </c>
    </row>
    <row r="334" spans="1:19" ht="18">
      <c r="A334" s="14">
        <v>332</v>
      </c>
      <c r="B334" s="14" t="s">
        <v>66</v>
      </c>
      <c r="C334" s="14" t="str">
        <f>VLOOKUP(B334,Family!B:C,2,FALSE)</f>
        <v>A</v>
      </c>
      <c r="D334" s="15">
        <v>108</v>
      </c>
      <c r="E334" s="14">
        <f>ROUND(VLOOKUP(C334,'Production Plan'!A:B,2,FALSE),2)</f>
        <v>407.17</v>
      </c>
      <c r="F334" s="16">
        <v>45748</v>
      </c>
      <c r="G334" s="17">
        <f>F334+6*7</f>
        <v>45790</v>
      </c>
      <c r="H334" s="14">
        <f>G334-F334</f>
        <v>42</v>
      </c>
      <c r="I334" s="14">
        <f>ROUND(D334/E334,3)</f>
        <v>0.26500000000000001</v>
      </c>
      <c r="J334" s="14">
        <f>I334*24</f>
        <v>6.36</v>
      </c>
      <c r="K334" s="14">
        <f>VLOOKUP($C334,Rotation!$A$2:$J$10,2,FALSE)</f>
        <v>1</v>
      </c>
      <c r="L334" s="14">
        <f>VLOOKUP($C334,Rotation!$A$2:$J$10,3,FALSE)</f>
        <v>1</v>
      </c>
      <c r="M334" s="14">
        <f>VLOOKUP($C334,Rotation!$A$2:$J$10,4,FALSE)</f>
        <v>1</v>
      </c>
      <c r="N334" s="14">
        <f>VLOOKUP($C334,Rotation!$A$2:$J$10,5,FALSE)</f>
        <v>0</v>
      </c>
      <c r="O334" s="14">
        <f>VLOOKUP($C334,Rotation!$A$2:$J$10,6,FALSE)</f>
        <v>0</v>
      </c>
      <c r="P334" s="14">
        <f>VLOOKUP($C334,Rotation!$A$2:$J$10,7,FALSE)</f>
        <v>0</v>
      </c>
      <c r="Q334" s="14">
        <f>VLOOKUP($C334,Rotation!$A$2:$J$10,8,FALSE)</f>
        <v>0</v>
      </c>
      <c r="R334" s="14">
        <f>VLOOKUP($C334,Rotation!$A$2:$J$10,9,FALSE)</f>
        <v>0</v>
      </c>
      <c r="S334" s="14">
        <f>VLOOKUP($C334,Rotation!$A$2:$J$10,10,FALSE)</f>
        <v>0</v>
      </c>
    </row>
    <row r="335" spans="1:19" ht="18">
      <c r="A335" s="14">
        <v>333</v>
      </c>
      <c r="B335" s="14" t="s">
        <v>66</v>
      </c>
      <c r="C335" s="14" t="str">
        <f>VLOOKUP(B335,Family!B:C,2,FALSE)</f>
        <v>A</v>
      </c>
      <c r="D335" s="15">
        <v>108</v>
      </c>
      <c r="E335" s="14">
        <f>ROUND(VLOOKUP(C335,'Production Plan'!A:B,2,FALSE),2)</f>
        <v>407.17</v>
      </c>
      <c r="F335" s="16">
        <v>45748</v>
      </c>
      <c r="G335" s="17">
        <f>F335+6*7</f>
        <v>45790</v>
      </c>
      <c r="H335" s="14">
        <f>G335-F335</f>
        <v>42</v>
      </c>
      <c r="I335" s="14">
        <f>ROUND(D335/E335,3)</f>
        <v>0.26500000000000001</v>
      </c>
      <c r="J335" s="14">
        <f>I335*24</f>
        <v>6.36</v>
      </c>
      <c r="K335" s="14">
        <f>VLOOKUP($C335,Rotation!$A$2:$J$10,2,FALSE)</f>
        <v>1</v>
      </c>
      <c r="L335" s="14">
        <f>VLOOKUP($C335,Rotation!$A$2:$J$10,3,FALSE)</f>
        <v>1</v>
      </c>
      <c r="M335" s="14">
        <f>VLOOKUP($C335,Rotation!$A$2:$J$10,4,FALSE)</f>
        <v>1</v>
      </c>
      <c r="N335" s="14">
        <f>VLOOKUP($C335,Rotation!$A$2:$J$10,5,FALSE)</f>
        <v>0</v>
      </c>
      <c r="O335" s="14">
        <f>VLOOKUP($C335,Rotation!$A$2:$J$10,6,FALSE)</f>
        <v>0</v>
      </c>
      <c r="P335" s="14">
        <f>VLOOKUP($C335,Rotation!$A$2:$J$10,7,FALSE)</f>
        <v>0</v>
      </c>
      <c r="Q335" s="14">
        <f>VLOOKUP($C335,Rotation!$A$2:$J$10,8,FALSE)</f>
        <v>0</v>
      </c>
      <c r="R335" s="14">
        <f>VLOOKUP($C335,Rotation!$A$2:$J$10,9,FALSE)</f>
        <v>0</v>
      </c>
      <c r="S335" s="14">
        <f>VLOOKUP($C335,Rotation!$A$2:$J$10,10,FALSE)</f>
        <v>0</v>
      </c>
    </row>
    <row r="336" spans="1:19" ht="18">
      <c r="A336" s="14">
        <v>334</v>
      </c>
      <c r="B336" s="14" t="s">
        <v>108</v>
      </c>
      <c r="C336" s="14" t="str">
        <f>VLOOKUP(B336,Family!B:C,2,FALSE)</f>
        <v>P</v>
      </c>
      <c r="D336" s="15">
        <v>108</v>
      </c>
      <c r="E336" s="14">
        <f>ROUND(VLOOKUP(C336,'Production Plan'!A:B,2,FALSE),2)</f>
        <v>409.15</v>
      </c>
      <c r="F336" s="16">
        <v>45709</v>
      </c>
      <c r="G336" s="17">
        <f>F336+6*7</f>
        <v>45751</v>
      </c>
      <c r="H336" s="14">
        <f>G336-F336</f>
        <v>42</v>
      </c>
      <c r="I336" s="14">
        <f>ROUND(D336/E336,3)</f>
        <v>0.26400000000000001</v>
      </c>
      <c r="J336" s="14">
        <f>I336*24</f>
        <v>6.3360000000000003</v>
      </c>
      <c r="K336" s="14">
        <f>VLOOKUP($C336,Rotation!$A$2:$J$10,2,FALSE)</f>
        <v>1</v>
      </c>
      <c r="L336" s="14">
        <f>VLOOKUP($C336,Rotation!$A$2:$J$10,3,FALSE)</f>
        <v>1</v>
      </c>
      <c r="M336" s="14">
        <f>VLOOKUP($C336,Rotation!$A$2:$J$10,4,FALSE)</f>
        <v>0</v>
      </c>
      <c r="N336" s="14">
        <f>VLOOKUP($C336,Rotation!$A$2:$J$10,5,FALSE)</f>
        <v>0</v>
      </c>
      <c r="O336" s="14">
        <f>VLOOKUP($C336,Rotation!$A$2:$J$10,6,FALSE)</f>
        <v>0</v>
      </c>
      <c r="P336" s="14">
        <f>VLOOKUP($C336,Rotation!$A$2:$J$10,7,FALSE)</f>
        <v>0</v>
      </c>
      <c r="Q336" s="14">
        <f>VLOOKUP($C336,Rotation!$A$2:$J$10,8,FALSE)</f>
        <v>0</v>
      </c>
      <c r="R336" s="14">
        <f>VLOOKUP($C336,Rotation!$A$2:$J$10,9,FALSE)</f>
        <v>0</v>
      </c>
      <c r="S336" s="14">
        <f>VLOOKUP($C336,Rotation!$A$2:$J$10,10,FALSE)</f>
        <v>0</v>
      </c>
    </row>
    <row r="337" spans="1:19" ht="18">
      <c r="A337" s="14">
        <v>335</v>
      </c>
      <c r="B337" s="14" t="s">
        <v>108</v>
      </c>
      <c r="C337" s="14" t="str">
        <f>VLOOKUP(B337,Family!B:C,2,FALSE)</f>
        <v>P</v>
      </c>
      <c r="D337" s="15">
        <v>108</v>
      </c>
      <c r="E337" s="14">
        <f>ROUND(VLOOKUP(C337,'Production Plan'!A:B,2,FALSE),2)</f>
        <v>409.15</v>
      </c>
      <c r="F337" s="16">
        <v>45709</v>
      </c>
      <c r="G337" s="17">
        <f>F337+6*7</f>
        <v>45751</v>
      </c>
      <c r="H337" s="14">
        <f>G337-F337</f>
        <v>42</v>
      </c>
      <c r="I337" s="14">
        <f>ROUND(D337/E337,3)</f>
        <v>0.26400000000000001</v>
      </c>
      <c r="J337" s="14">
        <f>I337*24</f>
        <v>6.3360000000000003</v>
      </c>
      <c r="K337" s="14">
        <f>VLOOKUP($C337,Rotation!$A$2:$J$10,2,FALSE)</f>
        <v>1</v>
      </c>
      <c r="L337" s="14">
        <f>VLOOKUP($C337,Rotation!$A$2:$J$10,3,FALSE)</f>
        <v>1</v>
      </c>
      <c r="M337" s="14">
        <f>VLOOKUP($C337,Rotation!$A$2:$J$10,4,FALSE)</f>
        <v>0</v>
      </c>
      <c r="N337" s="14">
        <f>VLOOKUP($C337,Rotation!$A$2:$J$10,5,FALSE)</f>
        <v>0</v>
      </c>
      <c r="O337" s="14">
        <f>VLOOKUP($C337,Rotation!$A$2:$J$10,6,FALSE)</f>
        <v>0</v>
      </c>
      <c r="P337" s="14">
        <f>VLOOKUP($C337,Rotation!$A$2:$J$10,7,FALSE)</f>
        <v>0</v>
      </c>
      <c r="Q337" s="14">
        <f>VLOOKUP($C337,Rotation!$A$2:$J$10,8,FALSE)</f>
        <v>0</v>
      </c>
      <c r="R337" s="14">
        <f>VLOOKUP($C337,Rotation!$A$2:$J$10,9,FALSE)</f>
        <v>0</v>
      </c>
      <c r="S337" s="14">
        <f>VLOOKUP($C337,Rotation!$A$2:$J$10,10,FALSE)</f>
        <v>0</v>
      </c>
    </row>
    <row r="338" spans="1:19" ht="18">
      <c r="A338" s="14">
        <v>336</v>
      </c>
      <c r="B338" s="14" t="s">
        <v>65</v>
      </c>
      <c r="C338" s="14" t="str">
        <f>VLOOKUP(B338,Family!B:C,2,FALSE)</f>
        <v>A</v>
      </c>
      <c r="D338" s="15">
        <v>38</v>
      </c>
      <c r="E338" s="14">
        <f>ROUND(VLOOKUP(C338,'Production Plan'!A:B,2,FALSE),2)</f>
        <v>407.17</v>
      </c>
      <c r="F338" s="16">
        <v>45728</v>
      </c>
      <c r="G338" s="17">
        <f>F338+6*7</f>
        <v>45770</v>
      </c>
      <c r="H338" s="14">
        <f>G338-F338</f>
        <v>42</v>
      </c>
      <c r="I338" s="14">
        <f>ROUND(D338/E338,3)</f>
        <v>9.2999999999999999E-2</v>
      </c>
      <c r="J338" s="14">
        <f>I338*24</f>
        <v>2.2320000000000002</v>
      </c>
      <c r="K338" s="14">
        <f>VLOOKUP($C338,Rotation!$A$2:$J$10,2,FALSE)</f>
        <v>1</v>
      </c>
      <c r="L338" s="14">
        <f>VLOOKUP($C338,Rotation!$A$2:$J$10,3,FALSE)</f>
        <v>1</v>
      </c>
      <c r="M338" s="14">
        <f>VLOOKUP($C338,Rotation!$A$2:$J$10,4,FALSE)</f>
        <v>1</v>
      </c>
      <c r="N338" s="14">
        <f>VLOOKUP($C338,Rotation!$A$2:$J$10,5,FALSE)</f>
        <v>0</v>
      </c>
      <c r="O338" s="14">
        <f>VLOOKUP($C338,Rotation!$A$2:$J$10,6,FALSE)</f>
        <v>0</v>
      </c>
      <c r="P338" s="14">
        <f>VLOOKUP($C338,Rotation!$A$2:$J$10,7,FALSE)</f>
        <v>0</v>
      </c>
      <c r="Q338" s="14">
        <f>VLOOKUP($C338,Rotation!$A$2:$J$10,8,FALSE)</f>
        <v>0</v>
      </c>
      <c r="R338" s="14">
        <f>VLOOKUP($C338,Rotation!$A$2:$J$10,9,FALSE)</f>
        <v>0</v>
      </c>
      <c r="S338" s="14">
        <f>VLOOKUP($C338,Rotation!$A$2:$J$10,10,FALSE)</f>
        <v>0</v>
      </c>
    </row>
    <row r="339" spans="1:19" ht="18">
      <c r="A339" s="14">
        <v>337</v>
      </c>
      <c r="B339" s="14" t="s">
        <v>64</v>
      </c>
      <c r="C339" s="14" t="str">
        <f>VLOOKUP(B339,Family!B:C,2,FALSE)</f>
        <v>A</v>
      </c>
      <c r="D339" s="15">
        <v>74</v>
      </c>
      <c r="E339" s="14">
        <f>ROUND(VLOOKUP(C339,'Production Plan'!A:B,2,FALSE),2)</f>
        <v>407.17</v>
      </c>
      <c r="F339" s="16">
        <v>45763</v>
      </c>
      <c r="G339" s="17">
        <f>F339+6*7</f>
        <v>45805</v>
      </c>
      <c r="H339" s="14">
        <f>G339-F339</f>
        <v>42</v>
      </c>
      <c r="I339" s="14">
        <f>ROUND(D339/E339,3)</f>
        <v>0.182</v>
      </c>
      <c r="J339" s="14">
        <f>I339*24</f>
        <v>4.3680000000000003</v>
      </c>
      <c r="K339" s="14">
        <f>VLOOKUP($C339,Rotation!$A$2:$J$10,2,FALSE)</f>
        <v>1</v>
      </c>
      <c r="L339" s="14">
        <f>VLOOKUP($C339,Rotation!$A$2:$J$10,3,FALSE)</f>
        <v>1</v>
      </c>
      <c r="M339" s="14">
        <f>VLOOKUP($C339,Rotation!$A$2:$J$10,4,FALSE)</f>
        <v>1</v>
      </c>
      <c r="N339" s="14">
        <f>VLOOKUP($C339,Rotation!$A$2:$J$10,5,FALSE)</f>
        <v>0</v>
      </c>
      <c r="O339" s="14">
        <f>VLOOKUP($C339,Rotation!$A$2:$J$10,6,FALSE)</f>
        <v>0</v>
      </c>
      <c r="P339" s="14">
        <f>VLOOKUP($C339,Rotation!$A$2:$J$10,7,FALSE)</f>
        <v>0</v>
      </c>
      <c r="Q339" s="14">
        <f>VLOOKUP($C339,Rotation!$A$2:$J$10,8,FALSE)</f>
        <v>0</v>
      </c>
      <c r="R339" s="14">
        <f>VLOOKUP($C339,Rotation!$A$2:$J$10,9,FALSE)</f>
        <v>0</v>
      </c>
      <c r="S339" s="14">
        <f>VLOOKUP($C339,Rotation!$A$2:$J$10,10,FALSE)</f>
        <v>0</v>
      </c>
    </row>
    <row r="340" spans="1:19" ht="18">
      <c r="A340" s="14">
        <v>338</v>
      </c>
      <c r="B340" s="14" t="s">
        <v>77</v>
      </c>
      <c r="C340" s="14" t="str">
        <f>VLOOKUP(B340,Family!B:C,2,FALSE)</f>
        <v>E</v>
      </c>
      <c r="D340" s="15">
        <v>18</v>
      </c>
      <c r="E340" s="14">
        <f>ROUND(VLOOKUP(C340,'Production Plan'!A:B,2,FALSE),2)</f>
        <v>333.66</v>
      </c>
      <c r="F340" s="16">
        <v>45671</v>
      </c>
      <c r="G340" s="17">
        <f>F340+6*7</f>
        <v>45713</v>
      </c>
      <c r="H340" s="14">
        <f>G340-F340</f>
        <v>42</v>
      </c>
      <c r="I340" s="14">
        <f>ROUND(D340/E340,3)</f>
        <v>5.3999999999999999E-2</v>
      </c>
      <c r="J340" s="14">
        <f>I340*24</f>
        <v>1.296</v>
      </c>
      <c r="K340" s="14">
        <f>VLOOKUP($C340,Rotation!$A$2:$J$10,2,FALSE)</f>
        <v>1</v>
      </c>
      <c r="L340" s="14">
        <f>VLOOKUP($C340,Rotation!$A$2:$J$10,3,FALSE)</f>
        <v>0</v>
      </c>
      <c r="M340" s="14">
        <f>VLOOKUP($C340,Rotation!$A$2:$J$10,4,FALSE)</f>
        <v>0</v>
      </c>
      <c r="N340" s="14">
        <f>VLOOKUP($C340,Rotation!$A$2:$J$10,5,FALSE)</f>
        <v>0</v>
      </c>
      <c r="O340" s="14">
        <f>VLOOKUP($C340,Rotation!$A$2:$J$10,6,FALSE)</f>
        <v>0</v>
      </c>
      <c r="P340" s="14">
        <f>VLOOKUP($C340,Rotation!$A$2:$J$10,7,FALSE)</f>
        <v>1</v>
      </c>
      <c r="Q340" s="14">
        <f>VLOOKUP($C340,Rotation!$A$2:$J$10,8,FALSE)</f>
        <v>0</v>
      </c>
      <c r="R340" s="14">
        <f>VLOOKUP($C340,Rotation!$A$2:$J$10,9,FALSE)</f>
        <v>0</v>
      </c>
      <c r="S340" s="14">
        <f>VLOOKUP($C340,Rotation!$A$2:$J$10,10,FALSE)</f>
        <v>0</v>
      </c>
    </row>
    <row r="341" spans="1:19" ht="18">
      <c r="A341" s="14">
        <v>339</v>
      </c>
      <c r="B341" s="14" t="s">
        <v>106</v>
      </c>
      <c r="C341" s="14" t="str">
        <f>VLOOKUP(B341,Family!B:C,2,FALSE)</f>
        <v>P</v>
      </c>
      <c r="D341" s="15">
        <v>19</v>
      </c>
      <c r="E341" s="14">
        <f>ROUND(VLOOKUP(C341,'Production Plan'!A:B,2,FALSE),2)</f>
        <v>409.15</v>
      </c>
      <c r="F341" s="16">
        <v>45702</v>
      </c>
      <c r="G341" s="17">
        <f>F341+6*7</f>
        <v>45744</v>
      </c>
      <c r="H341" s="14">
        <f>G341-F341</f>
        <v>42</v>
      </c>
      <c r="I341" s="14">
        <f>ROUND(D341/E341,3)</f>
        <v>4.5999999999999999E-2</v>
      </c>
      <c r="J341" s="14">
        <f>I341*24</f>
        <v>1.1040000000000001</v>
      </c>
      <c r="K341" s="14">
        <f>VLOOKUP($C341,Rotation!$A$2:$J$10,2,FALSE)</f>
        <v>1</v>
      </c>
      <c r="L341" s="14">
        <f>VLOOKUP($C341,Rotation!$A$2:$J$10,3,FALSE)</f>
        <v>1</v>
      </c>
      <c r="M341" s="14">
        <f>VLOOKUP($C341,Rotation!$A$2:$J$10,4,FALSE)</f>
        <v>0</v>
      </c>
      <c r="N341" s="14">
        <f>VLOOKUP($C341,Rotation!$A$2:$J$10,5,FALSE)</f>
        <v>0</v>
      </c>
      <c r="O341" s="14">
        <f>VLOOKUP($C341,Rotation!$A$2:$J$10,6,FALSE)</f>
        <v>0</v>
      </c>
      <c r="P341" s="14">
        <f>VLOOKUP($C341,Rotation!$A$2:$J$10,7,FALSE)</f>
        <v>0</v>
      </c>
      <c r="Q341" s="14">
        <f>VLOOKUP($C341,Rotation!$A$2:$J$10,8,FALSE)</f>
        <v>0</v>
      </c>
      <c r="R341" s="14">
        <f>VLOOKUP($C341,Rotation!$A$2:$J$10,9,FALSE)</f>
        <v>0</v>
      </c>
      <c r="S341" s="14">
        <f>VLOOKUP($C341,Rotation!$A$2:$J$10,10,FALSE)</f>
        <v>0</v>
      </c>
    </row>
    <row r="342" spans="1:19" ht="18">
      <c r="A342" s="14">
        <v>340</v>
      </c>
      <c r="B342" s="14" t="s">
        <v>67</v>
      </c>
      <c r="C342" s="14" t="str">
        <f>VLOOKUP(B342,Family!B:C,2,FALSE)</f>
        <v>A</v>
      </c>
      <c r="D342" s="15">
        <v>78</v>
      </c>
      <c r="E342" s="14">
        <f>ROUND(VLOOKUP(C342,'Production Plan'!A:B,2,FALSE),2)</f>
        <v>407.17</v>
      </c>
      <c r="F342" s="16">
        <v>45757</v>
      </c>
      <c r="G342" s="17">
        <f>F342+6*7</f>
        <v>45799</v>
      </c>
      <c r="H342" s="14">
        <f>G342-F342</f>
        <v>42</v>
      </c>
      <c r="I342" s="14">
        <f>ROUND(D342/E342,3)</f>
        <v>0.192</v>
      </c>
      <c r="J342" s="14">
        <f>I342*24</f>
        <v>4.6080000000000005</v>
      </c>
      <c r="K342" s="14">
        <f>VLOOKUP($C342,Rotation!$A$2:$J$10,2,FALSE)</f>
        <v>1</v>
      </c>
      <c r="L342" s="14">
        <f>VLOOKUP($C342,Rotation!$A$2:$J$10,3,FALSE)</f>
        <v>1</v>
      </c>
      <c r="M342" s="14">
        <f>VLOOKUP($C342,Rotation!$A$2:$J$10,4,FALSE)</f>
        <v>1</v>
      </c>
      <c r="N342" s="14">
        <f>VLOOKUP($C342,Rotation!$A$2:$J$10,5,FALSE)</f>
        <v>0</v>
      </c>
      <c r="O342" s="14">
        <f>VLOOKUP($C342,Rotation!$A$2:$J$10,6,FALSE)</f>
        <v>0</v>
      </c>
      <c r="P342" s="14">
        <f>VLOOKUP($C342,Rotation!$A$2:$J$10,7,FALSE)</f>
        <v>0</v>
      </c>
      <c r="Q342" s="14">
        <f>VLOOKUP($C342,Rotation!$A$2:$J$10,8,FALSE)</f>
        <v>0</v>
      </c>
      <c r="R342" s="14">
        <f>VLOOKUP($C342,Rotation!$A$2:$J$10,9,FALSE)</f>
        <v>0</v>
      </c>
      <c r="S342" s="14">
        <f>VLOOKUP($C342,Rotation!$A$2:$J$10,10,FALSE)</f>
        <v>0</v>
      </c>
    </row>
    <row r="343" spans="1:19" ht="18">
      <c r="A343" s="14">
        <v>341</v>
      </c>
      <c r="B343" s="14" t="s">
        <v>67</v>
      </c>
      <c r="C343" s="14" t="str">
        <f>VLOOKUP(B343,Family!B:C,2,FALSE)</f>
        <v>A</v>
      </c>
      <c r="D343" s="15">
        <v>39</v>
      </c>
      <c r="E343" s="14">
        <f>ROUND(VLOOKUP(C343,'Production Plan'!A:B,2,FALSE),2)</f>
        <v>407.17</v>
      </c>
      <c r="F343" s="16">
        <v>45757</v>
      </c>
      <c r="G343" s="17">
        <f>F343+6*7</f>
        <v>45799</v>
      </c>
      <c r="H343" s="14">
        <f>G343-F343</f>
        <v>42</v>
      </c>
      <c r="I343" s="14">
        <f>ROUND(D343/E343,3)</f>
        <v>9.6000000000000002E-2</v>
      </c>
      <c r="J343" s="14">
        <f>I343*24</f>
        <v>2.3040000000000003</v>
      </c>
      <c r="K343" s="14">
        <f>VLOOKUP($C343,Rotation!$A$2:$J$10,2,FALSE)</f>
        <v>1</v>
      </c>
      <c r="L343" s="14">
        <f>VLOOKUP($C343,Rotation!$A$2:$J$10,3,FALSE)</f>
        <v>1</v>
      </c>
      <c r="M343" s="14">
        <f>VLOOKUP($C343,Rotation!$A$2:$J$10,4,FALSE)</f>
        <v>1</v>
      </c>
      <c r="N343" s="14">
        <f>VLOOKUP($C343,Rotation!$A$2:$J$10,5,FALSE)</f>
        <v>0</v>
      </c>
      <c r="O343" s="14">
        <f>VLOOKUP($C343,Rotation!$A$2:$J$10,6,FALSE)</f>
        <v>0</v>
      </c>
      <c r="P343" s="14">
        <f>VLOOKUP($C343,Rotation!$A$2:$J$10,7,FALSE)</f>
        <v>0</v>
      </c>
      <c r="Q343" s="14">
        <f>VLOOKUP($C343,Rotation!$A$2:$J$10,8,FALSE)</f>
        <v>0</v>
      </c>
      <c r="R343" s="14">
        <f>VLOOKUP($C343,Rotation!$A$2:$J$10,9,FALSE)</f>
        <v>0</v>
      </c>
      <c r="S343" s="14">
        <f>VLOOKUP($C343,Rotation!$A$2:$J$10,10,FALSE)</f>
        <v>0</v>
      </c>
    </row>
    <row r="344" spans="1:19" ht="18">
      <c r="A344" s="14">
        <v>342</v>
      </c>
      <c r="B344" s="14" t="s">
        <v>70</v>
      </c>
      <c r="C344" s="14" t="str">
        <f>VLOOKUP(B344,Family!B:C,2,FALSE)</f>
        <v>A</v>
      </c>
      <c r="D344" s="15">
        <v>198</v>
      </c>
      <c r="E344" s="14">
        <f>ROUND(VLOOKUP(C344,'Production Plan'!A:B,2,FALSE),2)</f>
        <v>407.17</v>
      </c>
      <c r="F344" s="16">
        <v>45718</v>
      </c>
      <c r="G344" s="17">
        <f>F344+6*7</f>
        <v>45760</v>
      </c>
      <c r="H344" s="14">
        <f>G344-F344</f>
        <v>42</v>
      </c>
      <c r="I344" s="14">
        <f>ROUND(D344/E344,3)</f>
        <v>0.48599999999999999</v>
      </c>
      <c r="J344" s="14">
        <f>I344*24</f>
        <v>11.664</v>
      </c>
      <c r="K344" s="14">
        <f>VLOOKUP($C344,Rotation!$A$2:$J$10,2,FALSE)</f>
        <v>1</v>
      </c>
      <c r="L344" s="14">
        <f>VLOOKUP($C344,Rotation!$A$2:$J$10,3,FALSE)</f>
        <v>1</v>
      </c>
      <c r="M344" s="14">
        <f>VLOOKUP($C344,Rotation!$A$2:$J$10,4,FALSE)</f>
        <v>1</v>
      </c>
      <c r="N344" s="14">
        <f>VLOOKUP($C344,Rotation!$A$2:$J$10,5,FALSE)</f>
        <v>0</v>
      </c>
      <c r="O344" s="14">
        <f>VLOOKUP($C344,Rotation!$A$2:$J$10,6,FALSE)</f>
        <v>0</v>
      </c>
      <c r="P344" s="14">
        <f>VLOOKUP($C344,Rotation!$A$2:$J$10,7,FALSE)</f>
        <v>0</v>
      </c>
      <c r="Q344" s="14">
        <f>VLOOKUP($C344,Rotation!$A$2:$J$10,8,FALSE)</f>
        <v>0</v>
      </c>
      <c r="R344" s="14">
        <f>VLOOKUP($C344,Rotation!$A$2:$J$10,9,FALSE)</f>
        <v>0</v>
      </c>
      <c r="S344" s="14">
        <f>VLOOKUP($C344,Rotation!$A$2:$J$10,10,FALSE)</f>
        <v>0</v>
      </c>
    </row>
    <row r="345" spans="1:19" ht="18">
      <c r="A345" s="14">
        <v>343</v>
      </c>
      <c r="B345" s="14" t="s">
        <v>65</v>
      </c>
      <c r="C345" s="14" t="str">
        <f>VLOOKUP(B345,Family!B:C,2,FALSE)</f>
        <v>A</v>
      </c>
      <c r="D345" s="15">
        <v>19</v>
      </c>
      <c r="E345" s="14">
        <f>ROUND(VLOOKUP(C345,'Production Plan'!A:B,2,FALSE),2)</f>
        <v>407.17</v>
      </c>
      <c r="F345" s="16">
        <v>45728</v>
      </c>
      <c r="G345" s="17">
        <f>F345+6*7</f>
        <v>45770</v>
      </c>
      <c r="H345" s="14">
        <f>G345-F345</f>
        <v>42</v>
      </c>
      <c r="I345" s="14">
        <f>ROUND(D345/E345,3)</f>
        <v>4.7E-2</v>
      </c>
      <c r="J345" s="14">
        <f>I345*24</f>
        <v>1.1280000000000001</v>
      </c>
      <c r="K345" s="14">
        <f>VLOOKUP($C345,Rotation!$A$2:$J$10,2,FALSE)</f>
        <v>1</v>
      </c>
      <c r="L345" s="14">
        <f>VLOOKUP($C345,Rotation!$A$2:$J$10,3,FALSE)</f>
        <v>1</v>
      </c>
      <c r="M345" s="14">
        <f>VLOOKUP($C345,Rotation!$A$2:$J$10,4,FALSE)</f>
        <v>1</v>
      </c>
      <c r="N345" s="14">
        <f>VLOOKUP($C345,Rotation!$A$2:$J$10,5,FALSE)</f>
        <v>0</v>
      </c>
      <c r="O345" s="14">
        <f>VLOOKUP($C345,Rotation!$A$2:$J$10,6,FALSE)</f>
        <v>0</v>
      </c>
      <c r="P345" s="14">
        <f>VLOOKUP($C345,Rotation!$A$2:$J$10,7,FALSE)</f>
        <v>0</v>
      </c>
      <c r="Q345" s="14">
        <f>VLOOKUP($C345,Rotation!$A$2:$J$10,8,FALSE)</f>
        <v>0</v>
      </c>
      <c r="R345" s="14">
        <f>VLOOKUP($C345,Rotation!$A$2:$J$10,9,FALSE)</f>
        <v>0</v>
      </c>
      <c r="S345" s="14">
        <f>VLOOKUP($C345,Rotation!$A$2:$J$10,10,FALSE)</f>
        <v>0</v>
      </c>
    </row>
    <row r="346" spans="1:19" ht="18">
      <c r="A346" s="14">
        <v>344</v>
      </c>
      <c r="B346" s="14" t="s">
        <v>77</v>
      </c>
      <c r="C346" s="14" t="str">
        <f>VLOOKUP(B346,Family!B:C,2,FALSE)</f>
        <v>E</v>
      </c>
      <c r="D346" s="15">
        <v>18</v>
      </c>
      <c r="E346" s="14">
        <f>ROUND(VLOOKUP(C346,'Production Plan'!A:B,2,FALSE),2)</f>
        <v>333.66</v>
      </c>
      <c r="F346" s="16">
        <v>45665</v>
      </c>
      <c r="G346" s="17">
        <f>F346+6*7</f>
        <v>45707</v>
      </c>
      <c r="H346" s="14">
        <f>G346-F346</f>
        <v>42</v>
      </c>
      <c r="I346" s="14">
        <f>ROUND(D346/E346,3)</f>
        <v>5.3999999999999999E-2</v>
      </c>
      <c r="J346" s="14">
        <f>I346*24</f>
        <v>1.296</v>
      </c>
      <c r="K346" s="14">
        <f>VLOOKUP($C346,Rotation!$A$2:$J$10,2,FALSE)</f>
        <v>1</v>
      </c>
      <c r="L346" s="14">
        <f>VLOOKUP($C346,Rotation!$A$2:$J$10,3,FALSE)</f>
        <v>0</v>
      </c>
      <c r="M346" s="14">
        <f>VLOOKUP($C346,Rotation!$A$2:$J$10,4,FALSE)</f>
        <v>0</v>
      </c>
      <c r="N346" s="14">
        <f>VLOOKUP($C346,Rotation!$A$2:$J$10,5,FALSE)</f>
        <v>0</v>
      </c>
      <c r="O346" s="14">
        <f>VLOOKUP($C346,Rotation!$A$2:$J$10,6,FALSE)</f>
        <v>0</v>
      </c>
      <c r="P346" s="14">
        <f>VLOOKUP($C346,Rotation!$A$2:$J$10,7,FALSE)</f>
        <v>1</v>
      </c>
      <c r="Q346" s="14">
        <f>VLOOKUP($C346,Rotation!$A$2:$J$10,8,FALSE)</f>
        <v>0</v>
      </c>
      <c r="R346" s="14">
        <f>VLOOKUP($C346,Rotation!$A$2:$J$10,9,FALSE)</f>
        <v>0</v>
      </c>
      <c r="S346" s="14">
        <f>VLOOKUP($C346,Rotation!$A$2:$J$10,10,FALSE)</f>
        <v>0</v>
      </c>
    </row>
    <row r="347" spans="1:19" ht="18">
      <c r="A347" s="14">
        <v>345</v>
      </c>
      <c r="B347" s="14" t="s">
        <v>77</v>
      </c>
      <c r="C347" s="14" t="str">
        <f>VLOOKUP(B347,Family!B:C,2,FALSE)</f>
        <v>E</v>
      </c>
      <c r="D347" s="15">
        <v>18</v>
      </c>
      <c r="E347" s="14">
        <f>ROUND(VLOOKUP(C347,'Production Plan'!A:B,2,FALSE),2)</f>
        <v>333.66</v>
      </c>
      <c r="F347" s="16">
        <v>45671</v>
      </c>
      <c r="G347" s="17">
        <f>F347+6*7</f>
        <v>45713</v>
      </c>
      <c r="H347" s="14">
        <f>G347-F347</f>
        <v>42</v>
      </c>
      <c r="I347" s="14">
        <f>ROUND(D347/E347,3)</f>
        <v>5.3999999999999999E-2</v>
      </c>
      <c r="J347" s="14">
        <f>I347*24</f>
        <v>1.296</v>
      </c>
      <c r="K347" s="14">
        <f>VLOOKUP($C347,Rotation!$A$2:$J$10,2,FALSE)</f>
        <v>1</v>
      </c>
      <c r="L347" s="14">
        <f>VLOOKUP($C347,Rotation!$A$2:$J$10,3,FALSE)</f>
        <v>0</v>
      </c>
      <c r="M347" s="14">
        <f>VLOOKUP($C347,Rotation!$A$2:$J$10,4,FALSE)</f>
        <v>0</v>
      </c>
      <c r="N347" s="14">
        <f>VLOOKUP($C347,Rotation!$A$2:$J$10,5,FALSE)</f>
        <v>0</v>
      </c>
      <c r="O347" s="14">
        <f>VLOOKUP($C347,Rotation!$A$2:$J$10,6,FALSE)</f>
        <v>0</v>
      </c>
      <c r="P347" s="14">
        <f>VLOOKUP($C347,Rotation!$A$2:$J$10,7,FALSE)</f>
        <v>1</v>
      </c>
      <c r="Q347" s="14">
        <f>VLOOKUP($C347,Rotation!$A$2:$J$10,8,FALSE)</f>
        <v>0</v>
      </c>
      <c r="R347" s="14">
        <f>VLOOKUP($C347,Rotation!$A$2:$J$10,9,FALSE)</f>
        <v>0</v>
      </c>
      <c r="S347" s="14">
        <f>VLOOKUP($C347,Rotation!$A$2:$J$10,10,FALSE)</f>
        <v>0</v>
      </c>
    </row>
    <row r="348" spans="1:19" ht="18">
      <c r="A348" s="14">
        <v>346</v>
      </c>
      <c r="B348" s="14" t="s">
        <v>85</v>
      </c>
      <c r="C348" s="14" t="str">
        <f>VLOOKUP(B348,Family!B:C,2,FALSE)</f>
        <v>E</v>
      </c>
      <c r="D348" s="15">
        <v>19</v>
      </c>
      <c r="E348" s="14">
        <f>ROUND(VLOOKUP(C348,'Production Plan'!A:B,2,FALSE),2)</f>
        <v>333.66</v>
      </c>
      <c r="F348" s="16">
        <v>45674</v>
      </c>
      <c r="G348" s="17">
        <f>F348+6*7</f>
        <v>45716</v>
      </c>
      <c r="H348" s="14">
        <f>G348-F348</f>
        <v>42</v>
      </c>
      <c r="I348" s="14">
        <f>ROUND(D348/E348,3)</f>
        <v>5.7000000000000002E-2</v>
      </c>
      <c r="J348" s="14">
        <f>I348*24</f>
        <v>1.3680000000000001</v>
      </c>
      <c r="K348" s="14">
        <f>VLOOKUP($C348,Rotation!$A$2:$J$10,2,FALSE)</f>
        <v>1</v>
      </c>
      <c r="L348" s="14">
        <f>VLOOKUP($C348,Rotation!$A$2:$J$10,3,FALSE)</f>
        <v>0</v>
      </c>
      <c r="M348" s="14">
        <f>VLOOKUP($C348,Rotation!$A$2:$J$10,4,FALSE)</f>
        <v>0</v>
      </c>
      <c r="N348" s="14">
        <f>VLOOKUP($C348,Rotation!$A$2:$J$10,5,FALSE)</f>
        <v>0</v>
      </c>
      <c r="O348" s="14">
        <f>VLOOKUP($C348,Rotation!$A$2:$J$10,6,FALSE)</f>
        <v>0</v>
      </c>
      <c r="P348" s="14">
        <f>VLOOKUP($C348,Rotation!$A$2:$J$10,7,FALSE)</f>
        <v>1</v>
      </c>
      <c r="Q348" s="14">
        <f>VLOOKUP($C348,Rotation!$A$2:$J$10,8,FALSE)</f>
        <v>0</v>
      </c>
      <c r="R348" s="14">
        <f>VLOOKUP($C348,Rotation!$A$2:$J$10,9,FALSE)</f>
        <v>0</v>
      </c>
      <c r="S348" s="14">
        <f>VLOOKUP($C348,Rotation!$A$2:$J$10,10,FALSE)</f>
        <v>0</v>
      </c>
    </row>
    <row r="349" spans="1:19" ht="18">
      <c r="A349" s="14">
        <v>347</v>
      </c>
      <c r="B349" s="14" t="s">
        <v>85</v>
      </c>
      <c r="C349" s="14" t="str">
        <f>VLOOKUP(B349,Family!B:C,2,FALSE)</f>
        <v>E</v>
      </c>
      <c r="D349" s="15">
        <v>19</v>
      </c>
      <c r="E349" s="14">
        <f>ROUND(VLOOKUP(C349,'Production Plan'!A:B,2,FALSE),2)</f>
        <v>333.66</v>
      </c>
      <c r="F349" s="16">
        <v>45674</v>
      </c>
      <c r="G349" s="17">
        <f>F349+6*7</f>
        <v>45716</v>
      </c>
      <c r="H349" s="14">
        <f>G349-F349</f>
        <v>42</v>
      </c>
      <c r="I349" s="14">
        <f>ROUND(D349/E349,3)</f>
        <v>5.7000000000000002E-2</v>
      </c>
      <c r="J349" s="14">
        <f>I349*24</f>
        <v>1.3680000000000001</v>
      </c>
      <c r="K349" s="14">
        <f>VLOOKUP($C349,Rotation!$A$2:$J$10,2,FALSE)</f>
        <v>1</v>
      </c>
      <c r="L349" s="14">
        <f>VLOOKUP($C349,Rotation!$A$2:$J$10,3,FALSE)</f>
        <v>0</v>
      </c>
      <c r="M349" s="14">
        <f>VLOOKUP($C349,Rotation!$A$2:$J$10,4,FALSE)</f>
        <v>0</v>
      </c>
      <c r="N349" s="14">
        <f>VLOOKUP($C349,Rotation!$A$2:$J$10,5,FALSE)</f>
        <v>0</v>
      </c>
      <c r="O349" s="14">
        <f>VLOOKUP($C349,Rotation!$A$2:$J$10,6,FALSE)</f>
        <v>0</v>
      </c>
      <c r="P349" s="14">
        <f>VLOOKUP($C349,Rotation!$A$2:$J$10,7,FALSE)</f>
        <v>1</v>
      </c>
      <c r="Q349" s="14">
        <f>VLOOKUP($C349,Rotation!$A$2:$J$10,8,FALSE)</f>
        <v>0</v>
      </c>
      <c r="R349" s="14">
        <f>VLOOKUP($C349,Rotation!$A$2:$J$10,9,FALSE)</f>
        <v>0</v>
      </c>
      <c r="S349" s="14">
        <f>VLOOKUP($C349,Rotation!$A$2:$J$10,10,FALSE)</f>
        <v>0</v>
      </c>
    </row>
    <row r="350" spans="1:19" ht="18">
      <c r="A350" s="14">
        <v>348</v>
      </c>
      <c r="B350" s="14" t="s">
        <v>108</v>
      </c>
      <c r="C350" s="14" t="str">
        <f>VLOOKUP(B350,Family!B:C,2,FALSE)</f>
        <v>P</v>
      </c>
      <c r="D350" s="15">
        <v>108</v>
      </c>
      <c r="E350" s="14">
        <f>ROUND(VLOOKUP(C350,'Production Plan'!A:B,2,FALSE),2)</f>
        <v>409.15</v>
      </c>
      <c r="F350" s="16">
        <v>45709</v>
      </c>
      <c r="G350" s="17">
        <f>F350+6*7</f>
        <v>45751</v>
      </c>
      <c r="H350" s="14">
        <f>G350-F350</f>
        <v>42</v>
      </c>
      <c r="I350" s="14">
        <f>ROUND(D350/E350,3)</f>
        <v>0.26400000000000001</v>
      </c>
      <c r="J350" s="14">
        <f>I350*24</f>
        <v>6.3360000000000003</v>
      </c>
      <c r="K350" s="14">
        <f>VLOOKUP($C350,Rotation!$A$2:$J$10,2,FALSE)</f>
        <v>1</v>
      </c>
      <c r="L350" s="14">
        <f>VLOOKUP($C350,Rotation!$A$2:$J$10,3,FALSE)</f>
        <v>1</v>
      </c>
      <c r="M350" s="14">
        <f>VLOOKUP($C350,Rotation!$A$2:$J$10,4,FALSE)</f>
        <v>0</v>
      </c>
      <c r="N350" s="14">
        <f>VLOOKUP($C350,Rotation!$A$2:$J$10,5,FALSE)</f>
        <v>0</v>
      </c>
      <c r="O350" s="14">
        <f>VLOOKUP($C350,Rotation!$A$2:$J$10,6,FALSE)</f>
        <v>0</v>
      </c>
      <c r="P350" s="14">
        <f>VLOOKUP($C350,Rotation!$A$2:$J$10,7,FALSE)</f>
        <v>0</v>
      </c>
      <c r="Q350" s="14">
        <f>VLOOKUP($C350,Rotation!$A$2:$J$10,8,FALSE)</f>
        <v>0</v>
      </c>
      <c r="R350" s="14">
        <f>VLOOKUP($C350,Rotation!$A$2:$J$10,9,FALSE)</f>
        <v>0</v>
      </c>
      <c r="S350" s="14">
        <f>VLOOKUP($C350,Rotation!$A$2:$J$10,10,FALSE)</f>
        <v>0</v>
      </c>
    </row>
    <row r="351" spans="1:19" ht="18">
      <c r="A351" s="14">
        <v>349</v>
      </c>
      <c r="B351" s="14" t="s">
        <v>108</v>
      </c>
      <c r="C351" s="14" t="str">
        <f>VLOOKUP(B351,Family!B:C,2,FALSE)</f>
        <v>P</v>
      </c>
      <c r="D351" s="15">
        <v>108</v>
      </c>
      <c r="E351" s="14">
        <f>ROUND(VLOOKUP(C351,'Production Plan'!A:B,2,FALSE),2)</f>
        <v>409.15</v>
      </c>
      <c r="F351" s="16">
        <v>45709</v>
      </c>
      <c r="G351" s="17">
        <f>F351+6*7</f>
        <v>45751</v>
      </c>
      <c r="H351" s="14">
        <f>G351-F351</f>
        <v>42</v>
      </c>
      <c r="I351" s="14">
        <f>ROUND(D351/E351,3)</f>
        <v>0.26400000000000001</v>
      </c>
      <c r="J351" s="14">
        <f>I351*24</f>
        <v>6.3360000000000003</v>
      </c>
      <c r="K351" s="14">
        <f>VLOOKUP($C351,Rotation!$A$2:$J$10,2,FALSE)</f>
        <v>1</v>
      </c>
      <c r="L351" s="14">
        <f>VLOOKUP($C351,Rotation!$A$2:$J$10,3,FALSE)</f>
        <v>1</v>
      </c>
      <c r="M351" s="14">
        <f>VLOOKUP($C351,Rotation!$A$2:$J$10,4,FALSE)</f>
        <v>0</v>
      </c>
      <c r="N351" s="14">
        <f>VLOOKUP($C351,Rotation!$A$2:$J$10,5,FALSE)</f>
        <v>0</v>
      </c>
      <c r="O351" s="14">
        <f>VLOOKUP($C351,Rotation!$A$2:$J$10,6,FALSE)</f>
        <v>0</v>
      </c>
      <c r="P351" s="14">
        <f>VLOOKUP($C351,Rotation!$A$2:$J$10,7,FALSE)</f>
        <v>0</v>
      </c>
      <c r="Q351" s="14">
        <f>VLOOKUP($C351,Rotation!$A$2:$J$10,8,FALSE)</f>
        <v>0</v>
      </c>
      <c r="R351" s="14">
        <f>VLOOKUP($C351,Rotation!$A$2:$J$10,9,FALSE)</f>
        <v>0</v>
      </c>
      <c r="S351" s="14">
        <f>VLOOKUP($C351,Rotation!$A$2:$J$10,10,FALSE)</f>
        <v>0</v>
      </c>
    </row>
    <row r="352" spans="1:19" ht="18">
      <c r="A352" s="14">
        <v>350</v>
      </c>
      <c r="B352" s="14" t="s">
        <v>108</v>
      </c>
      <c r="C352" s="14" t="str">
        <f>VLOOKUP(B352,Family!B:C,2,FALSE)</f>
        <v>P</v>
      </c>
      <c r="D352" s="15">
        <v>108</v>
      </c>
      <c r="E352" s="14">
        <f>ROUND(VLOOKUP(C352,'Production Plan'!A:B,2,FALSE),2)</f>
        <v>409.15</v>
      </c>
      <c r="F352" s="16">
        <v>45709</v>
      </c>
      <c r="G352" s="17">
        <f>F352+6*7</f>
        <v>45751</v>
      </c>
      <c r="H352" s="14">
        <f>G352-F352</f>
        <v>42</v>
      </c>
      <c r="I352" s="14">
        <f>ROUND(D352/E352,3)</f>
        <v>0.26400000000000001</v>
      </c>
      <c r="J352" s="14">
        <f>I352*24</f>
        <v>6.3360000000000003</v>
      </c>
      <c r="K352" s="14">
        <f>VLOOKUP($C352,Rotation!$A$2:$J$10,2,FALSE)</f>
        <v>1</v>
      </c>
      <c r="L352" s="14">
        <f>VLOOKUP($C352,Rotation!$A$2:$J$10,3,FALSE)</f>
        <v>1</v>
      </c>
      <c r="M352" s="14">
        <f>VLOOKUP($C352,Rotation!$A$2:$J$10,4,FALSE)</f>
        <v>0</v>
      </c>
      <c r="N352" s="14">
        <f>VLOOKUP($C352,Rotation!$A$2:$J$10,5,FALSE)</f>
        <v>0</v>
      </c>
      <c r="O352" s="14">
        <f>VLOOKUP($C352,Rotation!$A$2:$J$10,6,FALSE)</f>
        <v>0</v>
      </c>
      <c r="P352" s="14">
        <f>VLOOKUP($C352,Rotation!$A$2:$J$10,7,FALSE)</f>
        <v>0</v>
      </c>
      <c r="Q352" s="14">
        <f>VLOOKUP($C352,Rotation!$A$2:$J$10,8,FALSE)</f>
        <v>0</v>
      </c>
      <c r="R352" s="14">
        <f>VLOOKUP($C352,Rotation!$A$2:$J$10,9,FALSE)</f>
        <v>0</v>
      </c>
      <c r="S352" s="14">
        <f>VLOOKUP($C352,Rotation!$A$2:$J$10,10,FALSE)</f>
        <v>0</v>
      </c>
    </row>
    <row r="353" spans="1:19" ht="18">
      <c r="A353" s="14">
        <v>351</v>
      </c>
      <c r="B353" s="14" t="s">
        <v>66</v>
      </c>
      <c r="C353" s="14" t="str">
        <f>VLOOKUP(B353,Family!B:C,2,FALSE)</f>
        <v>A</v>
      </c>
      <c r="D353" s="15">
        <v>108</v>
      </c>
      <c r="E353" s="14">
        <f>ROUND(VLOOKUP(C353,'Production Plan'!A:B,2,FALSE),2)</f>
        <v>407.17</v>
      </c>
      <c r="F353" s="16">
        <v>45709</v>
      </c>
      <c r="G353" s="17">
        <f>F353+6*7</f>
        <v>45751</v>
      </c>
      <c r="H353" s="14">
        <f>G353-F353</f>
        <v>42</v>
      </c>
      <c r="I353" s="14">
        <f>ROUND(D353/E353,3)</f>
        <v>0.26500000000000001</v>
      </c>
      <c r="J353" s="14">
        <f>I353*24</f>
        <v>6.36</v>
      </c>
      <c r="K353" s="14">
        <f>VLOOKUP($C353,Rotation!$A$2:$J$10,2,FALSE)</f>
        <v>1</v>
      </c>
      <c r="L353" s="14">
        <f>VLOOKUP($C353,Rotation!$A$2:$J$10,3,FALSE)</f>
        <v>1</v>
      </c>
      <c r="M353" s="14">
        <f>VLOOKUP($C353,Rotation!$A$2:$J$10,4,FALSE)</f>
        <v>1</v>
      </c>
      <c r="N353" s="14">
        <f>VLOOKUP($C353,Rotation!$A$2:$J$10,5,FALSE)</f>
        <v>0</v>
      </c>
      <c r="O353" s="14">
        <f>VLOOKUP($C353,Rotation!$A$2:$J$10,6,FALSE)</f>
        <v>0</v>
      </c>
      <c r="P353" s="14">
        <f>VLOOKUP($C353,Rotation!$A$2:$J$10,7,FALSE)</f>
        <v>0</v>
      </c>
      <c r="Q353" s="14">
        <f>VLOOKUP($C353,Rotation!$A$2:$J$10,8,FALSE)</f>
        <v>0</v>
      </c>
      <c r="R353" s="14">
        <f>VLOOKUP($C353,Rotation!$A$2:$J$10,9,FALSE)</f>
        <v>0</v>
      </c>
      <c r="S353" s="14">
        <f>VLOOKUP($C353,Rotation!$A$2:$J$10,10,FALSE)</f>
        <v>0</v>
      </c>
    </row>
    <row r="354" spans="1:19" ht="18">
      <c r="A354" s="14">
        <v>352</v>
      </c>
      <c r="B354" s="14" t="s">
        <v>66</v>
      </c>
      <c r="C354" s="14" t="str">
        <f>VLOOKUP(B354,Family!B:C,2,FALSE)</f>
        <v>A</v>
      </c>
      <c r="D354" s="15">
        <v>54</v>
      </c>
      <c r="E354" s="14">
        <f>ROUND(VLOOKUP(C354,'Production Plan'!A:B,2,FALSE),2)</f>
        <v>407.17</v>
      </c>
      <c r="F354" s="16">
        <v>45709</v>
      </c>
      <c r="G354" s="17">
        <f>F354+6*7</f>
        <v>45751</v>
      </c>
      <c r="H354" s="14">
        <f>G354-F354</f>
        <v>42</v>
      </c>
      <c r="I354" s="14">
        <f>ROUND(D354/E354,3)</f>
        <v>0.13300000000000001</v>
      </c>
      <c r="J354" s="14">
        <f>I354*24</f>
        <v>3.1920000000000002</v>
      </c>
      <c r="K354" s="14">
        <f>VLOOKUP($C354,Rotation!$A$2:$J$10,2,FALSE)</f>
        <v>1</v>
      </c>
      <c r="L354" s="14">
        <f>VLOOKUP($C354,Rotation!$A$2:$J$10,3,FALSE)</f>
        <v>1</v>
      </c>
      <c r="M354" s="14">
        <f>VLOOKUP($C354,Rotation!$A$2:$J$10,4,FALSE)</f>
        <v>1</v>
      </c>
      <c r="N354" s="14">
        <f>VLOOKUP($C354,Rotation!$A$2:$J$10,5,FALSE)</f>
        <v>0</v>
      </c>
      <c r="O354" s="14">
        <f>VLOOKUP($C354,Rotation!$A$2:$J$10,6,FALSE)</f>
        <v>0</v>
      </c>
      <c r="P354" s="14">
        <f>VLOOKUP($C354,Rotation!$A$2:$J$10,7,FALSE)</f>
        <v>0</v>
      </c>
      <c r="Q354" s="14">
        <f>VLOOKUP($C354,Rotation!$A$2:$J$10,8,FALSE)</f>
        <v>0</v>
      </c>
      <c r="R354" s="14">
        <f>VLOOKUP($C354,Rotation!$A$2:$J$10,9,FALSE)</f>
        <v>0</v>
      </c>
      <c r="S354" s="14">
        <f>VLOOKUP($C354,Rotation!$A$2:$J$10,10,FALSE)</f>
        <v>0</v>
      </c>
    </row>
    <row r="355" spans="1:19" ht="18">
      <c r="A355" s="14">
        <v>353</v>
      </c>
      <c r="B355" s="14" t="s">
        <v>85</v>
      </c>
      <c r="C355" s="14" t="str">
        <f>VLOOKUP(B355,Family!B:C,2,FALSE)</f>
        <v>E</v>
      </c>
      <c r="D355" s="15">
        <v>19</v>
      </c>
      <c r="E355" s="14">
        <f>ROUND(VLOOKUP(C355,'Production Plan'!A:B,2,FALSE),2)</f>
        <v>333.66</v>
      </c>
      <c r="F355" s="16">
        <v>45669</v>
      </c>
      <c r="G355" s="17">
        <f>F355+6*7</f>
        <v>45711</v>
      </c>
      <c r="H355" s="14">
        <f>G355-F355</f>
        <v>42</v>
      </c>
      <c r="I355" s="14">
        <f>ROUND(D355/E355,3)</f>
        <v>5.7000000000000002E-2</v>
      </c>
      <c r="J355" s="14">
        <f>I355*24</f>
        <v>1.3680000000000001</v>
      </c>
      <c r="K355" s="14">
        <f>VLOOKUP($C355,Rotation!$A$2:$J$10,2,FALSE)</f>
        <v>1</v>
      </c>
      <c r="L355" s="14">
        <f>VLOOKUP($C355,Rotation!$A$2:$J$10,3,FALSE)</f>
        <v>0</v>
      </c>
      <c r="M355" s="14">
        <f>VLOOKUP($C355,Rotation!$A$2:$J$10,4,FALSE)</f>
        <v>0</v>
      </c>
      <c r="N355" s="14">
        <f>VLOOKUP($C355,Rotation!$A$2:$J$10,5,FALSE)</f>
        <v>0</v>
      </c>
      <c r="O355" s="14">
        <f>VLOOKUP($C355,Rotation!$A$2:$J$10,6,FALSE)</f>
        <v>0</v>
      </c>
      <c r="P355" s="14">
        <f>VLOOKUP($C355,Rotation!$A$2:$J$10,7,FALSE)</f>
        <v>1</v>
      </c>
      <c r="Q355" s="14">
        <f>VLOOKUP($C355,Rotation!$A$2:$J$10,8,FALSE)</f>
        <v>0</v>
      </c>
      <c r="R355" s="14">
        <f>VLOOKUP($C355,Rotation!$A$2:$J$10,9,FALSE)</f>
        <v>0</v>
      </c>
      <c r="S355" s="14">
        <f>VLOOKUP($C355,Rotation!$A$2:$J$10,10,FALSE)</f>
        <v>0</v>
      </c>
    </row>
    <row r="356" spans="1:19" ht="18">
      <c r="A356" s="14">
        <v>354</v>
      </c>
      <c r="B356" s="14" t="s">
        <v>65</v>
      </c>
      <c r="C356" s="14" t="str">
        <f>VLOOKUP(B356,Family!B:C,2,FALSE)</f>
        <v>A</v>
      </c>
      <c r="D356" s="15">
        <v>38</v>
      </c>
      <c r="E356" s="14">
        <f>ROUND(VLOOKUP(C356,'Production Plan'!A:B,2,FALSE),2)</f>
        <v>407.17</v>
      </c>
      <c r="F356" s="16">
        <v>45728</v>
      </c>
      <c r="G356" s="17">
        <f>F356+6*7</f>
        <v>45770</v>
      </c>
      <c r="H356" s="14">
        <f>G356-F356</f>
        <v>42</v>
      </c>
      <c r="I356" s="14">
        <f>ROUND(D356/E356,3)</f>
        <v>9.2999999999999999E-2</v>
      </c>
      <c r="J356" s="14">
        <f>I356*24</f>
        <v>2.2320000000000002</v>
      </c>
      <c r="K356" s="14">
        <f>VLOOKUP($C356,Rotation!$A$2:$J$10,2,FALSE)</f>
        <v>1</v>
      </c>
      <c r="L356" s="14">
        <f>VLOOKUP($C356,Rotation!$A$2:$J$10,3,FALSE)</f>
        <v>1</v>
      </c>
      <c r="M356" s="14">
        <f>VLOOKUP($C356,Rotation!$A$2:$J$10,4,FALSE)</f>
        <v>1</v>
      </c>
      <c r="N356" s="14">
        <f>VLOOKUP($C356,Rotation!$A$2:$J$10,5,FALSE)</f>
        <v>0</v>
      </c>
      <c r="O356" s="14">
        <f>VLOOKUP($C356,Rotation!$A$2:$J$10,6,FALSE)</f>
        <v>0</v>
      </c>
      <c r="P356" s="14">
        <f>VLOOKUP($C356,Rotation!$A$2:$J$10,7,FALSE)</f>
        <v>0</v>
      </c>
      <c r="Q356" s="14">
        <f>VLOOKUP($C356,Rotation!$A$2:$J$10,8,FALSE)</f>
        <v>0</v>
      </c>
      <c r="R356" s="14">
        <f>VLOOKUP($C356,Rotation!$A$2:$J$10,9,FALSE)</f>
        <v>0</v>
      </c>
      <c r="S356" s="14">
        <f>VLOOKUP($C356,Rotation!$A$2:$J$10,10,FALSE)</f>
        <v>0</v>
      </c>
    </row>
    <row r="357" spans="1:19" ht="18">
      <c r="A357" s="14">
        <v>355</v>
      </c>
      <c r="B357" s="14" t="s">
        <v>66</v>
      </c>
      <c r="C357" s="14" t="str">
        <f>VLOOKUP(B357,Family!B:C,2,FALSE)</f>
        <v>A</v>
      </c>
      <c r="D357" s="15">
        <v>108</v>
      </c>
      <c r="E357" s="14">
        <f>ROUND(VLOOKUP(C357,'Production Plan'!A:B,2,FALSE),2)</f>
        <v>407.17</v>
      </c>
      <c r="F357" s="16">
        <v>45748</v>
      </c>
      <c r="G357" s="17">
        <f>F357+6*7</f>
        <v>45790</v>
      </c>
      <c r="H357" s="14">
        <f>G357-F357</f>
        <v>42</v>
      </c>
      <c r="I357" s="14">
        <f>ROUND(D357/E357,3)</f>
        <v>0.26500000000000001</v>
      </c>
      <c r="J357" s="14">
        <f>I357*24</f>
        <v>6.36</v>
      </c>
      <c r="K357" s="14">
        <f>VLOOKUP($C357,Rotation!$A$2:$J$10,2,FALSE)</f>
        <v>1</v>
      </c>
      <c r="L357" s="14">
        <f>VLOOKUP($C357,Rotation!$A$2:$J$10,3,FALSE)</f>
        <v>1</v>
      </c>
      <c r="M357" s="14">
        <f>VLOOKUP($C357,Rotation!$A$2:$J$10,4,FALSE)</f>
        <v>1</v>
      </c>
      <c r="N357" s="14">
        <f>VLOOKUP($C357,Rotation!$A$2:$J$10,5,FALSE)</f>
        <v>0</v>
      </c>
      <c r="O357" s="14">
        <f>VLOOKUP($C357,Rotation!$A$2:$J$10,6,FALSE)</f>
        <v>0</v>
      </c>
      <c r="P357" s="14">
        <f>VLOOKUP($C357,Rotation!$A$2:$J$10,7,FALSE)</f>
        <v>0</v>
      </c>
      <c r="Q357" s="14">
        <f>VLOOKUP($C357,Rotation!$A$2:$J$10,8,FALSE)</f>
        <v>0</v>
      </c>
      <c r="R357" s="14">
        <f>VLOOKUP($C357,Rotation!$A$2:$J$10,9,FALSE)</f>
        <v>0</v>
      </c>
      <c r="S357" s="14">
        <f>VLOOKUP($C357,Rotation!$A$2:$J$10,10,FALSE)</f>
        <v>0</v>
      </c>
    </row>
    <row r="358" spans="1:19" ht="18">
      <c r="A358" s="14">
        <v>356</v>
      </c>
      <c r="B358" s="14" t="s">
        <v>66</v>
      </c>
      <c r="C358" s="14" t="str">
        <f>VLOOKUP(B358,Family!B:C,2,FALSE)</f>
        <v>A</v>
      </c>
      <c r="D358" s="15">
        <v>108</v>
      </c>
      <c r="E358" s="14">
        <f>ROUND(VLOOKUP(C358,'Production Plan'!A:B,2,FALSE),2)</f>
        <v>407.17</v>
      </c>
      <c r="F358" s="16">
        <v>45748</v>
      </c>
      <c r="G358" s="17">
        <f>F358+6*7</f>
        <v>45790</v>
      </c>
      <c r="H358" s="14">
        <f>G358-F358</f>
        <v>42</v>
      </c>
      <c r="I358" s="14">
        <f>ROUND(D358/E358,3)</f>
        <v>0.26500000000000001</v>
      </c>
      <c r="J358" s="14">
        <f>I358*24</f>
        <v>6.36</v>
      </c>
      <c r="K358" s="14">
        <f>VLOOKUP($C358,Rotation!$A$2:$J$10,2,FALSE)</f>
        <v>1</v>
      </c>
      <c r="L358" s="14">
        <f>VLOOKUP($C358,Rotation!$A$2:$J$10,3,FALSE)</f>
        <v>1</v>
      </c>
      <c r="M358" s="14">
        <f>VLOOKUP($C358,Rotation!$A$2:$J$10,4,FALSE)</f>
        <v>1</v>
      </c>
      <c r="N358" s="14">
        <f>VLOOKUP($C358,Rotation!$A$2:$J$10,5,FALSE)</f>
        <v>0</v>
      </c>
      <c r="O358" s="14">
        <f>VLOOKUP($C358,Rotation!$A$2:$J$10,6,FALSE)</f>
        <v>0</v>
      </c>
      <c r="P358" s="14">
        <f>VLOOKUP($C358,Rotation!$A$2:$J$10,7,FALSE)</f>
        <v>0</v>
      </c>
      <c r="Q358" s="14">
        <f>VLOOKUP($C358,Rotation!$A$2:$J$10,8,FALSE)</f>
        <v>0</v>
      </c>
      <c r="R358" s="14">
        <f>VLOOKUP($C358,Rotation!$A$2:$J$10,9,FALSE)</f>
        <v>0</v>
      </c>
      <c r="S358" s="14">
        <f>VLOOKUP($C358,Rotation!$A$2:$J$10,10,FALSE)</f>
        <v>0</v>
      </c>
    </row>
    <row r="359" spans="1:19" ht="18">
      <c r="A359" s="14">
        <v>357</v>
      </c>
      <c r="B359" s="14" t="s">
        <v>108</v>
      </c>
      <c r="C359" s="14" t="str">
        <f>VLOOKUP(B359,Family!B:C,2,FALSE)</f>
        <v>P</v>
      </c>
      <c r="D359" s="15">
        <v>108</v>
      </c>
      <c r="E359" s="14">
        <f>ROUND(VLOOKUP(C359,'Production Plan'!A:B,2,FALSE),2)</f>
        <v>409.15</v>
      </c>
      <c r="F359" s="16">
        <v>45748</v>
      </c>
      <c r="G359" s="17">
        <f>F359+6*7</f>
        <v>45790</v>
      </c>
      <c r="H359" s="14">
        <f>G359-F359</f>
        <v>42</v>
      </c>
      <c r="I359" s="14">
        <f>ROUND(D359/E359,3)</f>
        <v>0.26400000000000001</v>
      </c>
      <c r="J359" s="14">
        <f>I359*24</f>
        <v>6.3360000000000003</v>
      </c>
      <c r="K359" s="14">
        <f>VLOOKUP($C359,Rotation!$A$2:$J$10,2,FALSE)</f>
        <v>1</v>
      </c>
      <c r="L359" s="14">
        <f>VLOOKUP($C359,Rotation!$A$2:$J$10,3,FALSE)</f>
        <v>1</v>
      </c>
      <c r="M359" s="14">
        <f>VLOOKUP($C359,Rotation!$A$2:$J$10,4,FALSE)</f>
        <v>0</v>
      </c>
      <c r="N359" s="14">
        <f>VLOOKUP($C359,Rotation!$A$2:$J$10,5,FALSE)</f>
        <v>0</v>
      </c>
      <c r="O359" s="14">
        <f>VLOOKUP($C359,Rotation!$A$2:$J$10,6,FALSE)</f>
        <v>0</v>
      </c>
      <c r="P359" s="14">
        <f>VLOOKUP($C359,Rotation!$A$2:$J$10,7,FALSE)</f>
        <v>0</v>
      </c>
      <c r="Q359" s="14">
        <f>VLOOKUP($C359,Rotation!$A$2:$J$10,8,FALSE)</f>
        <v>0</v>
      </c>
      <c r="R359" s="14">
        <f>VLOOKUP($C359,Rotation!$A$2:$J$10,9,FALSE)</f>
        <v>0</v>
      </c>
      <c r="S359" s="14">
        <f>VLOOKUP($C359,Rotation!$A$2:$J$10,10,FALSE)</f>
        <v>0</v>
      </c>
    </row>
    <row r="360" spans="1:19" ht="18">
      <c r="A360" s="14">
        <v>358</v>
      </c>
      <c r="B360" s="14" t="s">
        <v>108</v>
      </c>
      <c r="C360" s="14" t="str">
        <f>VLOOKUP(B360,Family!B:C,2,FALSE)</f>
        <v>P</v>
      </c>
      <c r="D360" s="15">
        <v>108</v>
      </c>
      <c r="E360" s="14">
        <f>ROUND(VLOOKUP(C360,'Production Plan'!A:B,2,FALSE),2)</f>
        <v>409.15</v>
      </c>
      <c r="F360" s="16">
        <v>45748</v>
      </c>
      <c r="G360" s="17">
        <f>F360+6*7</f>
        <v>45790</v>
      </c>
      <c r="H360" s="14">
        <f>G360-F360</f>
        <v>42</v>
      </c>
      <c r="I360" s="14">
        <f>ROUND(D360/E360,3)</f>
        <v>0.26400000000000001</v>
      </c>
      <c r="J360" s="14">
        <f>I360*24</f>
        <v>6.3360000000000003</v>
      </c>
      <c r="K360" s="14">
        <f>VLOOKUP($C360,Rotation!$A$2:$J$10,2,FALSE)</f>
        <v>1</v>
      </c>
      <c r="L360" s="14">
        <f>VLOOKUP($C360,Rotation!$A$2:$J$10,3,FALSE)</f>
        <v>1</v>
      </c>
      <c r="M360" s="14">
        <f>VLOOKUP($C360,Rotation!$A$2:$J$10,4,FALSE)</f>
        <v>0</v>
      </c>
      <c r="N360" s="14">
        <f>VLOOKUP($C360,Rotation!$A$2:$J$10,5,FALSE)</f>
        <v>0</v>
      </c>
      <c r="O360" s="14">
        <f>VLOOKUP($C360,Rotation!$A$2:$J$10,6,FALSE)</f>
        <v>0</v>
      </c>
      <c r="P360" s="14">
        <f>VLOOKUP($C360,Rotation!$A$2:$J$10,7,FALSE)</f>
        <v>0</v>
      </c>
      <c r="Q360" s="14">
        <f>VLOOKUP($C360,Rotation!$A$2:$J$10,8,FALSE)</f>
        <v>0</v>
      </c>
      <c r="R360" s="14">
        <f>VLOOKUP($C360,Rotation!$A$2:$J$10,9,FALSE)</f>
        <v>0</v>
      </c>
      <c r="S360" s="14">
        <f>VLOOKUP($C360,Rotation!$A$2:$J$10,10,FALSE)</f>
        <v>0</v>
      </c>
    </row>
    <row r="361" spans="1:19" ht="18">
      <c r="A361" s="14">
        <v>359</v>
      </c>
      <c r="B361" s="14" t="s">
        <v>108</v>
      </c>
      <c r="C361" s="14" t="str">
        <f>VLOOKUP(B361,Family!B:C,2,FALSE)</f>
        <v>P</v>
      </c>
      <c r="D361" s="15">
        <v>108</v>
      </c>
      <c r="E361" s="14">
        <f>ROUND(VLOOKUP(C361,'Production Plan'!A:B,2,FALSE),2)</f>
        <v>409.15</v>
      </c>
      <c r="F361" s="16">
        <v>45748</v>
      </c>
      <c r="G361" s="17">
        <f>F361+6*7</f>
        <v>45790</v>
      </c>
      <c r="H361" s="14">
        <f>G361-F361</f>
        <v>42</v>
      </c>
      <c r="I361" s="14">
        <f>ROUND(D361/E361,3)</f>
        <v>0.26400000000000001</v>
      </c>
      <c r="J361" s="14">
        <f>I361*24</f>
        <v>6.3360000000000003</v>
      </c>
      <c r="K361" s="14">
        <f>VLOOKUP($C361,Rotation!$A$2:$J$10,2,FALSE)</f>
        <v>1</v>
      </c>
      <c r="L361" s="14">
        <f>VLOOKUP($C361,Rotation!$A$2:$J$10,3,FALSE)</f>
        <v>1</v>
      </c>
      <c r="M361" s="14">
        <f>VLOOKUP($C361,Rotation!$A$2:$J$10,4,FALSE)</f>
        <v>0</v>
      </c>
      <c r="N361" s="14">
        <f>VLOOKUP($C361,Rotation!$A$2:$J$10,5,FALSE)</f>
        <v>0</v>
      </c>
      <c r="O361" s="14">
        <f>VLOOKUP($C361,Rotation!$A$2:$J$10,6,FALSE)</f>
        <v>0</v>
      </c>
      <c r="P361" s="14">
        <f>VLOOKUP($C361,Rotation!$A$2:$J$10,7,FALSE)</f>
        <v>0</v>
      </c>
      <c r="Q361" s="14">
        <f>VLOOKUP($C361,Rotation!$A$2:$J$10,8,FALSE)</f>
        <v>0</v>
      </c>
      <c r="R361" s="14">
        <f>VLOOKUP($C361,Rotation!$A$2:$J$10,9,FALSE)</f>
        <v>0</v>
      </c>
      <c r="S361" s="14">
        <f>VLOOKUP($C361,Rotation!$A$2:$J$10,10,FALSE)</f>
        <v>0</v>
      </c>
    </row>
    <row r="362" spans="1:19" ht="18">
      <c r="A362" s="14">
        <v>360</v>
      </c>
      <c r="B362" s="14" t="s">
        <v>85</v>
      </c>
      <c r="C362" s="14" t="str">
        <f>VLOOKUP(B362,Family!B:C,2,FALSE)</f>
        <v>E</v>
      </c>
      <c r="D362" s="15">
        <v>19</v>
      </c>
      <c r="E362" s="14">
        <f>ROUND(VLOOKUP(C362,'Production Plan'!A:B,2,FALSE),2)</f>
        <v>333.66</v>
      </c>
      <c r="F362" s="16">
        <v>45669</v>
      </c>
      <c r="G362" s="17">
        <f>F362+6*7</f>
        <v>45711</v>
      </c>
      <c r="H362" s="14">
        <f>G362-F362</f>
        <v>42</v>
      </c>
      <c r="I362" s="14">
        <f>ROUND(D362/E362,3)</f>
        <v>5.7000000000000002E-2</v>
      </c>
      <c r="J362" s="14">
        <f>I362*24</f>
        <v>1.3680000000000001</v>
      </c>
      <c r="K362" s="14">
        <f>VLOOKUP($C362,Rotation!$A$2:$J$10,2,FALSE)</f>
        <v>1</v>
      </c>
      <c r="L362" s="14">
        <f>VLOOKUP($C362,Rotation!$A$2:$J$10,3,FALSE)</f>
        <v>0</v>
      </c>
      <c r="M362" s="14">
        <f>VLOOKUP($C362,Rotation!$A$2:$J$10,4,FALSE)</f>
        <v>0</v>
      </c>
      <c r="N362" s="14">
        <f>VLOOKUP($C362,Rotation!$A$2:$J$10,5,FALSE)</f>
        <v>0</v>
      </c>
      <c r="O362" s="14">
        <f>VLOOKUP($C362,Rotation!$A$2:$J$10,6,FALSE)</f>
        <v>0</v>
      </c>
      <c r="P362" s="14">
        <f>VLOOKUP($C362,Rotation!$A$2:$J$10,7,FALSE)</f>
        <v>1</v>
      </c>
      <c r="Q362" s="14">
        <f>VLOOKUP($C362,Rotation!$A$2:$J$10,8,FALSE)</f>
        <v>0</v>
      </c>
      <c r="R362" s="14">
        <f>VLOOKUP($C362,Rotation!$A$2:$J$10,9,FALSE)</f>
        <v>0</v>
      </c>
      <c r="S362" s="14">
        <f>VLOOKUP($C362,Rotation!$A$2:$J$10,10,FALSE)</f>
        <v>0</v>
      </c>
    </row>
    <row r="363" spans="1:19" ht="18">
      <c r="A363" s="14">
        <v>361</v>
      </c>
      <c r="B363" s="14" t="s">
        <v>79</v>
      </c>
      <c r="C363" s="14" t="str">
        <f>VLOOKUP(B363,Family!B:C,2,FALSE)</f>
        <v>C</v>
      </c>
      <c r="D363" s="15">
        <v>25</v>
      </c>
      <c r="E363" s="14">
        <f>ROUND(VLOOKUP(C363,'Production Plan'!A:B,2,FALSE),2)</f>
        <v>411.11</v>
      </c>
      <c r="F363" s="16">
        <v>45698</v>
      </c>
      <c r="G363" s="17">
        <f>F363+6*7</f>
        <v>45740</v>
      </c>
      <c r="H363" s="14">
        <f>G363-F363</f>
        <v>42</v>
      </c>
      <c r="I363" s="14">
        <f>ROUND(D363/E363,3)</f>
        <v>6.0999999999999999E-2</v>
      </c>
      <c r="J363" s="14">
        <f>I363*24</f>
        <v>1.464</v>
      </c>
      <c r="K363" s="14">
        <f>VLOOKUP($C363,Rotation!$A$2:$J$10,2,FALSE)</f>
        <v>1</v>
      </c>
      <c r="L363" s="14">
        <f>VLOOKUP($C363,Rotation!$A$2:$J$10,3,FALSE)</f>
        <v>0</v>
      </c>
      <c r="M363" s="14">
        <f>VLOOKUP($C363,Rotation!$A$2:$J$10,4,FALSE)</f>
        <v>0</v>
      </c>
      <c r="N363" s="14">
        <f>VLOOKUP($C363,Rotation!$A$2:$J$10,5,FALSE)</f>
        <v>0</v>
      </c>
      <c r="O363" s="14">
        <f>VLOOKUP($C363,Rotation!$A$2:$J$10,6,FALSE)</f>
        <v>1</v>
      </c>
      <c r="P363" s="14">
        <f>VLOOKUP($C363,Rotation!$A$2:$J$10,7,FALSE)</f>
        <v>0</v>
      </c>
      <c r="Q363" s="14">
        <f>VLOOKUP($C363,Rotation!$A$2:$J$10,8,FALSE)</f>
        <v>0</v>
      </c>
      <c r="R363" s="14">
        <f>VLOOKUP($C363,Rotation!$A$2:$J$10,9,FALSE)</f>
        <v>0</v>
      </c>
      <c r="S363" s="14">
        <f>VLOOKUP($C363,Rotation!$A$2:$J$10,10,FALSE)</f>
        <v>0</v>
      </c>
    </row>
    <row r="364" spans="1:19" ht="18">
      <c r="A364" s="14">
        <v>362</v>
      </c>
      <c r="B364" s="14" t="s">
        <v>106</v>
      </c>
      <c r="C364" s="14" t="str">
        <f>VLOOKUP(B364,Family!B:C,2,FALSE)</f>
        <v>P</v>
      </c>
      <c r="D364" s="15">
        <v>19</v>
      </c>
      <c r="E364" s="14">
        <f>ROUND(VLOOKUP(C364,'Production Plan'!A:B,2,FALSE),2)</f>
        <v>409.15</v>
      </c>
      <c r="F364" s="16">
        <v>45701</v>
      </c>
      <c r="G364" s="17">
        <f>F364+6*7</f>
        <v>45743</v>
      </c>
      <c r="H364" s="14">
        <f>G364-F364</f>
        <v>42</v>
      </c>
      <c r="I364" s="14">
        <f>ROUND(D364/E364,3)</f>
        <v>4.5999999999999999E-2</v>
      </c>
      <c r="J364" s="14">
        <f>I364*24</f>
        <v>1.1040000000000001</v>
      </c>
      <c r="K364" s="14">
        <f>VLOOKUP($C364,Rotation!$A$2:$J$10,2,FALSE)</f>
        <v>1</v>
      </c>
      <c r="L364" s="14">
        <f>VLOOKUP($C364,Rotation!$A$2:$J$10,3,FALSE)</f>
        <v>1</v>
      </c>
      <c r="M364" s="14">
        <f>VLOOKUP($C364,Rotation!$A$2:$J$10,4,FALSE)</f>
        <v>0</v>
      </c>
      <c r="N364" s="14">
        <f>VLOOKUP($C364,Rotation!$A$2:$J$10,5,FALSE)</f>
        <v>0</v>
      </c>
      <c r="O364" s="14">
        <f>VLOOKUP($C364,Rotation!$A$2:$J$10,6,FALSE)</f>
        <v>0</v>
      </c>
      <c r="P364" s="14">
        <f>VLOOKUP($C364,Rotation!$A$2:$J$10,7,FALSE)</f>
        <v>0</v>
      </c>
      <c r="Q364" s="14">
        <f>VLOOKUP($C364,Rotation!$A$2:$J$10,8,FALSE)</f>
        <v>0</v>
      </c>
      <c r="R364" s="14">
        <f>VLOOKUP($C364,Rotation!$A$2:$J$10,9,FALSE)</f>
        <v>0</v>
      </c>
      <c r="S364" s="14">
        <f>VLOOKUP($C364,Rotation!$A$2:$J$10,10,FALSE)</f>
        <v>0</v>
      </c>
    </row>
    <row r="365" spans="1:19" ht="18">
      <c r="A365" s="14">
        <v>363</v>
      </c>
      <c r="B365" s="14" t="s">
        <v>106</v>
      </c>
      <c r="C365" s="14" t="str">
        <f>VLOOKUP(B365,Family!B:C,2,FALSE)</f>
        <v>P</v>
      </c>
      <c r="D365" s="15">
        <v>18.760000000000002</v>
      </c>
      <c r="E365" s="14">
        <f>ROUND(VLOOKUP(C365,'Production Plan'!A:B,2,FALSE),2)</f>
        <v>409.15</v>
      </c>
      <c r="F365" s="16">
        <v>45770</v>
      </c>
      <c r="G365" s="17">
        <f>F365+6*7</f>
        <v>45812</v>
      </c>
      <c r="H365" s="14">
        <f>G365-F365</f>
        <v>42</v>
      </c>
      <c r="I365" s="14">
        <f>ROUND(D365/E365,3)</f>
        <v>4.5999999999999999E-2</v>
      </c>
      <c r="J365" s="14">
        <f>I365*24</f>
        <v>1.1040000000000001</v>
      </c>
      <c r="K365" s="14">
        <f>VLOOKUP($C365,Rotation!$A$2:$J$10,2,FALSE)</f>
        <v>1</v>
      </c>
      <c r="L365" s="14">
        <f>VLOOKUP($C365,Rotation!$A$2:$J$10,3,FALSE)</f>
        <v>1</v>
      </c>
      <c r="M365" s="14">
        <f>VLOOKUP($C365,Rotation!$A$2:$J$10,4,FALSE)</f>
        <v>0</v>
      </c>
      <c r="N365" s="14">
        <f>VLOOKUP($C365,Rotation!$A$2:$J$10,5,FALSE)</f>
        <v>0</v>
      </c>
      <c r="O365" s="14">
        <f>VLOOKUP($C365,Rotation!$A$2:$J$10,6,FALSE)</f>
        <v>0</v>
      </c>
      <c r="P365" s="14">
        <f>VLOOKUP($C365,Rotation!$A$2:$J$10,7,FALSE)</f>
        <v>0</v>
      </c>
      <c r="Q365" s="14">
        <f>VLOOKUP($C365,Rotation!$A$2:$J$10,8,FALSE)</f>
        <v>0</v>
      </c>
      <c r="R365" s="14">
        <f>VLOOKUP($C365,Rotation!$A$2:$J$10,9,FALSE)</f>
        <v>0</v>
      </c>
      <c r="S365" s="14">
        <f>VLOOKUP($C365,Rotation!$A$2:$J$10,10,FALSE)</f>
        <v>0</v>
      </c>
    </row>
    <row r="366" spans="1:19" ht="18">
      <c r="A366" s="14">
        <v>364</v>
      </c>
      <c r="B366" s="14" t="s">
        <v>65</v>
      </c>
      <c r="C366" s="14" t="str">
        <f>VLOOKUP(B366,Family!B:C,2,FALSE)</f>
        <v>A</v>
      </c>
      <c r="D366" s="15">
        <v>38</v>
      </c>
      <c r="E366" s="14">
        <f>ROUND(VLOOKUP(C366,'Production Plan'!A:B,2,FALSE),2)</f>
        <v>407.17</v>
      </c>
      <c r="F366" s="16">
        <v>45728</v>
      </c>
      <c r="G366" s="17">
        <f>F366+6*7</f>
        <v>45770</v>
      </c>
      <c r="H366" s="14">
        <f>G366-F366</f>
        <v>42</v>
      </c>
      <c r="I366" s="14">
        <f>ROUND(D366/E366,3)</f>
        <v>9.2999999999999999E-2</v>
      </c>
      <c r="J366" s="14">
        <f>I366*24</f>
        <v>2.2320000000000002</v>
      </c>
      <c r="K366" s="14">
        <f>VLOOKUP($C366,Rotation!$A$2:$J$10,2,FALSE)</f>
        <v>1</v>
      </c>
      <c r="L366" s="14">
        <f>VLOOKUP($C366,Rotation!$A$2:$J$10,3,FALSE)</f>
        <v>1</v>
      </c>
      <c r="M366" s="14">
        <f>VLOOKUP($C366,Rotation!$A$2:$J$10,4,FALSE)</f>
        <v>1</v>
      </c>
      <c r="N366" s="14">
        <f>VLOOKUP($C366,Rotation!$A$2:$J$10,5,FALSE)</f>
        <v>0</v>
      </c>
      <c r="O366" s="14">
        <f>VLOOKUP($C366,Rotation!$A$2:$J$10,6,FALSE)</f>
        <v>0</v>
      </c>
      <c r="P366" s="14">
        <f>VLOOKUP($C366,Rotation!$A$2:$J$10,7,FALSE)</f>
        <v>0</v>
      </c>
      <c r="Q366" s="14">
        <f>VLOOKUP($C366,Rotation!$A$2:$J$10,8,FALSE)</f>
        <v>0</v>
      </c>
      <c r="R366" s="14">
        <f>VLOOKUP($C366,Rotation!$A$2:$J$10,9,FALSE)</f>
        <v>0</v>
      </c>
      <c r="S366" s="14">
        <f>VLOOKUP($C366,Rotation!$A$2:$J$10,10,FALSE)</f>
        <v>0</v>
      </c>
    </row>
    <row r="367" spans="1:19" ht="18">
      <c r="A367" s="14">
        <v>365</v>
      </c>
      <c r="B367" s="14" t="s">
        <v>64</v>
      </c>
      <c r="C367" s="14" t="str">
        <f>VLOOKUP(B367,Family!B:C,2,FALSE)</f>
        <v>A</v>
      </c>
      <c r="D367" s="15">
        <v>111</v>
      </c>
      <c r="E367" s="14">
        <f>ROUND(VLOOKUP(C367,'Production Plan'!A:B,2,FALSE),2)</f>
        <v>407.17</v>
      </c>
      <c r="F367" s="16">
        <v>45763</v>
      </c>
      <c r="G367" s="17">
        <f>F367+6*7</f>
        <v>45805</v>
      </c>
      <c r="H367" s="14">
        <f>G367-F367</f>
        <v>42</v>
      </c>
      <c r="I367" s="14">
        <f>ROUND(D367/E367,3)</f>
        <v>0.27300000000000002</v>
      </c>
      <c r="J367" s="14">
        <f>I367*24</f>
        <v>6.5520000000000005</v>
      </c>
      <c r="K367" s="14">
        <f>VLOOKUP($C367,Rotation!$A$2:$J$10,2,FALSE)</f>
        <v>1</v>
      </c>
      <c r="L367" s="14">
        <f>VLOOKUP($C367,Rotation!$A$2:$J$10,3,FALSE)</f>
        <v>1</v>
      </c>
      <c r="M367" s="14">
        <f>VLOOKUP($C367,Rotation!$A$2:$J$10,4,FALSE)</f>
        <v>1</v>
      </c>
      <c r="N367" s="14">
        <f>VLOOKUP($C367,Rotation!$A$2:$J$10,5,FALSE)</f>
        <v>0</v>
      </c>
      <c r="O367" s="14">
        <f>VLOOKUP($C367,Rotation!$A$2:$J$10,6,FALSE)</f>
        <v>0</v>
      </c>
      <c r="P367" s="14">
        <f>VLOOKUP($C367,Rotation!$A$2:$J$10,7,FALSE)</f>
        <v>0</v>
      </c>
      <c r="Q367" s="14">
        <f>VLOOKUP($C367,Rotation!$A$2:$J$10,8,FALSE)</f>
        <v>0</v>
      </c>
      <c r="R367" s="14">
        <f>VLOOKUP($C367,Rotation!$A$2:$J$10,9,FALSE)</f>
        <v>0</v>
      </c>
      <c r="S367" s="14">
        <f>VLOOKUP($C367,Rotation!$A$2:$J$10,10,FALSE)</f>
        <v>0</v>
      </c>
    </row>
    <row r="368" spans="1:19" ht="18">
      <c r="A368" s="14">
        <v>366</v>
      </c>
      <c r="B368" s="14" t="s">
        <v>77</v>
      </c>
      <c r="C368" s="14" t="str">
        <f>VLOOKUP(B368,Family!B:C,2,FALSE)</f>
        <v>E</v>
      </c>
      <c r="D368" s="15">
        <v>18</v>
      </c>
      <c r="E368" s="14">
        <f>ROUND(VLOOKUP(C368,'Production Plan'!A:B,2,FALSE),2)</f>
        <v>333.66</v>
      </c>
      <c r="F368" s="16">
        <v>45671</v>
      </c>
      <c r="G368" s="17">
        <f>F368+6*7</f>
        <v>45713</v>
      </c>
      <c r="H368" s="14">
        <f>G368-F368</f>
        <v>42</v>
      </c>
      <c r="I368" s="14">
        <f>ROUND(D368/E368,3)</f>
        <v>5.3999999999999999E-2</v>
      </c>
      <c r="J368" s="14">
        <f>I368*24</f>
        <v>1.296</v>
      </c>
      <c r="K368" s="14">
        <f>VLOOKUP($C368,Rotation!$A$2:$J$10,2,FALSE)</f>
        <v>1</v>
      </c>
      <c r="L368" s="14">
        <f>VLOOKUP($C368,Rotation!$A$2:$J$10,3,FALSE)</f>
        <v>0</v>
      </c>
      <c r="M368" s="14">
        <f>VLOOKUP($C368,Rotation!$A$2:$J$10,4,FALSE)</f>
        <v>0</v>
      </c>
      <c r="N368" s="14">
        <f>VLOOKUP($C368,Rotation!$A$2:$J$10,5,FALSE)</f>
        <v>0</v>
      </c>
      <c r="O368" s="14">
        <f>VLOOKUP($C368,Rotation!$A$2:$J$10,6,FALSE)</f>
        <v>0</v>
      </c>
      <c r="P368" s="14">
        <f>VLOOKUP($C368,Rotation!$A$2:$J$10,7,FALSE)</f>
        <v>1</v>
      </c>
      <c r="Q368" s="14">
        <f>VLOOKUP($C368,Rotation!$A$2:$J$10,8,FALSE)</f>
        <v>0</v>
      </c>
      <c r="R368" s="14">
        <f>VLOOKUP($C368,Rotation!$A$2:$J$10,9,FALSE)</f>
        <v>0</v>
      </c>
      <c r="S368" s="14">
        <f>VLOOKUP($C368,Rotation!$A$2:$J$10,10,FALSE)</f>
        <v>0</v>
      </c>
    </row>
    <row r="369" spans="1:19" ht="18">
      <c r="A369" s="14">
        <v>367</v>
      </c>
      <c r="B369" s="14" t="s">
        <v>106</v>
      </c>
      <c r="C369" s="14" t="str">
        <f>VLOOKUP(B369,Family!B:C,2,FALSE)</f>
        <v>P</v>
      </c>
      <c r="D369" s="15">
        <v>18.442</v>
      </c>
      <c r="E369" s="14">
        <f>ROUND(VLOOKUP(C369,'Production Plan'!A:B,2,FALSE),2)</f>
        <v>409.15</v>
      </c>
      <c r="F369" s="16">
        <v>45770</v>
      </c>
      <c r="G369" s="17">
        <f>F369+6*7</f>
        <v>45812</v>
      </c>
      <c r="H369" s="14">
        <f>G369-F369</f>
        <v>42</v>
      </c>
      <c r="I369" s="14">
        <f>ROUND(D369/E369,3)</f>
        <v>4.4999999999999998E-2</v>
      </c>
      <c r="J369" s="14">
        <f>I369*24</f>
        <v>1.08</v>
      </c>
      <c r="K369" s="14">
        <f>VLOOKUP($C369,Rotation!$A$2:$J$10,2,FALSE)</f>
        <v>1</v>
      </c>
      <c r="L369" s="14">
        <f>VLOOKUP($C369,Rotation!$A$2:$J$10,3,FALSE)</f>
        <v>1</v>
      </c>
      <c r="M369" s="14">
        <f>VLOOKUP($C369,Rotation!$A$2:$J$10,4,FALSE)</f>
        <v>0</v>
      </c>
      <c r="N369" s="14">
        <f>VLOOKUP($C369,Rotation!$A$2:$J$10,5,FALSE)</f>
        <v>0</v>
      </c>
      <c r="O369" s="14">
        <f>VLOOKUP($C369,Rotation!$A$2:$J$10,6,FALSE)</f>
        <v>0</v>
      </c>
      <c r="P369" s="14">
        <f>VLOOKUP($C369,Rotation!$A$2:$J$10,7,FALSE)</f>
        <v>0</v>
      </c>
      <c r="Q369" s="14">
        <f>VLOOKUP($C369,Rotation!$A$2:$J$10,8,FALSE)</f>
        <v>0</v>
      </c>
      <c r="R369" s="14">
        <f>VLOOKUP($C369,Rotation!$A$2:$J$10,9,FALSE)</f>
        <v>0</v>
      </c>
      <c r="S369" s="14">
        <f>VLOOKUP($C369,Rotation!$A$2:$J$10,10,FALSE)</f>
        <v>0</v>
      </c>
    </row>
    <row r="370" spans="1:19" ht="18">
      <c r="A370" s="14">
        <v>368</v>
      </c>
      <c r="B370" s="14" t="s">
        <v>106</v>
      </c>
      <c r="C370" s="14" t="str">
        <f>VLOOKUP(B370,Family!B:C,2,FALSE)</f>
        <v>P</v>
      </c>
      <c r="D370" s="15">
        <v>19</v>
      </c>
      <c r="E370" s="14">
        <f>ROUND(VLOOKUP(C370,'Production Plan'!A:B,2,FALSE),2)</f>
        <v>409.15</v>
      </c>
      <c r="F370" s="16">
        <v>45730</v>
      </c>
      <c r="G370" s="17">
        <f>F370+6*7</f>
        <v>45772</v>
      </c>
      <c r="H370" s="14">
        <f>G370-F370</f>
        <v>42</v>
      </c>
      <c r="I370" s="14">
        <f>ROUND(D370/E370,3)</f>
        <v>4.5999999999999999E-2</v>
      </c>
      <c r="J370" s="14">
        <f>I370*24</f>
        <v>1.1040000000000001</v>
      </c>
      <c r="K370" s="14">
        <f>VLOOKUP($C370,Rotation!$A$2:$J$10,2,FALSE)</f>
        <v>1</v>
      </c>
      <c r="L370" s="14">
        <f>VLOOKUP($C370,Rotation!$A$2:$J$10,3,FALSE)</f>
        <v>1</v>
      </c>
      <c r="M370" s="14">
        <f>VLOOKUP($C370,Rotation!$A$2:$J$10,4,FALSE)</f>
        <v>0</v>
      </c>
      <c r="N370" s="14">
        <f>VLOOKUP($C370,Rotation!$A$2:$J$10,5,FALSE)</f>
        <v>0</v>
      </c>
      <c r="O370" s="14">
        <f>VLOOKUP($C370,Rotation!$A$2:$J$10,6,FALSE)</f>
        <v>0</v>
      </c>
      <c r="P370" s="14">
        <f>VLOOKUP($C370,Rotation!$A$2:$J$10,7,FALSE)</f>
        <v>0</v>
      </c>
      <c r="Q370" s="14">
        <f>VLOOKUP($C370,Rotation!$A$2:$J$10,8,FALSE)</f>
        <v>0</v>
      </c>
      <c r="R370" s="14">
        <f>VLOOKUP($C370,Rotation!$A$2:$J$10,9,FALSE)</f>
        <v>0</v>
      </c>
      <c r="S370" s="14">
        <f>VLOOKUP($C370,Rotation!$A$2:$J$10,10,FALSE)</f>
        <v>0</v>
      </c>
    </row>
    <row r="371" spans="1:19" ht="18">
      <c r="A371" s="14">
        <v>369</v>
      </c>
      <c r="B371" s="14" t="s">
        <v>87</v>
      </c>
      <c r="C371" s="14" t="str">
        <f>VLOOKUP(B371,Family!B:C,2,FALSE)</f>
        <v>E</v>
      </c>
      <c r="D371" s="15">
        <v>18</v>
      </c>
      <c r="E371" s="14">
        <f>ROUND(VLOOKUP(C371,'Production Plan'!A:B,2,FALSE),2)</f>
        <v>333.66</v>
      </c>
      <c r="F371" s="16">
        <v>45750</v>
      </c>
      <c r="G371" s="17">
        <f>F371+6*7</f>
        <v>45792</v>
      </c>
      <c r="H371" s="14">
        <f>G371-F371</f>
        <v>42</v>
      </c>
      <c r="I371" s="14">
        <f>ROUND(D371/E371,3)</f>
        <v>5.3999999999999999E-2</v>
      </c>
      <c r="J371" s="14">
        <f>I371*24</f>
        <v>1.296</v>
      </c>
      <c r="K371" s="14">
        <f>VLOOKUP($C371,Rotation!$A$2:$J$10,2,FALSE)</f>
        <v>1</v>
      </c>
      <c r="L371" s="14">
        <f>VLOOKUP($C371,Rotation!$A$2:$J$10,3,FALSE)</f>
        <v>0</v>
      </c>
      <c r="M371" s="14">
        <f>VLOOKUP($C371,Rotation!$A$2:$J$10,4,FALSE)</f>
        <v>0</v>
      </c>
      <c r="N371" s="14">
        <f>VLOOKUP($C371,Rotation!$A$2:$J$10,5,FALSE)</f>
        <v>0</v>
      </c>
      <c r="O371" s="14">
        <f>VLOOKUP($C371,Rotation!$A$2:$J$10,6,FALSE)</f>
        <v>0</v>
      </c>
      <c r="P371" s="14">
        <f>VLOOKUP($C371,Rotation!$A$2:$J$10,7,FALSE)</f>
        <v>1</v>
      </c>
      <c r="Q371" s="14">
        <f>VLOOKUP($C371,Rotation!$A$2:$J$10,8,FALSE)</f>
        <v>0</v>
      </c>
      <c r="R371" s="14">
        <f>VLOOKUP($C371,Rotation!$A$2:$J$10,9,FALSE)</f>
        <v>0</v>
      </c>
      <c r="S371" s="14">
        <f>VLOOKUP($C371,Rotation!$A$2:$J$10,10,FALSE)</f>
        <v>0</v>
      </c>
    </row>
    <row r="372" spans="1:19" ht="18">
      <c r="A372" s="14">
        <v>370</v>
      </c>
      <c r="B372" s="14" t="s">
        <v>102</v>
      </c>
      <c r="C372" s="14" t="str">
        <f>VLOOKUP(B372,Family!B:C,2,FALSE)</f>
        <v>H</v>
      </c>
      <c r="D372" s="15">
        <v>45</v>
      </c>
      <c r="E372" s="14">
        <f>ROUND(VLOOKUP(C372,'Production Plan'!A:B,2,FALSE),2)</f>
        <v>402.02</v>
      </c>
      <c r="F372" s="16">
        <v>45694</v>
      </c>
      <c r="G372" s="17">
        <f>F372+6*7</f>
        <v>45736</v>
      </c>
      <c r="H372" s="14">
        <f>G372-F372</f>
        <v>42</v>
      </c>
      <c r="I372" s="14">
        <f>ROUND(D372/E372,3)</f>
        <v>0.112</v>
      </c>
      <c r="J372" s="14">
        <f>I372*24</f>
        <v>2.6880000000000002</v>
      </c>
      <c r="K372" s="14">
        <f>VLOOKUP($C372,Rotation!$A$2:$J$10,2,FALSE)</f>
        <v>0</v>
      </c>
      <c r="L372" s="14">
        <f>VLOOKUP($C372,Rotation!$A$2:$J$10,3,FALSE)</f>
        <v>0</v>
      </c>
      <c r="M372" s="14">
        <f>VLOOKUP($C372,Rotation!$A$2:$J$10,4,FALSE)</f>
        <v>1</v>
      </c>
      <c r="N372" s="14">
        <f>VLOOKUP($C372,Rotation!$A$2:$J$10,5,FALSE)</f>
        <v>1</v>
      </c>
      <c r="O372" s="14">
        <f>VLOOKUP($C372,Rotation!$A$2:$J$10,6,FALSE)</f>
        <v>0</v>
      </c>
      <c r="P372" s="14">
        <f>VLOOKUP($C372,Rotation!$A$2:$J$10,7,FALSE)</f>
        <v>0</v>
      </c>
      <c r="Q372" s="14">
        <f>VLOOKUP($C372,Rotation!$A$2:$J$10,8,FALSE)</f>
        <v>0</v>
      </c>
      <c r="R372" s="14">
        <f>VLOOKUP($C372,Rotation!$A$2:$J$10,9,FALSE)</f>
        <v>0</v>
      </c>
      <c r="S372" s="14">
        <f>VLOOKUP($C372,Rotation!$A$2:$J$10,10,FALSE)</f>
        <v>0</v>
      </c>
    </row>
    <row r="373" spans="1:19" ht="18">
      <c r="A373" s="14">
        <v>371</v>
      </c>
      <c r="B373" s="14" t="s">
        <v>105</v>
      </c>
      <c r="C373" s="14" t="str">
        <f>VLOOKUP(B373,Family!B:C,2,FALSE)</f>
        <v>N</v>
      </c>
      <c r="D373" s="15">
        <v>358</v>
      </c>
      <c r="E373" s="14">
        <f>ROUND(VLOOKUP(C373,'Production Plan'!A:B,2,FALSE),2)</f>
        <v>334.18</v>
      </c>
      <c r="F373" s="16">
        <v>45709</v>
      </c>
      <c r="G373" s="17">
        <f>F373+6*7</f>
        <v>45751</v>
      </c>
      <c r="H373" s="14">
        <f>G373-F373</f>
        <v>42</v>
      </c>
      <c r="I373" s="14">
        <f>ROUND(D373/E373,3)</f>
        <v>1.071</v>
      </c>
      <c r="J373" s="14">
        <f>I373*24</f>
        <v>25.704000000000001</v>
      </c>
      <c r="K373" s="14">
        <f>VLOOKUP($C373,Rotation!$A$2:$J$10,2,FALSE)</f>
        <v>1</v>
      </c>
      <c r="L373" s="14">
        <f>VLOOKUP($C373,Rotation!$A$2:$J$10,3,FALSE)</f>
        <v>0</v>
      </c>
      <c r="M373" s="14">
        <f>VLOOKUP($C373,Rotation!$A$2:$J$10,4,FALSE)</f>
        <v>0</v>
      </c>
      <c r="N373" s="14">
        <f>VLOOKUP($C373,Rotation!$A$2:$J$10,5,FALSE)</f>
        <v>0</v>
      </c>
      <c r="O373" s="14">
        <f>VLOOKUP($C373,Rotation!$A$2:$J$10,6,FALSE)</f>
        <v>0</v>
      </c>
      <c r="P373" s="14">
        <f>VLOOKUP($C373,Rotation!$A$2:$J$10,7,FALSE)</f>
        <v>0</v>
      </c>
      <c r="Q373" s="14">
        <f>VLOOKUP($C373,Rotation!$A$2:$J$10,8,FALSE)</f>
        <v>1</v>
      </c>
      <c r="R373" s="14">
        <f>VLOOKUP($C373,Rotation!$A$2:$J$10,9,FALSE)</f>
        <v>0</v>
      </c>
      <c r="S373" s="14">
        <f>VLOOKUP($C373,Rotation!$A$2:$J$10,10,FALSE)</f>
        <v>0</v>
      </c>
    </row>
    <row r="374" spans="1:19" ht="18">
      <c r="A374" s="14">
        <v>372</v>
      </c>
      <c r="B374" s="14" t="s">
        <v>106</v>
      </c>
      <c r="C374" s="14" t="str">
        <f>VLOOKUP(B374,Family!B:C,2,FALSE)</f>
        <v>P</v>
      </c>
      <c r="D374" s="15">
        <v>18.425999999999998</v>
      </c>
      <c r="E374" s="14">
        <f>ROUND(VLOOKUP(C374,'Production Plan'!A:B,2,FALSE),2)</f>
        <v>409.15</v>
      </c>
      <c r="F374" s="16">
        <v>45770</v>
      </c>
      <c r="G374" s="17">
        <f>F374+6*7</f>
        <v>45812</v>
      </c>
      <c r="H374" s="14">
        <f>G374-F374</f>
        <v>42</v>
      </c>
      <c r="I374" s="14">
        <f>ROUND(D374/E374,3)</f>
        <v>4.4999999999999998E-2</v>
      </c>
      <c r="J374" s="14">
        <f>I374*24</f>
        <v>1.08</v>
      </c>
      <c r="K374" s="14">
        <f>VLOOKUP($C374,Rotation!$A$2:$J$10,2,FALSE)</f>
        <v>1</v>
      </c>
      <c r="L374" s="14">
        <f>VLOOKUP($C374,Rotation!$A$2:$J$10,3,FALSE)</f>
        <v>1</v>
      </c>
      <c r="M374" s="14">
        <f>VLOOKUP($C374,Rotation!$A$2:$J$10,4,FALSE)</f>
        <v>0</v>
      </c>
      <c r="N374" s="14">
        <f>VLOOKUP($C374,Rotation!$A$2:$J$10,5,FALSE)</f>
        <v>0</v>
      </c>
      <c r="O374" s="14">
        <f>VLOOKUP($C374,Rotation!$A$2:$J$10,6,FALSE)</f>
        <v>0</v>
      </c>
      <c r="P374" s="14">
        <f>VLOOKUP($C374,Rotation!$A$2:$J$10,7,FALSE)</f>
        <v>0</v>
      </c>
      <c r="Q374" s="14">
        <f>VLOOKUP($C374,Rotation!$A$2:$J$10,8,FALSE)</f>
        <v>0</v>
      </c>
      <c r="R374" s="14">
        <f>VLOOKUP($C374,Rotation!$A$2:$J$10,9,FALSE)</f>
        <v>0</v>
      </c>
      <c r="S374" s="14">
        <f>VLOOKUP($C374,Rotation!$A$2:$J$10,10,FALSE)</f>
        <v>0</v>
      </c>
    </row>
    <row r="375" spans="1:19" ht="18">
      <c r="A375" s="14">
        <v>373</v>
      </c>
      <c r="B375" s="14" t="s">
        <v>71</v>
      </c>
      <c r="C375" s="14" t="str">
        <f>VLOOKUP(B375,Family!B:C,2,FALSE)</f>
        <v>A</v>
      </c>
      <c r="D375" s="15">
        <v>391</v>
      </c>
      <c r="E375" s="14">
        <f>ROUND(VLOOKUP(C375,'Production Plan'!A:B,2,FALSE),2)</f>
        <v>407.17</v>
      </c>
      <c r="F375" s="16">
        <v>45722</v>
      </c>
      <c r="G375" s="17">
        <f>F375+6*7</f>
        <v>45764</v>
      </c>
      <c r="H375" s="14">
        <f>G375-F375</f>
        <v>42</v>
      </c>
      <c r="I375" s="14">
        <f>ROUND(D375/E375,3)</f>
        <v>0.96</v>
      </c>
      <c r="J375" s="14">
        <f>I375*24</f>
        <v>23.04</v>
      </c>
      <c r="K375" s="14">
        <f>VLOOKUP($C375,Rotation!$A$2:$J$10,2,FALSE)</f>
        <v>1</v>
      </c>
      <c r="L375" s="14">
        <f>VLOOKUP($C375,Rotation!$A$2:$J$10,3,FALSE)</f>
        <v>1</v>
      </c>
      <c r="M375" s="14">
        <f>VLOOKUP($C375,Rotation!$A$2:$J$10,4,FALSE)</f>
        <v>1</v>
      </c>
      <c r="N375" s="14">
        <f>VLOOKUP($C375,Rotation!$A$2:$J$10,5,FALSE)</f>
        <v>0</v>
      </c>
      <c r="O375" s="14">
        <f>VLOOKUP($C375,Rotation!$A$2:$J$10,6,FALSE)</f>
        <v>0</v>
      </c>
      <c r="P375" s="14">
        <f>VLOOKUP($C375,Rotation!$A$2:$J$10,7,FALSE)</f>
        <v>0</v>
      </c>
      <c r="Q375" s="14">
        <f>VLOOKUP($C375,Rotation!$A$2:$J$10,8,FALSE)</f>
        <v>0</v>
      </c>
      <c r="R375" s="14">
        <f>VLOOKUP($C375,Rotation!$A$2:$J$10,9,FALSE)</f>
        <v>0</v>
      </c>
      <c r="S375" s="14">
        <f>VLOOKUP($C375,Rotation!$A$2:$J$10,10,FALSE)</f>
        <v>0</v>
      </c>
    </row>
    <row r="376" spans="1:19" ht="18">
      <c r="A376" s="14">
        <v>374</v>
      </c>
      <c r="B376" s="14" t="s">
        <v>80</v>
      </c>
      <c r="C376" s="14" t="str">
        <f>VLOOKUP(B376,Family!B:C,2,FALSE)</f>
        <v>C</v>
      </c>
      <c r="D376" s="15">
        <v>19</v>
      </c>
      <c r="E376" s="14">
        <f>ROUND(VLOOKUP(C376,'Production Plan'!A:B,2,FALSE),2)</f>
        <v>411.11</v>
      </c>
      <c r="F376" s="16">
        <v>45722</v>
      </c>
      <c r="G376" s="17">
        <f>F376+6*7</f>
        <v>45764</v>
      </c>
      <c r="H376" s="14">
        <f>G376-F376</f>
        <v>42</v>
      </c>
      <c r="I376" s="14">
        <f>ROUND(D376/E376,3)</f>
        <v>4.5999999999999999E-2</v>
      </c>
      <c r="J376" s="14">
        <f>I376*24</f>
        <v>1.1040000000000001</v>
      </c>
      <c r="K376" s="14">
        <f>VLOOKUP($C376,Rotation!$A$2:$J$10,2,FALSE)</f>
        <v>1</v>
      </c>
      <c r="L376" s="14">
        <f>VLOOKUP($C376,Rotation!$A$2:$J$10,3,FALSE)</f>
        <v>0</v>
      </c>
      <c r="M376" s="14">
        <f>VLOOKUP($C376,Rotation!$A$2:$J$10,4,FALSE)</f>
        <v>0</v>
      </c>
      <c r="N376" s="14">
        <f>VLOOKUP($C376,Rotation!$A$2:$J$10,5,FALSE)</f>
        <v>0</v>
      </c>
      <c r="O376" s="14">
        <f>VLOOKUP($C376,Rotation!$A$2:$J$10,6,FALSE)</f>
        <v>1</v>
      </c>
      <c r="P376" s="14">
        <f>VLOOKUP($C376,Rotation!$A$2:$J$10,7,FALSE)</f>
        <v>0</v>
      </c>
      <c r="Q376" s="14">
        <f>VLOOKUP($C376,Rotation!$A$2:$J$10,8,FALSE)</f>
        <v>0</v>
      </c>
      <c r="R376" s="14">
        <f>VLOOKUP($C376,Rotation!$A$2:$J$10,9,FALSE)</f>
        <v>0</v>
      </c>
      <c r="S376" s="14">
        <f>VLOOKUP($C376,Rotation!$A$2:$J$10,10,FALSE)</f>
        <v>0</v>
      </c>
    </row>
    <row r="377" spans="1:19" ht="18">
      <c r="A377" s="14">
        <v>375</v>
      </c>
      <c r="B377" s="14" t="s">
        <v>69</v>
      </c>
      <c r="C377" s="14" t="str">
        <f>VLOOKUP(B377,Family!B:C,2,FALSE)</f>
        <v>A</v>
      </c>
      <c r="D377" s="15">
        <v>19</v>
      </c>
      <c r="E377" s="14">
        <f>ROUND(VLOOKUP(C377,'Production Plan'!A:B,2,FALSE),2)</f>
        <v>407.17</v>
      </c>
      <c r="F377" s="16">
        <v>45730</v>
      </c>
      <c r="G377" s="17">
        <f>F377+6*7</f>
        <v>45772</v>
      </c>
      <c r="H377" s="14">
        <f>G377-F377</f>
        <v>42</v>
      </c>
      <c r="I377" s="14">
        <f>ROUND(D377/E377,3)</f>
        <v>4.7E-2</v>
      </c>
      <c r="J377" s="14">
        <f>I377*24</f>
        <v>1.1280000000000001</v>
      </c>
      <c r="K377" s="14">
        <f>VLOOKUP($C377,Rotation!$A$2:$J$10,2,FALSE)</f>
        <v>1</v>
      </c>
      <c r="L377" s="14">
        <f>VLOOKUP($C377,Rotation!$A$2:$J$10,3,FALSE)</f>
        <v>1</v>
      </c>
      <c r="M377" s="14">
        <f>VLOOKUP($C377,Rotation!$A$2:$J$10,4,FALSE)</f>
        <v>1</v>
      </c>
      <c r="N377" s="14">
        <f>VLOOKUP($C377,Rotation!$A$2:$J$10,5,FALSE)</f>
        <v>0</v>
      </c>
      <c r="O377" s="14">
        <f>VLOOKUP($C377,Rotation!$A$2:$J$10,6,FALSE)</f>
        <v>0</v>
      </c>
      <c r="P377" s="14">
        <f>VLOOKUP($C377,Rotation!$A$2:$J$10,7,FALSE)</f>
        <v>0</v>
      </c>
      <c r="Q377" s="14">
        <f>VLOOKUP($C377,Rotation!$A$2:$J$10,8,FALSE)</f>
        <v>0</v>
      </c>
      <c r="R377" s="14">
        <f>VLOOKUP($C377,Rotation!$A$2:$J$10,9,FALSE)</f>
        <v>0</v>
      </c>
      <c r="S377" s="14">
        <f>VLOOKUP($C377,Rotation!$A$2:$J$10,10,FALSE)</f>
        <v>0</v>
      </c>
    </row>
    <row r="378" spans="1:19" ht="18">
      <c r="A378" s="14">
        <v>376</v>
      </c>
      <c r="B378" s="14" t="s">
        <v>106</v>
      </c>
      <c r="C378" s="14" t="str">
        <f>VLOOKUP(B378,Family!B:C,2,FALSE)</f>
        <v>P</v>
      </c>
      <c r="D378" s="15">
        <v>18.544</v>
      </c>
      <c r="E378" s="14">
        <f>ROUND(VLOOKUP(C378,'Production Plan'!A:B,2,FALSE),2)</f>
        <v>409.15</v>
      </c>
      <c r="F378" s="16">
        <v>45770</v>
      </c>
      <c r="G378" s="17">
        <f>F378+6*7</f>
        <v>45812</v>
      </c>
      <c r="H378" s="14">
        <f>G378-F378</f>
        <v>42</v>
      </c>
      <c r="I378" s="14">
        <f>ROUND(D378/E378,3)</f>
        <v>4.4999999999999998E-2</v>
      </c>
      <c r="J378" s="14">
        <f>I378*24</f>
        <v>1.08</v>
      </c>
      <c r="K378" s="14">
        <f>VLOOKUP($C378,Rotation!$A$2:$J$10,2,FALSE)</f>
        <v>1</v>
      </c>
      <c r="L378" s="14">
        <f>VLOOKUP($C378,Rotation!$A$2:$J$10,3,FALSE)</f>
        <v>1</v>
      </c>
      <c r="M378" s="14">
        <f>VLOOKUP($C378,Rotation!$A$2:$J$10,4,FALSE)</f>
        <v>0</v>
      </c>
      <c r="N378" s="14">
        <f>VLOOKUP($C378,Rotation!$A$2:$J$10,5,FALSE)</f>
        <v>0</v>
      </c>
      <c r="O378" s="14">
        <f>VLOOKUP($C378,Rotation!$A$2:$J$10,6,FALSE)</f>
        <v>0</v>
      </c>
      <c r="P378" s="14">
        <f>VLOOKUP($C378,Rotation!$A$2:$J$10,7,FALSE)</f>
        <v>0</v>
      </c>
      <c r="Q378" s="14">
        <f>VLOOKUP($C378,Rotation!$A$2:$J$10,8,FALSE)</f>
        <v>0</v>
      </c>
      <c r="R378" s="14">
        <f>VLOOKUP($C378,Rotation!$A$2:$J$10,9,FALSE)</f>
        <v>0</v>
      </c>
      <c r="S378" s="14">
        <f>VLOOKUP($C378,Rotation!$A$2:$J$10,10,FALSE)</f>
        <v>0</v>
      </c>
    </row>
    <row r="379" spans="1:19" ht="18">
      <c r="A379" s="14">
        <v>377</v>
      </c>
      <c r="B379" s="14" t="s">
        <v>64</v>
      </c>
      <c r="C379" s="14" t="str">
        <f>VLOOKUP(B379,Family!B:C,2,FALSE)</f>
        <v>A</v>
      </c>
      <c r="D379" s="15">
        <v>111</v>
      </c>
      <c r="E379" s="14">
        <f>ROUND(VLOOKUP(C379,'Production Plan'!A:B,2,FALSE),2)</f>
        <v>407.17</v>
      </c>
      <c r="F379" s="16">
        <v>45763</v>
      </c>
      <c r="G379" s="17">
        <f>F379+6*7</f>
        <v>45805</v>
      </c>
      <c r="H379" s="14">
        <f>G379-F379</f>
        <v>42</v>
      </c>
      <c r="I379" s="14">
        <f>ROUND(D379/E379,3)</f>
        <v>0.27300000000000002</v>
      </c>
      <c r="J379" s="14">
        <f>I379*24</f>
        <v>6.5520000000000005</v>
      </c>
      <c r="K379" s="14">
        <f>VLOOKUP($C379,Rotation!$A$2:$J$10,2,FALSE)</f>
        <v>1</v>
      </c>
      <c r="L379" s="14">
        <f>VLOOKUP($C379,Rotation!$A$2:$J$10,3,FALSE)</f>
        <v>1</v>
      </c>
      <c r="M379" s="14">
        <f>VLOOKUP($C379,Rotation!$A$2:$J$10,4,FALSE)</f>
        <v>1</v>
      </c>
      <c r="N379" s="14">
        <f>VLOOKUP($C379,Rotation!$A$2:$J$10,5,FALSE)</f>
        <v>0</v>
      </c>
      <c r="O379" s="14">
        <f>VLOOKUP($C379,Rotation!$A$2:$J$10,6,FALSE)</f>
        <v>0</v>
      </c>
      <c r="P379" s="14">
        <f>VLOOKUP($C379,Rotation!$A$2:$J$10,7,FALSE)</f>
        <v>0</v>
      </c>
      <c r="Q379" s="14">
        <f>VLOOKUP($C379,Rotation!$A$2:$J$10,8,FALSE)</f>
        <v>0</v>
      </c>
      <c r="R379" s="14">
        <f>VLOOKUP($C379,Rotation!$A$2:$J$10,9,FALSE)</f>
        <v>0</v>
      </c>
      <c r="S379" s="14">
        <f>VLOOKUP($C379,Rotation!$A$2:$J$10,10,FALSE)</f>
        <v>0</v>
      </c>
    </row>
    <row r="380" spans="1:19" ht="18">
      <c r="A380" s="14">
        <v>378</v>
      </c>
      <c r="B380" s="14" t="s">
        <v>64</v>
      </c>
      <c r="C380" s="14" t="str">
        <f>VLOOKUP(B380,Family!B:C,2,FALSE)</f>
        <v>A</v>
      </c>
      <c r="D380" s="15">
        <v>111</v>
      </c>
      <c r="E380" s="14">
        <f>ROUND(VLOOKUP(C380,'Production Plan'!A:B,2,FALSE),2)</f>
        <v>407.17</v>
      </c>
      <c r="F380" s="16">
        <v>45763</v>
      </c>
      <c r="G380" s="17">
        <f>F380+6*7</f>
        <v>45805</v>
      </c>
      <c r="H380" s="14">
        <f>G380-F380</f>
        <v>42</v>
      </c>
      <c r="I380" s="14">
        <f>ROUND(D380/E380,3)</f>
        <v>0.27300000000000002</v>
      </c>
      <c r="J380" s="14">
        <f>I380*24</f>
        <v>6.5520000000000005</v>
      </c>
      <c r="K380" s="14">
        <f>VLOOKUP($C380,Rotation!$A$2:$J$10,2,FALSE)</f>
        <v>1</v>
      </c>
      <c r="L380" s="14">
        <f>VLOOKUP($C380,Rotation!$A$2:$J$10,3,FALSE)</f>
        <v>1</v>
      </c>
      <c r="M380" s="14">
        <f>VLOOKUP($C380,Rotation!$A$2:$J$10,4,FALSE)</f>
        <v>1</v>
      </c>
      <c r="N380" s="14">
        <f>VLOOKUP($C380,Rotation!$A$2:$J$10,5,FALSE)</f>
        <v>0</v>
      </c>
      <c r="O380" s="14">
        <f>VLOOKUP($C380,Rotation!$A$2:$J$10,6,FALSE)</f>
        <v>0</v>
      </c>
      <c r="P380" s="14">
        <f>VLOOKUP($C380,Rotation!$A$2:$J$10,7,FALSE)</f>
        <v>0</v>
      </c>
      <c r="Q380" s="14">
        <f>VLOOKUP($C380,Rotation!$A$2:$J$10,8,FALSE)</f>
        <v>0</v>
      </c>
      <c r="R380" s="14">
        <f>VLOOKUP($C380,Rotation!$A$2:$J$10,9,FALSE)</f>
        <v>0</v>
      </c>
      <c r="S380" s="14">
        <f>VLOOKUP($C380,Rotation!$A$2:$J$10,10,FALSE)</f>
        <v>0</v>
      </c>
    </row>
    <row r="381" spans="1:19" ht="18">
      <c r="A381" s="14">
        <v>379</v>
      </c>
      <c r="B381" s="14" t="s">
        <v>65</v>
      </c>
      <c r="C381" s="14" t="str">
        <f>VLOOKUP(B381,Family!B:C,2,FALSE)</f>
        <v>A</v>
      </c>
      <c r="D381" s="15">
        <v>19</v>
      </c>
      <c r="E381" s="14">
        <f>ROUND(VLOOKUP(C381,'Production Plan'!A:B,2,FALSE),2)</f>
        <v>407.17</v>
      </c>
      <c r="F381" s="16">
        <v>45728</v>
      </c>
      <c r="G381" s="17">
        <f>F381+6*7</f>
        <v>45770</v>
      </c>
      <c r="H381" s="14">
        <f>G381-F381</f>
        <v>42</v>
      </c>
      <c r="I381" s="14">
        <f>ROUND(D381/E381,3)</f>
        <v>4.7E-2</v>
      </c>
      <c r="J381" s="14">
        <f>I381*24</f>
        <v>1.1280000000000001</v>
      </c>
      <c r="K381" s="14">
        <f>VLOOKUP($C381,Rotation!$A$2:$J$10,2,FALSE)</f>
        <v>1</v>
      </c>
      <c r="L381" s="14">
        <f>VLOOKUP($C381,Rotation!$A$2:$J$10,3,FALSE)</f>
        <v>1</v>
      </c>
      <c r="M381" s="14">
        <f>VLOOKUP($C381,Rotation!$A$2:$J$10,4,FALSE)</f>
        <v>1</v>
      </c>
      <c r="N381" s="14">
        <f>VLOOKUP($C381,Rotation!$A$2:$J$10,5,FALSE)</f>
        <v>0</v>
      </c>
      <c r="O381" s="14">
        <f>VLOOKUP($C381,Rotation!$A$2:$J$10,6,FALSE)</f>
        <v>0</v>
      </c>
      <c r="P381" s="14">
        <f>VLOOKUP($C381,Rotation!$A$2:$J$10,7,FALSE)</f>
        <v>0</v>
      </c>
      <c r="Q381" s="14">
        <f>VLOOKUP($C381,Rotation!$A$2:$J$10,8,FALSE)</f>
        <v>0</v>
      </c>
      <c r="R381" s="14">
        <f>VLOOKUP($C381,Rotation!$A$2:$J$10,9,FALSE)</f>
        <v>0</v>
      </c>
      <c r="S381" s="14">
        <f>VLOOKUP($C381,Rotation!$A$2:$J$10,10,FALSE)</f>
        <v>0</v>
      </c>
    </row>
    <row r="382" spans="1:19" ht="18">
      <c r="A382" s="14">
        <v>380</v>
      </c>
      <c r="B382" s="14" t="s">
        <v>77</v>
      </c>
      <c r="C382" s="14" t="str">
        <f>VLOOKUP(B382,Family!B:C,2,FALSE)</f>
        <v>E</v>
      </c>
      <c r="D382" s="15">
        <v>18</v>
      </c>
      <c r="E382" s="14">
        <f>ROUND(VLOOKUP(C382,'Production Plan'!A:B,2,FALSE),2)</f>
        <v>333.66</v>
      </c>
      <c r="F382" s="16">
        <v>45671</v>
      </c>
      <c r="G382" s="17">
        <f>F382+6*7</f>
        <v>45713</v>
      </c>
      <c r="H382" s="14">
        <f>G382-F382</f>
        <v>42</v>
      </c>
      <c r="I382" s="14">
        <f>ROUND(D382/E382,3)</f>
        <v>5.3999999999999999E-2</v>
      </c>
      <c r="J382" s="14">
        <f>I382*24</f>
        <v>1.296</v>
      </c>
      <c r="K382" s="14">
        <f>VLOOKUP($C382,Rotation!$A$2:$J$10,2,FALSE)</f>
        <v>1</v>
      </c>
      <c r="L382" s="14">
        <f>VLOOKUP($C382,Rotation!$A$2:$J$10,3,FALSE)</f>
        <v>0</v>
      </c>
      <c r="M382" s="14">
        <f>VLOOKUP($C382,Rotation!$A$2:$J$10,4,FALSE)</f>
        <v>0</v>
      </c>
      <c r="N382" s="14">
        <f>VLOOKUP($C382,Rotation!$A$2:$J$10,5,FALSE)</f>
        <v>0</v>
      </c>
      <c r="O382" s="14">
        <f>VLOOKUP($C382,Rotation!$A$2:$J$10,6,FALSE)</f>
        <v>0</v>
      </c>
      <c r="P382" s="14">
        <f>VLOOKUP($C382,Rotation!$A$2:$J$10,7,FALSE)</f>
        <v>1</v>
      </c>
      <c r="Q382" s="14">
        <f>VLOOKUP($C382,Rotation!$A$2:$J$10,8,FALSE)</f>
        <v>0</v>
      </c>
      <c r="R382" s="14">
        <f>VLOOKUP($C382,Rotation!$A$2:$J$10,9,FALSE)</f>
        <v>0</v>
      </c>
      <c r="S382" s="14">
        <f>VLOOKUP($C382,Rotation!$A$2:$J$10,10,FALSE)</f>
        <v>0</v>
      </c>
    </row>
    <row r="383" spans="1:19" ht="18">
      <c r="A383" s="14">
        <v>381</v>
      </c>
      <c r="B383" s="14" t="s">
        <v>106</v>
      </c>
      <c r="C383" s="14" t="str">
        <f>VLOOKUP(B383,Family!B:C,2,FALSE)</f>
        <v>P</v>
      </c>
      <c r="D383" s="15">
        <v>19</v>
      </c>
      <c r="E383" s="14">
        <f>ROUND(VLOOKUP(C383,'Production Plan'!A:B,2,FALSE),2)</f>
        <v>409.15</v>
      </c>
      <c r="F383" s="16">
        <v>45701</v>
      </c>
      <c r="G383" s="17">
        <f>F383+6*7</f>
        <v>45743</v>
      </c>
      <c r="H383" s="14">
        <f>G383-F383</f>
        <v>42</v>
      </c>
      <c r="I383" s="14">
        <f>ROUND(D383/E383,3)</f>
        <v>4.5999999999999999E-2</v>
      </c>
      <c r="J383" s="14">
        <f>I383*24</f>
        <v>1.1040000000000001</v>
      </c>
      <c r="K383" s="14">
        <f>VLOOKUP($C383,Rotation!$A$2:$J$10,2,FALSE)</f>
        <v>1</v>
      </c>
      <c r="L383" s="14">
        <f>VLOOKUP($C383,Rotation!$A$2:$J$10,3,FALSE)</f>
        <v>1</v>
      </c>
      <c r="M383" s="14">
        <f>VLOOKUP($C383,Rotation!$A$2:$J$10,4,FALSE)</f>
        <v>0</v>
      </c>
      <c r="N383" s="14">
        <f>VLOOKUP($C383,Rotation!$A$2:$J$10,5,FALSE)</f>
        <v>0</v>
      </c>
      <c r="O383" s="14">
        <f>VLOOKUP($C383,Rotation!$A$2:$J$10,6,FALSE)</f>
        <v>0</v>
      </c>
      <c r="P383" s="14">
        <f>VLOOKUP($C383,Rotation!$A$2:$J$10,7,FALSE)</f>
        <v>0</v>
      </c>
      <c r="Q383" s="14">
        <f>VLOOKUP($C383,Rotation!$A$2:$J$10,8,FALSE)</f>
        <v>0</v>
      </c>
      <c r="R383" s="14">
        <f>VLOOKUP($C383,Rotation!$A$2:$J$10,9,FALSE)</f>
        <v>0</v>
      </c>
      <c r="S383" s="14">
        <f>VLOOKUP($C383,Rotation!$A$2:$J$10,10,FALSE)</f>
        <v>0</v>
      </c>
    </row>
    <row r="384" spans="1:19" ht="18">
      <c r="A384" s="14">
        <v>382</v>
      </c>
      <c r="B384" s="14" t="s">
        <v>106</v>
      </c>
      <c r="C384" s="14" t="str">
        <f>VLOOKUP(B384,Family!B:C,2,FALSE)</f>
        <v>P</v>
      </c>
      <c r="D384" s="15">
        <v>18.477</v>
      </c>
      <c r="E384" s="14">
        <f>ROUND(VLOOKUP(C384,'Production Plan'!A:B,2,FALSE),2)</f>
        <v>409.15</v>
      </c>
      <c r="F384" s="16">
        <v>45770</v>
      </c>
      <c r="G384" s="17">
        <f>F384+6*7</f>
        <v>45812</v>
      </c>
      <c r="H384" s="14">
        <f>G384-F384</f>
        <v>42</v>
      </c>
      <c r="I384" s="14">
        <f>ROUND(D384/E384,3)</f>
        <v>4.4999999999999998E-2</v>
      </c>
      <c r="J384" s="14">
        <f>I384*24</f>
        <v>1.08</v>
      </c>
      <c r="K384" s="14">
        <f>VLOOKUP($C384,Rotation!$A$2:$J$10,2,FALSE)</f>
        <v>1</v>
      </c>
      <c r="L384" s="14">
        <f>VLOOKUP($C384,Rotation!$A$2:$J$10,3,FALSE)</f>
        <v>1</v>
      </c>
      <c r="M384" s="14">
        <f>VLOOKUP($C384,Rotation!$A$2:$J$10,4,FALSE)</f>
        <v>0</v>
      </c>
      <c r="N384" s="14">
        <f>VLOOKUP($C384,Rotation!$A$2:$J$10,5,FALSE)</f>
        <v>0</v>
      </c>
      <c r="O384" s="14">
        <f>VLOOKUP($C384,Rotation!$A$2:$J$10,6,FALSE)</f>
        <v>0</v>
      </c>
      <c r="P384" s="14">
        <f>VLOOKUP($C384,Rotation!$A$2:$J$10,7,FALSE)</f>
        <v>0</v>
      </c>
      <c r="Q384" s="14">
        <f>VLOOKUP($C384,Rotation!$A$2:$J$10,8,FALSE)</f>
        <v>0</v>
      </c>
      <c r="R384" s="14">
        <f>VLOOKUP($C384,Rotation!$A$2:$J$10,9,FALSE)</f>
        <v>0</v>
      </c>
      <c r="S384" s="14">
        <f>VLOOKUP($C384,Rotation!$A$2:$J$10,10,FALSE)</f>
        <v>0</v>
      </c>
    </row>
    <row r="385" spans="1:19" ht="18">
      <c r="A385" s="14">
        <v>383</v>
      </c>
      <c r="B385" s="14" t="s">
        <v>69</v>
      </c>
      <c r="C385" s="14" t="str">
        <f>VLOOKUP(B385,Family!B:C,2,FALSE)</f>
        <v>A</v>
      </c>
      <c r="D385" s="15">
        <v>19</v>
      </c>
      <c r="E385" s="14">
        <f>ROUND(VLOOKUP(C385,'Production Plan'!A:B,2,FALSE),2)</f>
        <v>407.17</v>
      </c>
      <c r="F385" s="16">
        <v>45730</v>
      </c>
      <c r="G385" s="17">
        <f>F385+6*7</f>
        <v>45772</v>
      </c>
      <c r="H385" s="14">
        <f>G385-F385</f>
        <v>42</v>
      </c>
      <c r="I385" s="14">
        <f>ROUND(D385/E385,3)</f>
        <v>4.7E-2</v>
      </c>
      <c r="J385" s="14">
        <f>I385*24</f>
        <v>1.1280000000000001</v>
      </c>
      <c r="K385" s="14">
        <f>VLOOKUP($C385,Rotation!$A$2:$J$10,2,FALSE)</f>
        <v>1</v>
      </c>
      <c r="L385" s="14">
        <f>VLOOKUP($C385,Rotation!$A$2:$J$10,3,FALSE)</f>
        <v>1</v>
      </c>
      <c r="M385" s="14">
        <f>VLOOKUP($C385,Rotation!$A$2:$J$10,4,FALSE)</f>
        <v>1</v>
      </c>
      <c r="N385" s="14">
        <f>VLOOKUP($C385,Rotation!$A$2:$J$10,5,FALSE)</f>
        <v>0</v>
      </c>
      <c r="O385" s="14">
        <f>VLOOKUP($C385,Rotation!$A$2:$J$10,6,FALSE)</f>
        <v>0</v>
      </c>
      <c r="P385" s="14">
        <f>VLOOKUP($C385,Rotation!$A$2:$J$10,7,FALSE)</f>
        <v>0</v>
      </c>
      <c r="Q385" s="14">
        <f>VLOOKUP($C385,Rotation!$A$2:$J$10,8,FALSE)</f>
        <v>0</v>
      </c>
      <c r="R385" s="14">
        <f>VLOOKUP($C385,Rotation!$A$2:$J$10,9,FALSE)</f>
        <v>0</v>
      </c>
      <c r="S385" s="14">
        <f>VLOOKUP($C385,Rotation!$A$2:$J$10,10,FALSE)</f>
        <v>0</v>
      </c>
    </row>
    <row r="386" spans="1:19" ht="18">
      <c r="A386" s="14">
        <v>384</v>
      </c>
      <c r="B386" s="14" t="s">
        <v>69</v>
      </c>
      <c r="C386" s="14" t="str">
        <f>VLOOKUP(B386,Family!B:C,2,FALSE)</f>
        <v>A</v>
      </c>
      <c r="D386" s="15">
        <v>19</v>
      </c>
      <c r="E386" s="14">
        <f>ROUND(VLOOKUP(C386,'Production Plan'!A:B,2,FALSE),2)</f>
        <v>407.17</v>
      </c>
      <c r="F386" s="16">
        <v>45730</v>
      </c>
      <c r="G386" s="17">
        <f>F386+6*7</f>
        <v>45772</v>
      </c>
      <c r="H386" s="14">
        <f>G386-F386</f>
        <v>42</v>
      </c>
      <c r="I386" s="14">
        <f>ROUND(D386/E386,3)</f>
        <v>4.7E-2</v>
      </c>
      <c r="J386" s="14">
        <f>I386*24</f>
        <v>1.1280000000000001</v>
      </c>
      <c r="K386" s="14">
        <f>VLOOKUP($C386,Rotation!$A$2:$J$10,2,FALSE)</f>
        <v>1</v>
      </c>
      <c r="L386" s="14">
        <f>VLOOKUP($C386,Rotation!$A$2:$J$10,3,FALSE)</f>
        <v>1</v>
      </c>
      <c r="M386" s="14">
        <f>VLOOKUP($C386,Rotation!$A$2:$J$10,4,FALSE)</f>
        <v>1</v>
      </c>
      <c r="N386" s="14">
        <f>VLOOKUP($C386,Rotation!$A$2:$J$10,5,FALSE)</f>
        <v>0</v>
      </c>
      <c r="O386" s="14">
        <f>VLOOKUP($C386,Rotation!$A$2:$J$10,6,FALSE)</f>
        <v>0</v>
      </c>
      <c r="P386" s="14">
        <f>VLOOKUP($C386,Rotation!$A$2:$J$10,7,FALSE)</f>
        <v>0</v>
      </c>
      <c r="Q386" s="14">
        <f>VLOOKUP($C386,Rotation!$A$2:$J$10,8,FALSE)</f>
        <v>0</v>
      </c>
      <c r="R386" s="14">
        <f>VLOOKUP($C386,Rotation!$A$2:$J$10,9,FALSE)</f>
        <v>0</v>
      </c>
      <c r="S386" s="14">
        <f>VLOOKUP($C386,Rotation!$A$2:$J$10,10,FALSE)</f>
        <v>0</v>
      </c>
    </row>
    <row r="387" spans="1:19" ht="18">
      <c r="A387" s="14">
        <v>385</v>
      </c>
      <c r="B387" s="14" t="s">
        <v>108</v>
      </c>
      <c r="C387" s="14" t="str">
        <f>VLOOKUP(B387,Family!B:C,2,FALSE)</f>
        <v>P</v>
      </c>
      <c r="D387" s="15">
        <v>108</v>
      </c>
      <c r="E387" s="14">
        <f>ROUND(VLOOKUP(C387,'Production Plan'!A:B,2,FALSE),2)</f>
        <v>409.15</v>
      </c>
      <c r="F387" s="16">
        <v>45748</v>
      </c>
      <c r="G387" s="17">
        <f>F387+6*7</f>
        <v>45790</v>
      </c>
      <c r="H387" s="14">
        <f>G387-F387</f>
        <v>42</v>
      </c>
      <c r="I387" s="14">
        <f>ROUND(D387/E387,3)</f>
        <v>0.26400000000000001</v>
      </c>
      <c r="J387" s="14">
        <f>I387*24</f>
        <v>6.3360000000000003</v>
      </c>
      <c r="K387" s="14">
        <f>VLOOKUP($C387,Rotation!$A$2:$J$10,2,FALSE)</f>
        <v>1</v>
      </c>
      <c r="L387" s="14">
        <f>VLOOKUP($C387,Rotation!$A$2:$J$10,3,FALSE)</f>
        <v>1</v>
      </c>
      <c r="M387" s="14">
        <f>VLOOKUP($C387,Rotation!$A$2:$J$10,4,FALSE)</f>
        <v>0</v>
      </c>
      <c r="N387" s="14">
        <f>VLOOKUP($C387,Rotation!$A$2:$J$10,5,FALSE)</f>
        <v>0</v>
      </c>
      <c r="O387" s="14">
        <f>VLOOKUP($C387,Rotation!$A$2:$J$10,6,FALSE)</f>
        <v>0</v>
      </c>
      <c r="P387" s="14">
        <f>VLOOKUP($C387,Rotation!$A$2:$J$10,7,FALSE)</f>
        <v>0</v>
      </c>
      <c r="Q387" s="14">
        <f>VLOOKUP($C387,Rotation!$A$2:$J$10,8,FALSE)</f>
        <v>0</v>
      </c>
      <c r="R387" s="14">
        <f>VLOOKUP($C387,Rotation!$A$2:$J$10,9,FALSE)</f>
        <v>0</v>
      </c>
      <c r="S387" s="14">
        <f>VLOOKUP($C387,Rotation!$A$2:$J$10,10,FALSE)</f>
        <v>0</v>
      </c>
    </row>
    <row r="388" spans="1:19" ht="18">
      <c r="A388" s="14">
        <v>386</v>
      </c>
      <c r="B388" s="14" t="s">
        <v>65</v>
      </c>
      <c r="C388" s="14" t="str">
        <f>VLOOKUP(B388,Family!B:C,2,FALSE)</f>
        <v>A</v>
      </c>
      <c r="D388" s="15">
        <v>19</v>
      </c>
      <c r="E388" s="14">
        <f>ROUND(VLOOKUP(C388,'Production Plan'!A:B,2,FALSE),2)</f>
        <v>407.17</v>
      </c>
      <c r="F388" s="16">
        <v>45755</v>
      </c>
      <c r="G388" s="17">
        <f>F388+6*7</f>
        <v>45797</v>
      </c>
      <c r="H388" s="14">
        <f>G388-F388</f>
        <v>42</v>
      </c>
      <c r="I388" s="14">
        <f>ROUND(D388/E388,3)</f>
        <v>4.7E-2</v>
      </c>
      <c r="J388" s="14">
        <f>I388*24</f>
        <v>1.1280000000000001</v>
      </c>
      <c r="K388" s="14">
        <f>VLOOKUP($C388,Rotation!$A$2:$J$10,2,FALSE)</f>
        <v>1</v>
      </c>
      <c r="L388" s="14">
        <f>VLOOKUP($C388,Rotation!$A$2:$J$10,3,FALSE)</f>
        <v>1</v>
      </c>
      <c r="M388" s="14">
        <f>VLOOKUP($C388,Rotation!$A$2:$J$10,4,FALSE)</f>
        <v>1</v>
      </c>
      <c r="N388" s="14">
        <f>VLOOKUP($C388,Rotation!$A$2:$J$10,5,FALSE)</f>
        <v>0</v>
      </c>
      <c r="O388" s="14">
        <f>VLOOKUP($C388,Rotation!$A$2:$J$10,6,FALSE)</f>
        <v>0</v>
      </c>
      <c r="P388" s="14">
        <f>VLOOKUP($C388,Rotation!$A$2:$J$10,7,FALSE)</f>
        <v>0</v>
      </c>
      <c r="Q388" s="14">
        <f>VLOOKUP($C388,Rotation!$A$2:$J$10,8,FALSE)</f>
        <v>0</v>
      </c>
      <c r="R388" s="14">
        <f>VLOOKUP($C388,Rotation!$A$2:$J$10,9,FALSE)</f>
        <v>0</v>
      </c>
      <c r="S388" s="14">
        <f>VLOOKUP($C388,Rotation!$A$2:$J$10,10,FALSE)</f>
        <v>0</v>
      </c>
    </row>
    <row r="389" spans="1:19" ht="18">
      <c r="A389" s="14">
        <v>387</v>
      </c>
      <c r="B389" s="14" t="s">
        <v>64</v>
      </c>
      <c r="C389" s="14" t="str">
        <f>VLOOKUP(B389,Family!B:C,2,FALSE)</f>
        <v>A</v>
      </c>
      <c r="D389" s="15">
        <v>93</v>
      </c>
      <c r="E389" s="14">
        <f>ROUND(VLOOKUP(C389,'Production Plan'!A:B,2,FALSE),2)</f>
        <v>407.17</v>
      </c>
      <c r="F389" s="16">
        <v>45763</v>
      </c>
      <c r="G389" s="17">
        <f>F389+6*7</f>
        <v>45805</v>
      </c>
      <c r="H389" s="14">
        <f>G389-F389</f>
        <v>42</v>
      </c>
      <c r="I389" s="14">
        <f>ROUND(D389/E389,3)</f>
        <v>0.22800000000000001</v>
      </c>
      <c r="J389" s="14">
        <f>I389*24</f>
        <v>5.4720000000000004</v>
      </c>
      <c r="K389" s="14">
        <f>VLOOKUP($C389,Rotation!$A$2:$J$10,2,FALSE)</f>
        <v>1</v>
      </c>
      <c r="L389" s="14">
        <f>VLOOKUP($C389,Rotation!$A$2:$J$10,3,FALSE)</f>
        <v>1</v>
      </c>
      <c r="M389" s="14">
        <f>VLOOKUP($C389,Rotation!$A$2:$J$10,4,FALSE)</f>
        <v>1</v>
      </c>
      <c r="N389" s="14">
        <f>VLOOKUP($C389,Rotation!$A$2:$J$10,5,FALSE)</f>
        <v>0</v>
      </c>
      <c r="O389" s="14">
        <f>VLOOKUP($C389,Rotation!$A$2:$J$10,6,FALSE)</f>
        <v>0</v>
      </c>
      <c r="P389" s="14">
        <f>VLOOKUP($C389,Rotation!$A$2:$J$10,7,FALSE)</f>
        <v>0</v>
      </c>
      <c r="Q389" s="14">
        <f>VLOOKUP($C389,Rotation!$A$2:$J$10,8,FALSE)</f>
        <v>0</v>
      </c>
      <c r="R389" s="14">
        <f>VLOOKUP($C389,Rotation!$A$2:$J$10,9,FALSE)</f>
        <v>0</v>
      </c>
      <c r="S389" s="14">
        <f>VLOOKUP($C389,Rotation!$A$2:$J$10,10,FALSE)</f>
        <v>0</v>
      </c>
    </row>
    <row r="390" spans="1:19" ht="18">
      <c r="A390" s="14">
        <v>388</v>
      </c>
      <c r="B390" s="14" t="s">
        <v>64</v>
      </c>
      <c r="C390" s="14" t="str">
        <f>VLOOKUP(B390,Family!B:C,2,FALSE)</f>
        <v>A</v>
      </c>
      <c r="D390" s="15">
        <v>111</v>
      </c>
      <c r="E390" s="14">
        <f>ROUND(VLOOKUP(C390,'Production Plan'!A:B,2,FALSE),2)</f>
        <v>407.17</v>
      </c>
      <c r="F390" s="16">
        <v>45763</v>
      </c>
      <c r="G390" s="17">
        <f>F390+6*7</f>
        <v>45805</v>
      </c>
      <c r="H390" s="14">
        <f>G390-F390</f>
        <v>42</v>
      </c>
      <c r="I390" s="14">
        <f>ROUND(D390/E390,3)</f>
        <v>0.27300000000000002</v>
      </c>
      <c r="J390" s="14">
        <f>I390*24</f>
        <v>6.5520000000000005</v>
      </c>
      <c r="K390" s="14">
        <f>VLOOKUP($C390,Rotation!$A$2:$J$10,2,FALSE)</f>
        <v>1</v>
      </c>
      <c r="L390" s="14">
        <f>VLOOKUP($C390,Rotation!$A$2:$J$10,3,FALSE)</f>
        <v>1</v>
      </c>
      <c r="M390" s="14">
        <f>VLOOKUP($C390,Rotation!$A$2:$J$10,4,FALSE)</f>
        <v>1</v>
      </c>
      <c r="N390" s="14">
        <f>VLOOKUP($C390,Rotation!$A$2:$J$10,5,FALSE)</f>
        <v>0</v>
      </c>
      <c r="O390" s="14">
        <f>VLOOKUP($C390,Rotation!$A$2:$J$10,6,FALSE)</f>
        <v>0</v>
      </c>
      <c r="P390" s="14">
        <f>VLOOKUP($C390,Rotation!$A$2:$J$10,7,FALSE)</f>
        <v>0</v>
      </c>
      <c r="Q390" s="14">
        <f>VLOOKUP($C390,Rotation!$A$2:$J$10,8,FALSE)</f>
        <v>0</v>
      </c>
      <c r="R390" s="14">
        <f>VLOOKUP($C390,Rotation!$A$2:$J$10,9,FALSE)</f>
        <v>0</v>
      </c>
      <c r="S390" s="14">
        <f>VLOOKUP($C390,Rotation!$A$2:$J$10,10,FALSE)</f>
        <v>0</v>
      </c>
    </row>
    <row r="391" spans="1:19" ht="18">
      <c r="A391" s="14">
        <v>389</v>
      </c>
      <c r="B391" s="14" t="s">
        <v>108</v>
      </c>
      <c r="C391" s="14" t="str">
        <f>VLOOKUP(B391,Family!B:C,2,FALSE)</f>
        <v>P</v>
      </c>
      <c r="D391" s="15">
        <v>108</v>
      </c>
      <c r="E391" s="14">
        <f>ROUND(VLOOKUP(C391,'Production Plan'!A:B,2,FALSE),2)</f>
        <v>409.15</v>
      </c>
      <c r="F391" s="16">
        <v>45748</v>
      </c>
      <c r="G391" s="17">
        <f>F391+6*7</f>
        <v>45790</v>
      </c>
      <c r="H391" s="14">
        <f>G391-F391</f>
        <v>42</v>
      </c>
      <c r="I391" s="14">
        <f>ROUND(D391/E391,3)</f>
        <v>0.26400000000000001</v>
      </c>
      <c r="J391" s="14">
        <f>I391*24</f>
        <v>6.3360000000000003</v>
      </c>
      <c r="K391" s="14">
        <f>VLOOKUP($C391,Rotation!$A$2:$J$10,2,FALSE)</f>
        <v>1</v>
      </c>
      <c r="L391" s="14">
        <f>VLOOKUP($C391,Rotation!$A$2:$J$10,3,FALSE)</f>
        <v>1</v>
      </c>
      <c r="M391" s="14">
        <f>VLOOKUP($C391,Rotation!$A$2:$J$10,4,FALSE)</f>
        <v>0</v>
      </c>
      <c r="N391" s="14">
        <f>VLOOKUP($C391,Rotation!$A$2:$J$10,5,FALSE)</f>
        <v>0</v>
      </c>
      <c r="O391" s="14">
        <f>VLOOKUP($C391,Rotation!$A$2:$J$10,6,FALSE)</f>
        <v>0</v>
      </c>
      <c r="P391" s="14">
        <f>VLOOKUP($C391,Rotation!$A$2:$J$10,7,FALSE)</f>
        <v>0</v>
      </c>
      <c r="Q391" s="14">
        <f>VLOOKUP($C391,Rotation!$A$2:$J$10,8,FALSE)</f>
        <v>0</v>
      </c>
      <c r="R391" s="14">
        <f>VLOOKUP($C391,Rotation!$A$2:$J$10,9,FALSE)</f>
        <v>0</v>
      </c>
      <c r="S391" s="14">
        <f>VLOOKUP($C391,Rotation!$A$2:$J$10,10,FALSE)</f>
        <v>0</v>
      </c>
    </row>
    <row r="392" spans="1:19" ht="18">
      <c r="A392" s="14">
        <v>390</v>
      </c>
      <c r="B392" s="14" t="s">
        <v>77</v>
      </c>
      <c r="C392" s="14" t="str">
        <f>VLOOKUP(B392,Family!B:C,2,FALSE)</f>
        <v>E</v>
      </c>
      <c r="D392" s="15">
        <v>18</v>
      </c>
      <c r="E392" s="14">
        <f>ROUND(VLOOKUP(C392,'Production Plan'!A:B,2,FALSE),2)</f>
        <v>333.66</v>
      </c>
      <c r="F392" s="16">
        <v>45671</v>
      </c>
      <c r="G392" s="17">
        <f>F392+6*7</f>
        <v>45713</v>
      </c>
      <c r="H392" s="14">
        <f>G392-F392</f>
        <v>42</v>
      </c>
      <c r="I392" s="14">
        <f>ROUND(D392/E392,3)</f>
        <v>5.3999999999999999E-2</v>
      </c>
      <c r="J392" s="14">
        <f>I392*24</f>
        <v>1.296</v>
      </c>
      <c r="K392" s="14">
        <f>VLOOKUP($C392,Rotation!$A$2:$J$10,2,FALSE)</f>
        <v>1</v>
      </c>
      <c r="L392" s="14">
        <f>VLOOKUP($C392,Rotation!$A$2:$J$10,3,FALSE)</f>
        <v>0</v>
      </c>
      <c r="M392" s="14">
        <f>VLOOKUP($C392,Rotation!$A$2:$J$10,4,FALSE)</f>
        <v>0</v>
      </c>
      <c r="N392" s="14">
        <f>VLOOKUP($C392,Rotation!$A$2:$J$10,5,FALSE)</f>
        <v>0</v>
      </c>
      <c r="O392" s="14">
        <f>VLOOKUP($C392,Rotation!$A$2:$J$10,6,FALSE)</f>
        <v>0</v>
      </c>
      <c r="P392" s="14">
        <f>VLOOKUP($C392,Rotation!$A$2:$J$10,7,FALSE)</f>
        <v>1</v>
      </c>
      <c r="Q392" s="14">
        <f>VLOOKUP($C392,Rotation!$A$2:$J$10,8,FALSE)</f>
        <v>0</v>
      </c>
      <c r="R392" s="14">
        <f>VLOOKUP($C392,Rotation!$A$2:$J$10,9,FALSE)</f>
        <v>0</v>
      </c>
      <c r="S392" s="14">
        <f>VLOOKUP($C392,Rotation!$A$2:$J$10,10,FALSE)</f>
        <v>0</v>
      </c>
    </row>
    <row r="393" spans="1:19" ht="18">
      <c r="A393" s="14">
        <v>391</v>
      </c>
      <c r="B393" s="14" t="s">
        <v>106</v>
      </c>
      <c r="C393" s="14" t="str">
        <f>VLOOKUP(B393,Family!B:C,2,FALSE)</f>
        <v>P</v>
      </c>
      <c r="D393" s="15">
        <v>19</v>
      </c>
      <c r="E393" s="14">
        <f>ROUND(VLOOKUP(C393,'Production Plan'!A:B,2,FALSE),2)</f>
        <v>409.15</v>
      </c>
      <c r="F393" s="16">
        <v>45748</v>
      </c>
      <c r="G393" s="17">
        <f>F393+6*7</f>
        <v>45790</v>
      </c>
      <c r="H393" s="14">
        <f>G393-F393</f>
        <v>42</v>
      </c>
      <c r="I393" s="14">
        <f>ROUND(D393/E393,3)</f>
        <v>4.5999999999999999E-2</v>
      </c>
      <c r="J393" s="14">
        <f>I393*24</f>
        <v>1.1040000000000001</v>
      </c>
      <c r="K393" s="14">
        <f>VLOOKUP($C393,Rotation!$A$2:$J$10,2,FALSE)</f>
        <v>1</v>
      </c>
      <c r="L393" s="14">
        <f>VLOOKUP($C393,Rotation!$A$2:$J$10,3,FALSE)</f>
        <v>1</v>
      </c>
      <c r="M393" s="14">
        <f>VLOOKUP($C393,Rotation!$A$2:$J$10,4,FALSE)</f>
        <v>0</v>
      </c>
      <c r="N393" s="14">
        <f>VLOOKUP($C393,Rotation!$A$2:$J$10,5,FALSE)</f>
        <v>0</v>
      </c>
      <c r="O393" s="14">
        <f>VLOOKUP($C393,Rotation!$A$2:$J$10,6,FALSE)</f>
        <v>0</v>
      </c>
      <c r="P393" s="14">
        <f>VLOOKUP($C393,Rotation!$A$2:$J$10,7,FALSE)</f>
        <v>0</v>
      </c>
      <c r="Q393" s="14">
        <f>VLOOKUP($C393,Rotation!$A$2:$J$10,8,FALSE)</f>
        <v>0</v>
      </c>
      <c r="R393" s="14">
        <f>VLOOKUP($C393,Rotation!$A$2:$J$10,9,FALSE)</f>
        <v>0</v>
      </c>
      <c r="S393" s="14">
        <f>VLOOKUP($C393,Rotation!$A$2:$J$10,10,FALSE)</f>
        <v>0</v>
      </c>
    </row>
    <row r="394" spans="1:19" ht="18">
      <c r="A394" s="14">
        <v>392</v>
      </c>
      <c r="B394" s="14" t="s">
        <v>65</v>
      </c>
      <c r="C394" s="14" t="str">
        <f>VLOOKUP(B394,Family!B:C,2,FALSE)</f>
        <v>A</v>
      </c>
      <c r="D394" s="15">
        <v>19</v>
      </c>
      <c r="E394" s="14">
        <f>ROUND(VLOOKUP(C394,'Production Plan'!A:B,2,FALSE),2)</f>
        <v>407.17</v>
      </c>
      <c r="F394" s="16">
        <v>45755</v>
      </c>
      <c r="G394" s="17">
        <f>F394+6*7</f>
        <v>45797</v>
      </c>
      <c r="H394" s="14">
        <f>G394-F394</f>
        <v>42</v>
      </c>
      <c r="I394" s="14">
        <f>ROUND(D394/E394,3)</f>
        <v>4.7E-2</v>
      </c>
      <c r="J394" s="14">
        <f>I394*24</f>
        <v>1.1280000000000001</v>
      </c>
      <c r="K394" s="14">
        <f>VLOOKUP($C394,Rotation!$A$2:$J$10,2,FALSE)</f>
        <v>1</v>
      </c>
      <c r="L394" s="14">
        <f>VLOOKUP($C394,Rotation!$A$2:$J$10,3,FALSE)</f>
        <v>1</v>
      </c>
      <c r="M394" s="14">
        <f>VLOOKUP($C394,Rotation!$A$2:$J$10,4,FALSE)</f>
        <v>1</v>
      </c>
      <c r="N394" s="14">
        <f>VLOOKUP($C394,Rotation!$A$2:$J$10,5,FALSE)</f>
        <v>0</v>
      </c>
      <c r="O394" s="14">
        <f>VLOOKUP($C394,Rotation!$A$2:$J$10,6,FALSE)</f>
        <v>0</v>
      </c>
      <c r="P394" s="14">
        <f>VLOOKUP($C394,Rotation!$A$2:$J$10,7,FALSE)</f>
        <v>0</v>
      </c>
      <c r="Q394" s="14">
        <f>VLOOKUP($C394,Rotation!$A$2:$J$10,8,FALSE)</f>
        <v>0</v>
      </c>
      <c r="R394" s="14">
        <f>VLOOKUP($C394,Rotation!$A$2:$J$10,9,FALSE)</f>
        <v>0</v>
      </c>
      <c r="S394" s="14">
        <f>VLOOKUP($C394,Rotation!$A$2:$J$10,10,FALSE)</f>
        <v>0</v>
      </c>
    </row>
    <row r="395" spans="1:19" ht="18">
      <c r="A395" s="14">
        <v>393</v>
      </c>
      <c r="B395" s="14" t="s">
        <v>106</v>
      </c>
      <c r="C395" s="14" t="str">
        <f>VLOOKUP(B395,Family!B:C,2,FALSE)</f>
        <v>P</v>
      </c>
      <c r="D395" s="15">
        <v>19</v>
      </c>
      <c r="E395" s="14">
        <f>ROUND(VLOOKUP(C395,'Production Plan'!A:B,2,FALSE),2)</f>
        <v>409.15</v>
      </c>
      <c r="F395" s="16">
        <v>45730</v>
      </c>
      <c r="G395" s="17">
        <f>F395+6*7</f>
        <v>45772</v>
      </c>
      <c r="H395" s="14">
        <f>G395-F395</f>
        <v>42</v>
      </c>
      <c r="I395" s="14">
        <f>ROUND(D395/E395,3)</f>
        <v>4.5999999999999999E-2</v>
      </c>
      <c r="J395" s="14">
        <f>I395*24</f>
        <v>1.1040000000000001</v>
      </c>
      <c r="K395" s="14">
        <f>VLOOKUP($C395,Rotation!$A$2:$J$10,2,FALSE)</f>
        <v>1</v>
      </c>
      <c r="L395" s="14">
        <f>VLOOKUP($C395,Rotation!$A$2:$J$10,3,FALSE)</f>
        <v>1</v>
      </c>
      <c r="M395" s="14">
        <f>VLOOKUP($C395,Rotation!$A$2:$J$10,4,FALSE)</f>
        <v>0</v>
      </c>
      <c r="N395" s="14">
        <f>VLOOKUP($C395,Rotation!$A$2:$J$10,5,FALSE)</f>
        <v>0</v>
      </c>
      <c r="O395" s="14">
        <f>VLOOKUP($C395,Rotation!$A$2:$J$10,6,FALSE)</f>
        <v>0</v>
      </c>
      <c r="P395" s="14">
        <f>VLOOKUP($C395,Rotation!$A$2:$J$10,7,FALSE)</f>
        <v>0</v>
      </c>
      <c r="Q395" s="14">
        <f>VLOOKUP($C395,Rotation!$A$2:$J$10,8,FALSE)</f>
        <v>0</v>
      </c>
      <c r="R395" s="14">
        <f>VLOOKUP($C395,Rotation!$A$2:$J$10,9,FALSE)</f>
        <v>0</v>
      </c>
      <c r="S395" s="14">
        <f>VLOOKUP($C395,Rotation!$A$2:$J$10,10,FALSE)</f>
        <v>0</v>
      </c>
    </row>
    <row r="396" spans="1:19" ht="18">
      <c r="A396" s="14">
        <v>394</v>
      </c>
      <c r="B396" s="14" t="s">
        <v>106</v>
      </c>
      <c r="C396" s="14" t="str">
        <f>VLOOKUP(B396,Family!B:C,2,FALSE)</f>
        <v>P</v>
      </c>
      <c r="D396" s="15">
        <v>19</v>
      </c>
      <c r="E396" s="14">
        <f>ROUND(VLOOKUP(C396,'Production Plan'!A:B,2,FALSE),2)</f>
        <v>409.15</v>
      </c>
      <c r="F396" s="16">
        <v>45730</v>
      </c>
      <c r="G396" s="17">
        <f>F396+6*7</f>
        <v>45772</v>
      </c>
      <c r="H396" s="14">
        <f>G396-F396</f>
        <v>42</v>
      </c>
      <c r="I396" s="14">
        <f>ROUND(D396/E396,3)</f>
        <v>4.5999999999999999E-2</v>
      </c>
      <c r="J396" s="14">
        <f>I396*24</f>
        <v>1.1040000000000001</v>
      </c>
      <c r="K396" s="14">
        <f>VLOOKUP($C396,Rotation!$A$2:$J$10,2,FALSE)</f>
        <v>1</v>
      </c>
      <c r="L396" s="14">
        <f>VLOOKUP($C396,Rotation!$A$2:$J$10,3,FALSE)</f>
        <v>1</v>
      </c>
      <c r="M396" s="14">
        <f>VLOOKUP($C396,Rotation!$A$2:$J$10,4,FALSE)</f>
        <v>0</v>
      </c>
      <c r="N396" s="14">
        <f>VLOOKUP($C396,Rotation!$A$2:$J$10,5,FALSE)</f>
        <v>0</v>
      </c>
      <c r="O396" s="14">
        <f>VLOOKUP($C396,Rotation!$A$2:$J$10,6,FALSE)</f>
        <v>0</v>
      </c>
      <c r="P396" s="14">
        <f>VLOOKUP($C396,Rotation!$A$2:$J$10,7,FALSE)</f>
        <v>0</v>
      </c>
      <c r="Q396" s="14">
        <f>VLOOKUP($C396,Rotation!$A$2:$J$10,8,FALSE)</f>
        <v>0</v>
      </c>
      <c r="R396" s="14">
        <f>VLOOKUP($C396,Rotation!$A$2:$J$10,9,FALSE)</f>
        <v>0</v>
      </c>
      <c r="S396" s="14">
        <f>VLOOKUP($C396,Rotation!$A$2:$J$10,10,FALSE)</f>
        <v>0</v>
      </c>
    </row>
    <row r="397" spans="1:19" ht="18">
      <c r="A397" s="14">
        <v>395</v>
      </c>
      <c r="B397" s="14" t="s">
        <v>103</v>
      </c>
      <c r="C397" s="14" t="str">
        <f>VLOOKUP(B397,Family!B:C,2,FALSE)</f>
        <v>H</v>
      </c>
      <c r="D397" s="15">
        <v>195</v>
      </c>
      <c r="E397" s="14">
        <f>ROUND(VLOOKUP(C397,'Production Plan'!A:B,2,FALSE),2)</f>
        <v>402.02</v>
      </c>
      <c r="F397" s="16">
        <v>45741</v>
      </c>
      <c r="G397" s="17">
        <f>F397+6*7</f>
        <v>45783</v>
      </c>
      <c r="H397" s="14">
        <f>G397-F397</f>
        <v>42</v>
      </c>
      <c r="I397" s="14">
        <f>ROUND(D397/E397,3)</f>
        <v>0.48499999999999999</v>
      </c>
      <c r="J397" s="14">
        <f>I397*24</f>
        <v>11.64</v>
      </c>
      <c r="K397" s="14">
        <f>VLOOKUP($C397,Rotation!$A$2:$J$10,2,FALSE)</f>
        <v>0</v>
      </c>
      <c r="L397" s="14">
        <f>VLOOKUP($C397,Rotation!$A$2:$J$10,3,FALSE)</f>
        <v>0</v>
      </c>
      <c r="M397" s="14">
        <f>VLOOKUP($C397,Rotation!$A$2:$J$10,4,FALSE)</f>
        <v>1</v>
      </c>
      <c r="N397" s="14">
        <f>VLOOKUP($C397,Rotation!$A$2:$J$10,5,FALSE)</f>
        <v>1</v>
      </c>
      <c r="O397" s="14">
        <f>VLOOKUP($C397,Rotation!$A$2:$J$10,6,FALSE)</f>
        <v>0</v>
      </c>
      <c r="P397" s="14">
        <f>VLOOKUP($C397,Rotation!$A$2:$J$10,7,FALSE)</f>
        <v>0</v>
      </c>
      <c r="Q397" s="14">
        <f>VLOOKUP($C397,Rotation!$A$2:$J$10,8,FALSE)</f>
        <v>0</v>
      </c>
      <c r="R397" s="14">
        <f>VLOOKUP($C397,Rotation!$A$2:$J$10,9,FALSE)</f>
        <v>0</v>
      </c>
      <c r="S397" s="14">
        <f>VLOOKUP($C397,Rotation!$A$2:$J$10,10,FALSE)</f>
        <v>0</v>
      </c>
    </row>
    <row r="398" spans="1:19" ht="18">
      <c r="A398" s="14">
        <v>396</v>
      </c>
      <c r="B398" s="14" t="s">
        <v>87</v>
      </c>
      <c r="C398" s="14" t="str">
        <f>VLOOKUP(B398,Family!B:C,2,FALSE)</f>
        <v>E</v>
      </c>
      <c r="D398" s="15">
        <v>19.780999999999999</v>
      </c>
      <c r="E398" s="14">
        <f>ROUND(VLOOKUP(C398,'Production Plan'!A:B,2,FALSE),2)</f>
        <v>333.66</v>
      </c>
      <c r="F398" s="16">
        <v>45750</v>
      </c>
      <c r="G398" s="17">
        <f>F398+6*7</f>
        <v>45792</v>
      </c>
      <c r="H398" s="14">
        <f>G398-F398</f>
        <v>42</v>
      </c>
      <c r="I398" s="14">
        <f>ROUND(D398/E398,3)</f>
        <v>5.8999999999999997E-2</v>
      </c>
      <c r="J398" s="14">
        <f>I398*24</f>
        <v>1.4159999999999999</v>
      </c>
      <c r="K398" s="14">
        <f>VLOOKUP($C398,Rotation!$A$2:$J$10,2,FALSE)</f>
        <v>1</v>
      </c>
      <c r="L398" s="14">
        <f>VLOOKUP($C398,Rotation!$A$2:$J$10,3,FALSE)</f>
        <v>0</v>
      </c>
      <c r="M398" s="14">
        <f>VLOOKUP($C398,Rotation!$A$2:$J$10,4,FALSE)</f>
        <v>0</v>
      </c>
      <c r="N398" s="14">
        <f>VLOOKUP($C398,Rotation!$A$2:$J$10,5,FALSE)</f>
        <v>0</v>
      </c>
      <c r="O398" s="14">
        <f>VLOOKUP($C398,Rotation!$A$2:$J$10,6,FALSE)</f>
        <v>0</v>
      </c>
      <c r="P398" s="14">
        <f>VLOOKUP($C398,Rotation!$A$2:$J$10,7,FALSE)</f>
        <v>1</v>
      </c>
      <c r="Q398" s="14">
        <f>VLOOKUP($C398,Rotation!$A$2:$J$10,8,FALSE)</f>
        <v>0</v>
      </c>
      <c r="R398" s="14">
        <f>VLOOKUP($C398,Rotation!$A$2:$J$10,9,FALSE)</f>
        <v>0</v>
      </c>
      <c r="S398" s="14">
        <f>VLOOKUP($C398,Rotation!$A$2:$J$10,10,FALSE)</f>
        <v>0</v>
      </c>
    </row>
    <row r="399" spans="1:19" ht="18">
      <c r="A399" s="14">
        <v>397</v>
      </c>
      <c r="B399" s="14" t="s">
        <v>65</v>
      </c>
      <c r="C399" s="14" t="str">
        <f>VLOOKUP(B399,Family!B:C,2,FALSE)</f>
        <v>A</v>
      </c>
      <c r="D399" s="15">
        <v>19</v>
      </c>
      <c r="E399" s="14">
        <f>ROUND(VLOOKUP(C399,'Production Plan'!A:B,2,FALSE),2)</f>
        <v>407.17</v>
      </c>
      <c r="F399" s="16">
        <v>45755</v>
      </c>
      <c r="G399" s="17">
        <f>F399+6*7</f>
        <v>45797</v>
      </c>
      <c r="H399" s="14">
        <f>G399-F399</f>
        <v>42</v>
      </c>
      <c r="I399" s="14">
        <f>ROUND(D399/E399,3)</f>
        <v>4.7E-2</v>
      </c>
      <c r="J399" s="14">
        <f>I399*24</f>
        <v>1.1280000000000001</v>
      </c>
      <c r="K399" s="14">
        <f>VLOOKUP($C399,Rotation!$A$2:$J$10,2,FALSE)</f>
        <v>1</v>
      </c>
      <c r="L399" s="14">
        <f>VLOOKUP($C399,Rotation!$A$2:$J$10,3,FALSE)</f>
        <v>1</v>
      </c>
      <c r="M399" s="14">
        <f>VLOOKUP($C399,Rotation!$A$2:$J$10,4,FALSE)</f>
        <v>1</v>
      </c>
      <c r="N399" s="14">
        <f>VLOOKUP($C399,Rotation!$A$2:$J$10,5,FALSE)</f>
        <v>0</v>
      </c>
      <c r="O399" s="14">
        <f>VLOOKUP($C399,Rotation!$A$2:$J$10,6,FALSE)</f>
        <v>0</v>
      </c>
      <c r="P399" s="14">
        <f>VLOOKUP($C399,Rotation!$A$2:$J$10,7,FALSE)</f>
        <v>0</v>
      </c>
      <c r="Q399" s="14">
        <f>VLOOKUP($C399,Rotation!$A$2:$J$10,8,FALSE)</f>
        <v>0</v>
      </c>
      <c r="R399" s="14">
        <f>VLOOKUP($C399,Rotation!$A$2:$J$10,9,FALSE)</f>
        <v>0</v>
      </c>
      <c r="S399" s="14">
        <f>VLOOKUP($C399,Rotation!$A$2:$J$10,10,FALSE)</f>
        <v>0</v>
      </c>
    </row>
    <row r="400" spans="1:19" ht="18">
      <c r="A400" s="14">
        <v>398</v>
      </c>
      <c r="B400" s="14" t="s">
        <v>64</v>
      </c>
      <c r="C400" s="14" t="str">
        <f>VLOOKUP(B400,Family!B:C,2,FALSE)</f>
        <v>A</v>
      </c>
      <c r="D400" s="15">
        <v>111</v>
      </c>
      <c r="E400" s="14">
        <f>ROUND(VLOOKUP(C400,'Production Plan'!A:B,2,FALSE),2)</f>
        <v>407.17</v>
      </c>
      <c r="F400" s="16">
        <v>45768</v>
      </c>
      <c r="G400" s="17">
        <f>F400+6*7</f>
        <v>45810</v>
      </c>
      <c r="H400" s="14">
        <f>G400-F400</f>
        <v>42</v>
      </c>
      <c r="I400" s="14">
        <f>ROUND(D400/E400,3)</f>
        <v>0.27300000000000002</v>
      </c>
      <c r="J400" s="14">
        <f>I400*24</f>
        <v>6.5520000000000005</v>
      </c>
      <c r="K400" s="14">
        <f>VLOOKUP($C400,Rotation!$A$2:$J$10,2,FALSE)</f>
        <v>1</v>
      </c>
      <c r="L400" s="14">
        <f>VLOOKUP($C400,Rotation!$A$2:$J$10,3,FALSE)</f>
        <v>1</v>
      </c>
      <c r="M400" s="14">
        <f>VLOOKUP($C400,Rotation!$A$2:$J$10,4,FALSE)</f>
        <v>1</v>
      </c>
      <c r="N400" s="14">
        <f>VLOOKUP($C400,Rotation!$A$2:$J$10,5,FALSE)</f>
        <v>0</v>
      </c>
      <c r="O400" s="14">
        <f>VLOOKUP($C400,Rotation!$A$2:$J$10,6,FALSE)</f>
        <v>0</v>
      </c>
      <c r="P400" s="14">
        <f>VLOOKUP($C400,Rotation!$A$2:$J$10,7,FALSE)</f>
        <v>0</v>
      </c>
      <c r="Q400" s="14">
        <f>VLOOKUP($C400,Rotation!$A$2:$J$10,8,FALSE)</f>
        <v>0</v>
      </c>
      <c r="R400" s="14">
        <f>VLOOKUP($C400,Rotation!$A$2:$J$10,9,FALSE)</f>
        <v>0</v>
      </c>
      <c r="S400" s="14">
        <f>VLOOKUP($C400,Rotation!$A$2:$J$10,10,FALSE)</f>
        <v>0</v>
      </c>
    </row>
    <row r="401" spans="1:19" ht="18">
      <c r="A401" s="14">
        <v>399</v>
      </c>
      <c r="B401" s="14" t="s">
        <v>106</v>
      </c>
      <c r="C401" s="14" t="str">
        <f>VLOOKUP(B401,Family!B:C,2,FALSE)</f>
        <v>P</v>
      </c>
      <c r="D401" s="15">
        <v>19</v>
      </c>
      <c r="E401" s="14">
        <f>ROUND(VLOOKUP(C401,'Production Plan'!A:B,2,FALSE),2)</f>
        <v>409.15</v>
      </c>
      <c r="F401" s="16">
        <v>45701</v>
      </c>
      <c r="G401" s="17">
        <f>F401+6*7</f>
        <v>45743</v>
      </c>
      <c r="H401" s="14">
        <f>G401-F401</f>
        <v>42</v>
      </c>
      <c r="I401" s="14">
        <f>ROUND(D401/E401,3)</f>
        <v>4.5999999999999999E-2</v>
      </c>
      <c r="J401" s="14">
        <f>I401*24</f>
        <v>1.1040000000000001</v>
      </c>
      <c r="K401" s="14">
        <f>VLOOKUP($C401,Rotation!$A$2:$J$10,2,FALSE)</f>
        <v>1</v>
      </c>
      <c r="L401" s="14">
        <f>VLOOKUP($C401,Rotation!$A$2:$J$10,3,FALSE)</f>
        <v>1</v>
      </c>
      <c r="M401" s="14">
        <f>VLOOKUP($C401,Rotation!$A$2:$J$10,4,FALSE)</f>
        <v>0</v>
      </c>
      <c r="N401" s="14">
        <f>VLOOKUP($C401,Rotation!$A$2:$J$10,5,FALSE)</f>
        <v>0</v>
      </c>
      <c r="O401" s="14">
        <f>VLOOKUP($C401,Rotation!$A$2:$J$10,6,FALSE)</f>
        <v>0</v>
      </c>
      <c r="P401" s="14">
        <f>VLOOKUP($C401,Rotation!$A$2:$J$10,7,FALSE)</f>
        <v>0</v>
      </c>
      <c r="Q401" s="14">
        <f>VLOOKUP($C401,Rotation!$A$2:$J$10,8,FALSE)</f>
        <v>0</v>
      </c>
      <c r="R401" s="14">
        <f>VLOOKUP($C401,Rotation!$A$2:$J$10,9,FALSE)</f>
        <v>0</v>
      </c>
      <c r="S401" s="14">
        <f>VLOOKUP($C401,Rotation!$A$2:$J$10,10,FALSE)</f>
        <v>0</v>
      </c>
    </row>
    <row r="402" spans="1:19" ht="18">
      <c r="A402" s="14">
        <v>400</v>
      </c>
      <c r="B402" s="14" t="s">
        <v>106</v>
      </c>
      <c r="C402" s="14" t="str">
        <f>VLOOKUP(B402,Family!B:C,2,FALSE)</f>
        <v>P</v>
      </c>
      <c r="D402" s="15">
        <v>19</v>
      </c>
      <c r="E402" s="14">
        <f>ROUND(VLOOKUP(C402,'Production Plan'!A:B,2,FALSE),2)</f>
        <v>409.15</v>
      </c>
      <c r="F402" s="16">
        <v>45730</v>
      </c>
      <c r="G402" s="17">
        <f>F402+6*7</f>
        <v>45772</v>
      </c>
      <c r="H402" s="14">
        <f>G402-F402</f>
        <v>42</v>
      </c>
      <c r="I402" s="14">
        <f>ROUND(D402/E402,3)</f>
        <v>4.5999999999999999E-2</v>
      </c>
      <c r="J402" s="14">
        <f>I402*24</f>
        <v>1.1040000000000001</v>
      </c>
      <c r="K402" s="14">
        <f>VLOOKUP($C402,Rotation!$A$2:$J$10,2,FALSE)</f>
        <v>1</v>
      </c>
      <c r="L402" s="14">
        <f>VLOOKUP($C402,Rotation!$A$2:$J$10,3,FALSE)</f>
        <v>1</v>
      </c>
      <c r="M402" s="14">
        <f>VLOOKUP($C402,Rotation!$A$2:$J$10,4,FALSE)</f>
        <v>0</v>
      </c>
      <c r="N402" s="14">
        <f>VLOOKUP($C402,Rotation!$A$2:$J$10,5,FALSE)</f>
        <v>0</v>
      </c>
      <c r="O402" s="14">
        <f>VLOOKUP($C402,Rotation!$A$2:$J$10,6,FALSE)</f>
        <v>0</v>
      </c>
      <c r="P402" s="14">
        <f>VLOOKUP($C402,Rotation!$A$2:$J$10,7,FALSE)</f>
        <v>0</v>
      </c>
      <c r="Q402" s="14">
        <f>VLOOKUP($C402,Rotation!$A$2:$J$10,8,FALSE)</f>
        <v>0</v>
      </c>
      <c r="R402" s="14">
        <f>VLOOKUP($C402,Rotation!$A$2:$J$10,9,FALSE)</f>
        <v>0</v>
      </c>
      <c r="S402" s="14">
        <f>VLOOKUP($C402,Rotation!$A$2:$J$10,10,FALSE)</f>
        <v>0</v>
      </c>
    </row>
    <row r="403" spans="1:19" ht="18">
      <c r="A403" s="14">
        <v>401</v>
      </c>
      <c r="B403" s="14" t="s">
        <v>106</v>
      </c>
      <c r="C403" s="14" t="str">
        <f>VLOOKUP(B403,Family!B:C,2,FALSE)</f>
        <v>P</v>
      </c>
      <c r="D403" s="15">
        <v>19</v>
      </c>
      <c r="E403" s="14">
        <f>ROUND(VLOOKUP(C403,'Production Plan'!A:B,2,FALSE),2)</f>
        <v>409.15</v>
      </c>
      <c r="F403" s="16">
        <v>45730</v>
      </c>
      <c r="G403" s="17">
        <f>F403+6*7</f>
        <v>45772</v>
      </c>
      <c r="H403" s="14">
        <f>G403-F403</f>
        <v>42</v>
      </c>
      <c r="I403" s="14">
        <f>ROUND(D403/E403,3)</f>
        <v>4.5999999999999999E-2</v>
      </c>
      <c r="J403" s="14">
        <f>I403*24</f>
        <v>1.1040000000000001</v>
      </c>
      <c r="K403" s="14">
        <f>VLOOKUP($C403,Rotation!$A$2:$J$10,2,FALSE)</f>
        <v>1</v>
      </c>
      <c r="L403" s="14">
        <f>VLOOKUP($C403,Rotation!$A$2:$J$10,3,FALSE)</f>
        <v>1</v>
      </c>
      <c r="M403" s="14">
        <f>VLOOKUP($C403,Rotation!$A$2:$J$10,4,FALSE)</f>
        <v>0</v>
      </c>
      <c r="N403" s="14">
        <f>VLOOKUP($C403,Rotation!$A$2:$J$10,5,FALSE)</f>
        <v>0</v>
      </c>
      <c r="O403" s="14">
        <f>VLOOKUP($C403,Rotation!$A$2:$J$10,6,FALSE)</f>
        <v>0</v>
      </c>
      <c r="P403" s="14">
        <f>VLOOKUP($C403,Rotation!$A$2:$J$10,7,FALSE)</f>
        <v>0</v>
      </c>
      <c r="Q403" s="14">
        <f>VLOOKUP($C403,Rotation!$A$2:$J$10,8,FALSE)</f>
        <v>0</v>
      </c>
      <c r="R403" s="14">
        <f>VLOOKUP($C403,Rotation!$A$2:$J$10,9,FALSE)</f>
        <v>0</v>
      </c>
      <c r="S403" s="14">
        <f>VLOOKUP($C403,Rotation!$A$2:$J$10,10,FALSE)</f>
        <v>0</v>
      </c>
    </row>
    <row r="404" spans="1:19" ht="18">
      <c r="A404" s="14">
        <v>402</v>
      </c>
      <c r="B404" s="14" t="s">
        <v>65</v>
      </c>
      <c r="C404" s="14" t="str">
        <f>VLOOKUP(B404,Family!B:C,2,FALSE)</f>
        <v>A</v>
      </c>
      <c r="D404" s="15">
        <v>19</v>
      </c>
      <c r="E404" s="14">
        <f>ROUND(VLOOKUP(C404,'Production Plan'!A:B,2,FALSE),2)</f>
        <v>407.17</v>
      </c>
      <c r="F404" s="16">
        <v>45755</v>
      </c>
      <c r="G404" s="17">
        <f>F404+6*7</f>
        <v>45797</v>
      </c>
      <c r="H404" s="14">
        <f>G404-F404</f>
        <v>42</v>
      </c>
      <c r="I404" s="14">
        <f>ROUND(D404/E404,3)</f>
        <v>4.7E-2</v>
      </c>
      <c r="J404" s="14">
        <f>I404*24</f>
        <v>1.1280000000000001</v>
      </c>
      <c r="K404" s="14">
        <f>VLOOKUP($C404,Rotation!$A$2:$J$10,2,FALSE)</f>
        <v>1</v>
      </c>
      <c r="L404" s="14">
        <f>VLOOKUP($C404,Rotation!$A$2:$J$10,3,FALSE)</f>
        <v>1</v>
      </c>
      <c r="M404" s="14">
        <f>VLOOKUP($C404,Rotation!$A$2:$J$10,4,FALSE)</f>
        <v>1</v>
      </c>
      <c r="N404" s="14">
        <f>VLOOKUP($C404,Rotation!$A$2:$J$10,5,FALSE)</f>
        <v>0</v>
      </c>
      <c r="O404" s="14">
        <f>VLOOKUP($C404,Rotation!$A$2:$J$10,6,FALSE)</f>
        <v>0</v>
      </c>
      <c r="P404" s="14">
        <f>VLOOKUP($C404,Rotation!$A$2:$J$10,7,FALSE)</f>
        <v>0</v>
      </c>
      <c r="Q404" s="14">
        <f>VLOOKUP($C404,Rotation!$A$2:$J$10,8,FALSE)</f>
        <v>0</v>
      </c>
      <c r="R404" s="14">
        <f>VLOOKUP($C404,Rotation!$A$2:$J$10,9,FALSE)</f>
        <v>0</v>
      </c>
      <c r="S404" s="14">
        <f>VLOOKUP($C404,Rotation!$A$2:$J$10,10,FALSE)</f>
        <v>0</v>
      </c>
    </row>
    <row r="405" spans="1:19" ht="18">
      <c r="A405" s="14">
        <v>403</v>
      </c>
      <c r="B405" s="14" t="s">
        <v>65</v>
      </c>
      <c r="C405" s="14" t="str">
        <f>VLOOKUP(B405,Family!B:C,2,FALSE)</f>
        <v>A</v>
      </c>
      <c r="D405" s="15">
        <v>19</v>
      </c>
      <c r="E405" s="14">
        <f>ROUND(VLOOKUP(C405,'Production Plan'!A:B,2,FALSE),2)</f>
        <v>407.17</v>
      </c>
      <c r="F405" s="16">
        <v>45755</v>
      </c>
      <c r="G405" s="17">
        <f>F405+6*7</f>
        <v>45797</v>
      </c>
      <c r="H405" s="14">
        <f>G405-F405</f>
        <v>42</v>
      </c>
      <c r="I405" s="14">
        <f>ROUND(D405/E405,3)</f>
        <v>4.7E-2</v>
      </c>
      <c r="J405" s="14">
        <f>I405*24</f>
        <v>1.1280000000000001</v>
      </c>
      <c r="K405" s="14">
        <f>VLOOKUP($C405,Rotation!$A$2:$J$10,2,FALSE)</f>
        <v>1</v>
      </c>
      <c r="L405" s="14">
        <f>VLOOKUP($C405,Rotation!$A$2:$J$10,3,FALSE)</f>
        <v>1</v>
      </c>
      <c r="M405" s="14">
        <f>VLOOKUP($C405,Rotation!$A$2:$J$10,4,FALSE)</f>
        <v>1</v>
      </c>
      <c r="N405" s="14">
        <f>VLOOKUP($C405,Rotation!$A$2:$J$10,5,FALSE)</f>
        <v>0</v>
      </c>
      <c r="O405" s="14">
        <f>VLOOKUP($C405,Rotation!$A$2:$J$10,6,FALSE)</f>
        <v>0</v>
      </c>
      <c r="P405" s="14">
        <f>VLOOKUP($C405,Rotation!$A$2:$J$10,7,FALSE)</f>
        <v>0</v>
      </c>
      <c r="Q405" s="14">
        <f>VLOOKUP($C405,Rotation!$A$2:$J$10,8,FALSE)</f>
        <v>0</v>
      </c>
      <c r="R405" s="14">
        <f>VLOOKUP($C405,Rotation!$A$2:$J$10,9,FALSE)</f>
        <v>0</v>
      </c>
      <c r="S405" s="14">
        <f>VLOOKUP($C405,Rotation!$A$2:$J$10,10,FALSE)</f>
        <v>0</v>
      </c>
    </row>
    <row r="406" spans="1:19" ht="18">
      <c r="A406" s="14">
        <v>404</v>
      </c>
      <c r="B406" s="14" t="s">
        <v>64</v>
      </c>
      <c r="C406" s="14" t="str">
        <f>VLOOKUP(B406,Family!B:C,2,FALSE)</f>
        <v>A</v>
      </c>
      <c r="D406" s="15">
        <v>111</v>
      </c>
      <c r="E406" s="14">
        <f>ROUND(VLOOKUP(C406,'Production Plan'!A:B,2,FALSE),2)</f>
        <v>407.17</v>
      </c>
      <c r="F406" s="16">
        <v>45763</v>
      </c>
      <c r="G406" s="17">
        <f>F406+6*7</f>
        <v>45805</v>
      </c>
      <c r="H406" s="14">
        <f>G406-F406</f>
        <v>42</v>
      </c>
      <c r="I406" s="14">
        <f>ROUND(D406/E406,3)</f>
        <v>0.27300000000000002</v>
      </c>
      <c r="J406" s="14">
        <f>I406*24</f>
        <v>6.5520000000000005</v>
      </c>
      <c r="K406" s="14">
        <f>VLOOKUP($C406,Rotation!$A$2:$J$10,2,FALSE)</f>
        <v>1</v>
      </c>
      <c r="L406" s="14">
        <f>VLOOKUP($C406,Rotation!$A$2:$J$10,3,FALSE)</f>
        <v>1</v>
      </c>
      <c r="M406" s="14">
        <f>VLOOKUP($C406,Rotation!$A$2:$J$10,4,FALSE)</f>
        <v>1</v>
      </c>
      <c r="N406" s="14">
        <f>VLOOKUP($C406,Rotation!$A$2:$J$10,5,FALSE)</f>
        <v>0</v>
      </c>
      <c r="O406" s="14">
        <f>VLOOKUP($C406,Rotation!$A$2:$J$10,6,FALSE)</f>
        <v>0</v>
      </c>
      <c r="P406" s="14">
        <f>VLOOKUP($C406,Rotation!$A$2:$J$10,7,FALSE)</f>
        <v>0</v>
      </c>
      <c r="Q406" s="14">
        <f>VLOOKUP($C406,Rotation!$A$2:$J$10,8,FALSE)</f>
        <v>0</v>
      </c>
      <c r="R406" s="14">
        <f>VLOOKUP($C406,Rotation!$A$2:$J$10,9,FALSE)</f>
        <v>0</v>
      </c>
      <c r="S406" s="14">
        <f>VLOOKUP($C406,Rotation!$A$2:$J$10,10,FALSE)</f>
        <v>0</v>
      </c>
    </row>
    <row r="407" spans="1:19" ht="18">
      <c r="A407" s="14">
        <v>405</v>
      </c>
      <c r="B407" s="14" t="s">
        <v>106</v>
      </c>
      <c r="C407" s="14" t="str">
        <f>VLOOKUP(B407,Family!B:C,2,FALSE)</f>
        <v>P</v>
      </c>
      <c r="D407" s="15">
        <v>19</v>
      </c>
      <c r="E407" s="14">
        <f>ROUND(VLOOKUP(C407,'Production Plan'!A:B,2,FALSE),2)</f>
        <v>409.15</v>
      </c>
      <c r="F407" s="16">
        <v>45730</v>
      </c>
      <c r="G407" s="17">
        <f>F407+6*7</f>
        <v>45772</v>
      </c>
      <c r="H407" s="14">
        <f>G407-F407</f>
        <v>42</v>
      </c>
      <c r="I407" s="14">
        <f>ROUND(D407/E407,3)</f>
        <v>4.5999999999999999E-2</v>
      </c>
      <c r="J407" s="14">
        <f>I407*24</f>
        <v>1.1040000000000001</v>
      </c>
      <c r="K407" s="14">
        <f>VLOOKUP($C407,Rotation!$A$2:$J$10,2,FALSE)</f>
        <v>1</v>
      </c>
      <c r="L407" s="14">
        <f>VLOOKUP($C407,Rotation!$A$2:$J$10,3,FALSE)</f>
        <v>1</v>
      </c>
      <c r="M407" s="14">
        <f>VLOOKUP($C407,Rotation!$A$2:$J$10,4,FALSE)</f>
        <v>0</v>
      </c>
      <c r="N407" s="14">
        <f>VLOOKUP($C407,Rotation!$A$2:$J$10,5,FALSE)</f>
        <v>0</v>
      </c>
      <c r="O407" s="14">
        <f>VLOOKUP($C407,Rotation!$A$2:$J$10,6,FALSE)</f>
        <v>0</v>
      </c>
      <c r="P407" s="14">
        <f>VLOOKUP($C407,Rotation!$A$2:$J$10,7,FALSE)</f>
        <v>0</v>
      </c>
      <c r="Q407" s="14">
        <f>VLOOKUP($C407,Rotation!$A$2:$J$10,8,FALSE)</f>
        <v>0</v>
      </c>
      <c r="R407" s="14">
        <f>VLOOKUP($C407,Rotation!$A$2:$J$10,9,FALSE)</f>
        <v>0</v>
      </c>
      <c r="S407" s="14">
        <f>VLOOKUP($C407,Rotation!$A$2:$J$10,10,FALSE)</f>
        <v>0</v>
      </c>
    </row>
    <row r="408" spans="1:19" ht="18">
      <c r="A408" s="14">
        <v>406</v>
      </c>
      <c r="B408" s="14" t="s">
        <v>106</v>
      </c>
      <c r="C408" s="14" t="str">
        <f>VLOOKUP(B408,Family!B:C,2,FALSE)</f>
        <v>P</v>
      </c>
      <c r="D408" s="15">
        <v>19</v>
      </c>
      <c r="E408" s="14">
        <f>ROUND(VLOOKUP(C408,'Production Plan'!A:B,2,FALSE),2)</f>
        <v>409.15</v>
      </c>
      <c r="F408" s="16">
        <v>45730</v>
      </c>
      <c r="G408" s="17">
        <f>F408+6*7</f>
        <v>45772</v>
      </c>
      <c r="H408" s="14">
        <f>G408-F408</f>
        <v>42</v>
      </c>
      <c r="I408" s="14">
        <f>ROUND(D408/E408,3)</f>
        <v>4.5999999999999999E-2</v>
      </c>
      <c r="J408" s="14">
        <f>I408*24</f>
        <v>1.1040000000000001</v>
      </c>
      <c r="K408" s="14">
        <f>VLOOKUP($C408,Rotation!$A$2:$J$10,2,FALSE)</f>
        <v>1</v>
      </c>
      <c r="L408" s="14">
        <f>VLOOKUP($C408,Rotation!$A$2:$J$10,3,FALSE)</f>
        <v>1</v>
      </c>
      <c r="M408" s="14">
        <f>VLOOKUP($C408,Rotation!$A$2:$J$10,4,FALSE)</f>
        <v>0</v>
      </c>
      <c r="N408" s="14">
        <f>VLOOKUP($C408,Rotation!$A$2:$J$10,5,FALSE)</f>
        <v>0</v>
      </c>
      <c r="O408" s="14">
        <f>VLOOKUP($C408,Rotation!$A$2:$J$10,6,FALSE)</f>
        <v>0</v>
      </c>
      <c r="P408" s="14">
        <f>VLOOKUP($C408,Rotation!$A$2:$J$10,7,FALSE)</f>
        <v>0</v>
      </c>
      <c r="Q408" s="14">
        <f>VLOOKUP($C408,Rotation!$A$2:$J$10,8,FALSE)</f>
        <v>0</v>
      </c>
      <c r="R408" s="14">
        <f>VLOOKUP($C408,Rotation!$A$2:$J$10,9,FALSE)</f>
        <v>0</v>
      </c>
      <c r="S408" s="14">
        <f>VLOOKUP($C408,Rotation!$A$2:$J$10,10,FALSE)</f>
        <v>0</v>
      </c>
    </row>
    <row r="409" spans="1:19" ht="18">
      <c r="A409" s="14">
        <v>407</v>
      </c>
      <c r="B409" s="14" t="s">
        <v>65</v>
      </c>
      <c r="C409" s="14" t="str">
        <f>VLOOKUP(B409,Family!B:C,2,FALSE)</f>
        <v>A</v>
      </c>
      <c r="D409" s="15">
        <v>19</v>
      </c>
      <c r="E409" s="14">
        <f>ROUND(VLOOKUP(C409,'Production Plan'!A:B,2,FALSE),2)</f>
        <v>407.17</v>
      </c>
      <c r="F409" s="16">
        <v>45755</v>
      </c>
      <c r="G409" s="17">
        <f>F409+6*7</f>
        <v>45797</v>
      </c>
      <c r="H409" s="14">
        <f>G409-F409</f>
        <v>42</v>
      </c>
      <c r="I409" s="14">
        <f>ROUND(D409/E409,3)</f>
        <v>4.7E-2</v>
      </c>
      <c r="J409" s="14">
        <f>I409*24</f>
        <v>1.1280000000000001</v>
      </c>
      <c r="K409" s="14">
        <f>VLOOKUP($C409,Rotation!$A$2:$J$10,2,FALSE)</f>
        <v>1</v>
      </c>
      <c r="L409" s="14">
        <f>VLOOKUP($C409,Rotation!$A$2:$J$10,3,FALSE)</f>
        <v>1</v>
      </c>
      <c r="M409" s="14">
        <f>VLOOKUP($C409,Rotation!$A$2:$J$10,4,FALSE)</f>
        <v>1</v>
      </c>
      <c r="N409" s="14">
        <f>VLOOKUP($C409,Rotation!$A$2:$J$10,5,FALSE)</f>
        <v>0</v>
      </c>
      <c r="O409" s="14">
        <f>VLOOKUP($C409,Rotation!$A$2:$J$10,6,FALSE)</f>
        <v>0</v>
      </c>
      <c r="P409" s="14">
        <f>VLOOKUP($C409,Rotation!$A$2:$J$10,7,FALSE)</f>
        <v>0</v>
      </c>
      <c r="Q409" s="14">
        <f>VLOOKUP($C409,Rotation!$A$2:$J$10,8,FALSE)</f>
        <v>0</v>
      </c>
      <c r="R409" s="14">
        <f>VLOOKUP($C409,Rotation!$A$2:$J$10,9,FALSE)</f>
        <v>0</v>
      </c>
      <c r="S409" s="14">
        <f>VLOOKUP($C409,Rotation!$A$2:$J$10,10,FALSE)</f>
        <v>0</v>
      </c>
    </row>
    <row r="410" spans="1:19" ht="18">
      <c r="A410" s="14">
        <v>408</v>
      </c>
      <c r="B410" s="14" t="s">
        <v>64</v>
      </c>
      <c r="C410" s="14" t="str">
        <f>VLOOKUP(B410,Family!B:C,2,FALSE)</f>
        <v>A</v>
      </c>
      <c r="D410" s="15">
        <v>111</v>
      </c>
      <c r="E410" s="14">
        <f>ROUND(VLOOKUP(C410,'Production Plan'!A:B,2,FALSE),2)</f>
        <v>407.17</v>
      </c>
      <c r="F410" s="16">
        <v>45763</v>
      </c>
      <c r="G410" s="17">
        <f>F410+6*7</f>
        <v>45805</v>
      </c>
      <c r="H410" s="14">
        <f>G410-F410</f>
        <v>42</v>
      </c>
      <c r="I410" s="14">
        <f>ROUND(D410/E410,3)</f>
        <v>0.27300000000000002</v>
      </c>
      <c r="J410" s="14">
        <f>I410*24</f>
        <v>6.5520000000000005</v>
      </c>
      <c r="K410" s="14">
        <f>VLOOKUP($C410,Rotation!$A$2:$J$10,2,FALSE)</f>
        <v>1</v>
      </c>
      <c r="L410" s="14">
        <f>VLOOKUP($C410,Rotation!$A$2:$J$10,3,FALSE)</f>
        <v>1</v>
      </c>
      <c r="M410" s="14">
        <f>VLOOKUP($C410,Rotation!$A$2:$J$10,4,FALSE)</f>
        <v>1</v>
      </c>
      <c r="N410" s="14">
        <f>VLOOKUP($C410,Rotation!$A$2:$J$10,5,FALSE)</f>
        <v>0</v>
      </c>
      <c r="O410" s="14">
        <f>VLOOKUP($C410,Rotation!$A$2:$J$10,6,FALSE)</f>
        <v>0</v>
      </c>
      <c r="P410" s="14">
        <f>VLOOKUP($C410,Rotation!$A$2:$J$10,7,FALSE)</f>
        <v>0</v>
      </c>
      <c r="Q410" s="14">
        <f>VLOOKUP($C410,Rotation!$A$2:$J$10,8,FALSE)</f>
        <v>0</v>
      </c>
      <c r="R410" s="14">
        <f>VLOOKUP($C410,Rotation!$A$2:$J$10,9,FALSE)</f>
        <v>0</v>
      </c>
      <c r="S410" s="14">
        <f>VLOOKUP($C410,Rotation!$A$2:$J$10,10,FALSE)</f>
        <v>0</v>
      </c>
    </row>
    <row r="411" spans="1:19" ht="18">
      <c r="A411" s="14">
        <v>409</v>
      </c>
      <c r="B411" s="14" t="s">
        <v>94</v>
      </c>
      <c r="C411" s="14" t="str">
        <f>VLOOKUP(B411,Family!B:C,2,FALSE)</f>
        <v>H</v>
      </c>
      <c r="D411" s="15">
        <v>99</v>
      </c>
      <c r="E411" s="14">
        <f>ROUND(VLOOKUP(C411,'Production Plan'!A:B,2,FALSE),2)</f>
        <v>402.02</v>
      </c>
      <c r="F411" s="16">
        <v>45677</v>
      </c>
      <c r="G411" s="17">
        <f>F411+6*7</f>
        <v>45719</v>
      </c>
      <c r="H411" s="14">
        <f>G411-F411</f>
        <v>42</v>
      </c>
      <c r="I411" s="14">
        <f>ROUND(D411/E411,3)</f>
        <v>0.246</v>
      </c>
      <c r="J411" s="14">
        <f>I411*24</f>
        <v>5.9039999999999999</v>
      </c>
      <c r="K411" s="14">
        <f>VLOOKUP($C411,Rotation!$A$2:$J$10,2,FALSE)</f>
        <v>0</v>
      </c>
      <c r="L411" s="14">
        <f>VLOOKUP($C411,Rotation!$A$2:$J$10,3,FALSE)</f>
        <v>0</v>
      </c>
      <c r="M411" s="14">
        <f>VLOOKUP($C411,Rotation!$A$2:$J$10,4,FALSE)</f>
        <v>1</v>
      </c>
      <c r="N411" s="14">
        <f>VLOOKUP($C411,Rotation!$A$2:$J$10,5,FALSE)</f>
        <v>1</v>
      </c>
      <c r="O411" s="14">
        <f>VLOOKUP($C411,Rotation!$A$2:$J$10,6,FALSE)</f>
        <v>0</v>
      </c>
      <c r="P411" s="14">
        <f>VLOOKUP($C411,Rotation!$A$2:$J$10,7,FALSE)</f>
        <v>0</v>
      </c>
      <c r="Q411" s="14">
        <f>VLOOKUP($C411,Rotation!$A$2:$J$10,8,FALSE)</f>
        <v>0</v>
      </c>
      <c r="R411" s="14">
        <f>VLOOKUP($C411,Rotation!$A$2:$J$10,9,FALSE)</f>
        <v>0</v>
      </c>
      <c r="S411" s="14">
        <f>VLOOKUP($C411,Rotation!$A$2:$J$10,10,FALSE)</f>
        <v>0</v>
      </c>
    </row>
    <row r="412" spans="1:19" ht="18">
      <c r="A412" s="14">
        <v>410</v>
      </c>
      <c r="B412" s="14" t="s">
        <v>86</v>
      </c>
      <c r="C412" s="14" t="str">
        <f>VLOOKUP(B412,Family!B:C,2,FALSE)</f>
        <v>E</v>
      </c>
      <c r="D412" s="15">
        <v>63</v>
      </c>
      <c r="E412" s="14">
        <f>ROUND(VLOOKUP(C412,'Production Plan'!A:B,2,FALSE),2)</f>
        <v>333.66</v>
      </c>
      <c r="F412" s="16">
        <v>45700</v>
      </c>
      <c r="G412" s="17">
        <f>F412+6*7</f>
        <v>45742</v>
      </c>
      <c r="H412" s="14">
        <f>G412-F412</f>
        <v>42</v>
      </c>
      <c r="I412" s="14">
        <f>ROUND(D412/E412,3)</f>
        <v>0.189</v>
      </c>
      <c r="J412" s="14">
        <f>I412*24</f>
        <v>4.5359999999999996</v>
      </c>
      <c r="K412" s="14">
        <f>VLOOKUP($C412,Rotation!$A$2:$J$10,2,FALSE)</f>
        <v>1</v>
      </c>
      <c r="L412" s="14">
        <f>VLOOKUP($C412,Rotation!$A$2:$J$10,3,FALSE)</f>
        <v>0</v>
      </c>
      <c r="M412" s="14">
        <f>VLOOKUP($C412,Rotation!$A$2:$J$10,4,FALSE)</f>
        <v>0</v>
      </c>
      <c r="N412" s="14">
        <f>VLOOKUP($C412,Rotation!$A$2:$J$10,5,FALSE)</f>
        <v>0</v>
      </c>
      <c r="O412" s="14">
        <f>VLOOKUP($C412,Rotation!$A$2:$J$10,6,FALSE)</f>
        <v>0</v>
      </c>
      <c r="P412" s="14">
        <f>VLOOKUP($C412,Rotation!$A$2:$J$10,7,FALSE)</f>
        <v>1</v>
      </c>
      <c r="Q412" s="14">
        <f>VLOOKUP($C412,Rotation!$A$2:$J$10,8,FALSE)</f>
        <v>0</v>
      </c>
      <c r="R412" s="14">
        <f>VLOOKUP($C412,Rotation!$A$2:$J$10,9,FALSE)</f>
        <v>0</v>
      </c>
      <c r="S412" s="14">
        <f>VLOOKUP($C412,Rotation!$A$2:$J$10,10,FALSE)</f>
        <v>0</v>
      </c>
    </row>
    <row r="413" spans="1:19" ht="18">
      <c r="A413" s="14">
        <v>411</v>
      </c>
      <c r="B413" s="14" t="s">
        <v>81</v>
      </c>
      <c r="C413" s="14" t="str">
        <f>VLOOKUP(B413,Family!B:C,2,FALSE)</f>
        <v>C</v>
      </c>
      <c r="D413" s="15">
        <v>98</v>
      </c>
      <c r="E413" s="14">
        <f>ROUND(VLOOKUP(C413,'Production Plan'!A:B,2,FALSE),2)</f>
        <v>411.11</v>
      </c>
      <c r="F413" s="16">
        <v>45679</v>
      </c>
      <c r="G413" s="17">
        <f>F413+6*7</f>
        <v>45721</v>
      </c>
      <c r="H413" s="14">
        <f>G413-F413</f>
        <v>42</v>
      </c>
      <c r="I413" s="14">
        <f>ROUND(D413/E413,3)</f>
        <v>0.23799999999999999</v>
      </c>
      <c r="J413" s="14">
        <f>I413*24</f>
        <v>5.7119999999999997</v>
      </c>
      <c r="K413" s="14">
        <f>VLOOKUP($C413,Rotation!$A$2:$J$10,2,FALSE)</f>
        <v>1</v>
      </c>
      <c r="L413" s="14">
        <f>VLOOKUP($C413,Rotation!$A$2:$J$10,3,FALSE)</f>
        <v>0</v>
      </c>
      <c r="M413" s="14">
        <f>VLOOKUP($C413,Rotation!$A$2:$J$10,4,FALSE)</f>
        <v>0</v>
      </c>
      <c r="N413" s="14">
        <f>VLOOKUP($C413,Rotation!$A$2:$J$10,5,FALSE)</f>
        <v>0</v>
      </c>
      <c r="O413" s="14">
        <f>VLOOKUP($C413,Rotation!$A$2:$J$10,6,FALSE)</f>
        <v>1</v>
      </c>
      <c r="P413" s="14">
        <f>VLOOKUP($C413,Rotation!$A$2:$J$10,7,FALSE)</f>
        <v>0</v>
      </c>
      <c r="Q413" s="14">
        <f>VLOOKUP($C413,Rotation!$A$2:$J$10,8,FALSE)</f>
        <v>0</v>
      </c>
      <c r="R413" s="14">
        <f>VLOOKUP($C413,Rotation!$A$2:$J$10,9,FALSE)</f>
        <v>0</v>
      </c>
      <c r="S413" s="14">
        <f>VLOOKUP($C413,Rotation!$A$2:$J$10,10,FALSE)</f>
        <v>0</v>
      </c>
    </row>
    <row r="414" spans="1:19" ht="18">
      <c r="A414" s="14">
        <v>412</v>
      </c>
      <c r="B414" s="14" t="s">
        <v>80</v>
      </c>
      <c r="C414" s="14" t="str">
        <f>VLOOKUP(B414,Family!B:C,2,FALSE)</f>
        <v>C</v>
      </c>
      <c r="D414" s="15">
        <v>19</v>
      </c>
      <c r="E414" s="14">
        <f>ROUND(VLOOKUP(C414,'Production Plan'!A:B,2,FALSE),2)</f>
        <v>411.11</v>
      </c>
      <c r="F414" s="16">
        <v>45722</v>
      </c>
      <c r="G414" s="17">
        <f>F414+6*7</f>
        <v>45764</v>
      </c>
      <c r="H414" s="14">
        <f>G414-F414</f>
        <v>42</v>
      </c>
      <c r="I414" s="14">
        <f>ROUND(D414/E414,3)</f>
        <v>4.5999999999999999E-2</v>
      </c>
      <c r="J414" s="14">
        <f>I414*24</f>
        <v>1.1040000000000001</v>
      </c>
      <c r="K414" s="14">
        <f>VLOOKUP($C414,Rotation!$A$2:$J$10,2,FALSE)</f>
        <v>1</v>
      </c>
      <c r="L414" s="14">
        <f>VLOOKUP($C414,Rotation!$A$2:$J$10,3,FALSE)</f>
        <v>0</v>
      </c>
      <c r="M414" s="14">
        <f>VLOOKUP($C414,Rotation!$A$2:$J$10,4,FALSE)</f>
        <v>0</v>
      </c>
      <c r="N414" s="14">
        <f>VLOOKUP($C414,Rotation!$A$2:$J$10,5,FALSE)</f>
        <v>0</v>
      </c>
      <c r="O414" s="14">
        <f>VLOOKUP($C414,Rotation!$A$2:$J$10,6,FALSE)</f>
        <v>1</v>
      </c>
      <c r="P414" s="14">
        <f>VLOOKUP($C414,Rotation!$A$2:$J$10,7,FALSE)</f>
        <v>0</v>
      </c>
      <c r="Q414" s="14">
        <f>VLOOKUP($C414,Rotation!$A$2:$J$10,8,FALSE)</f>
        <v>0</v>
      </c>
      <c r="R414" s="14">
        <f>VLOOKUP($C414,Rotation!$A$2:$J$10,9,FALSE)</f>
        <v>0</v>
      </c>
      <c r="S414" s="14">
        <f>VLOOKUP($C414,Rotation!$A$2:$J$10,10,FALSE)</f>
        <v>0</v>
      </c>
    </row>
    <row r="415" spans="1:19" ht="18">
      <c r="A415" s="14">
        <v>413</v>
      </c>
      <c r="B415" s="14" t="s">
        <v>82</v>
      </c>
      <c r="C415" s="14" t="str">
        <f>VLOOKUP(B415,Family!B:C,2,FALSE)</f>
        <v>C</v>
      </c>
      <c r="D415" s="15">
        <v>19</v>
      </c>
      <c r="E415" s="14">
        <f>ROUND(VLOOKUP(C415,'Production Plan'!A:B,2,FALSE),2)</f>
        <v>411.11</v>
      </c>
      <c r="F415" s="16">
        <v>45722</v>
      </c>
      <c r="G415" s="17">
        <f>F415+6*7</f>
        <v>45764</v>
      </c>
      <c r="H415" s="14">
        <f>G415-F415</f>
        <v>42</v>
      </c>
      <c r="I415" s="14">
        <f>ROUND(D415/E415,3)</f>
        <v>4.5999999999999999E-2</v>
      </c>
      <c r="J415" s="14">
        <f>I415*24</f>
        <v>1.1040000000000001</v>
      </c>
      <c r="K415" s="14">
        <f>VLOOKUP($C415,Rotation!$A$2:$J$10,2,FALSE)</f>
        <v>1</v>
      </c>
      <c r="L415" s="14">
        <f>VLOOKUP($C415,Rotation!$A$2:$J$10,3,FALSE)</f>
        <v>0</v>
      </c>
      <c r="M415" s="14">
        <f>VLOOKUP($C415,Rotation!$A$2:$J$10,4,FALSE)</f>
        <v>0</v>
      </c>
      <c r="N415" s="14">
        <f>VLOOKUP($C415,Rotation!$A$2:$J$10,5,FALSE)</f>
        <v>0</v>
      </c>
      <c r="O415" s="14">
        <f>VLOOKUP($C415,Rotation!$A$2:$J$10,6,FALSE)</f>
        <v>1</v>
      </c>
      <c r="P415" s="14">
        <f>VLOOKUP($C415,Rotation!$A$2:$J$10,7,FALSE)</f>
        <v>0</v>
      </c>
      <c r="Q415" s="14">
        <f>VLOOKUP($C415,Rotation!$A$2:$J$10,8,FALSE)</f>
        <v>0</v>
      </c>
      <c r="R415" s="14">
        <f>VLOOKUP($C415,Rotation!$A$2:$J$10,9,FALSE)</f>
        <v>0</v>
      </c>
      <c r="S415" s="14">
        <f>VLOOKUP($C415,Rotation!$A$2:$J$10,10,FALSE)</f>
        <v>0</v>
      </c>
    </row>
    <row r="416" spans="1:19" ht="18">
      <c r="A416" s="14">
        <v>414</v>
      </c>
      <c r="B416" s="14" t="s">
        <v>99</v>
      </c>
      <c r="C416" s="14" t="str">
        <f>VLOOKUP(B416,Family!B:C,2,FALSE)</f>
        <v>N</v>
      </c>
      <c r="D416" s="15">
        <v>190</v>
      </c>
      <c r="E416" s="14">
        <f>ROUND(VLOOKUP(C416,'Production Plan'!A:B,2,FALSE),2)</f>
        <v>334.18</v>
      </c>
      <c r="F416" s="16">
        <v>45727</v>
      </c>
      <c r="G416" s="17">
        <f>F416+6*7</f>
        <v>45769</v>
      </c>
      <c r="H416" s="14">
        <f>G416-F416</f>
        <v>42</v>
      </c>
      <c r="I416" s="14">
        <f>ROUND(D416/E416,3)</f>
        <v>0.56899999999999995</v>
      </c>
      <c r="J416" s="14">
        <f>I416*24</f>
        <v>13.655999999999999</v>
      </c>
      <c r="K416" s="14">
        <f>VLOOKUP($C416,Rotation!$A$2:$J$10,2,FALSE)</f>
        <v>1</v>
      </c>
      <c r="L416" s="14">
        <f>VLOOKUP($C416,Rotation!$A$2:$J$10,3,FALSE)</f>
        <v>0</v>
      </c>
      <c r="M416" s="14">
        <f>VLOOKUP($C416,Rotation!$A$2:$J$10,4,FALSE)</f>
        <v>0</v>
      </c>
      <c r="N416" s="14">
        <f>VLOOKUP($C416,Rotation!$A$2:$J$10,5,FALSE)</f>
        <v>0</v>
      </c>
      <c r="O416" s="14">
        <f>VLOOKUP($C416,Rotation!$A$2:$J$10,6,FALSE)</f>
        <v>0</v>
      </c>
      <c r="P416" s="14">
        <f>VLOOKUP($C416,Rotation!$A$2:$J$10,7,FALSE)</f>
        <v>0</v>
      </c>
      <c r="Q416" s="14">
        <f>VLOOKUP($C416,Rotation!$A$2:$J$10,8,FALSE)</f>
        <v>1</v>
      </c>
      <c r="R416" s="14">
        <f>VLOOKUP($C416,Rotation!$A$2:$J$10,9,FALSE)</f>
        <v>0</v>
      </c>
      <c r="S416" s="14">
        <f>VLOOKUP($C416,Rotation!$A$2:$J$10,10,FALSE)</f>
        <v>0</v>
      </c>
    </row>
    <row r="417" spans="1:19" ht="18">
      <c r="A417" s="14">
        <v>415</v>
      </c>
      <c r="B417" s="14" t="s">
        <v>78</v>
      </c>
      <c r="C417" s="14" t="str">
        <f>VLOOKUP(B417,Family!B:C,2,FALSE)</f>
        <v>C</v>
      </c>
      <c r="D417" s="15">
        <v>92</v>
      </c>
      <c r="E417" s="14">
        <f>ROUND(VLOOKUP(C417,'Production Plan'!A:B,2,FALSE),2)</f>
        <v>411.11</v>
      </c>
      <c r="F417" s="16">
        <v>45723</v>
      </c>
      <c r="G417" s="17">
        <f>F417+6*7</f>
        <v>45765</v>
      </c>
      <c r="H417" s="14">
        <f>G417-F417</f>
        <v>42</v>
      </c>
      <c r="I417" s="14">
        <f>ROUND(D417/E417,3)</f>
        <v>0.224</v>
      </c>
      <c r="J417" s="14">
        <f>I417*24</f>
        <v>5.3760000000000003</v>
      </c>
      <c r="K417" s="14">
        <f>VLOOKUP($C417,Rotation!$A$2:$J$10,2,FALSE)</f>
        <v>1</v>
      </c>
      <c r="L417" s="14">
        <f>VLOOKUP($C417,Rotation!$A$2:$J$10,3,FALSE)</f>
        <v>0</v>
      </c>
      <c r="M417" s="14">
        <f>VLOOKUP($C417,Rotation!$A$2:$J$10,4,FALSE)</f>
        <v>0</v>
      </c>
      <c r="N417" s="14">
        <f>VLOOKUP($C417,Rotation!$A$2:$J$10,5,FALSE)</f>
        <v>0</v>
      </c>
      <c r="O417" s="14">
        <f>VLOOKUP($C417,Rotation!$A$2:$J$10,6,FALSE)</f>
        <v>1</v>
      </c>
      <c r="P417" s="14">
        <f>VLOOKUP($C417,Rotation!$A$2:$J$10,7,FALSE)</f>
        <v>0</v>
      </c>
      <c r="Q417" s="14">
        <f>VLOOKUP($C417,Rotation!$A$2:$J$10,8,FALSE)</f>
        <v>0</v>
      </c>
      <c r="R417" s="14">
        <f>VLOOKUP($C417,Rotation!$A$2:$J$10,9,FALSE)</f>
        <v>0</v>
      </c>
      <c r="S417" s="14">
        <f>VLOOKUP($C417,Rotation!$A$2:$J$10,10,FALSE)</f>
        <v>0</v>
      </c>
    </row>
    <row r="418" spans="1:19" ht="18">
      <c r="A418" s="14">
        <v>416</v>
      </c>
      <c r="B418" s="14" t="s">
        <v>100</v>
      </c>
      <c r="C418" s="14" t="str">
        <f>VLOOKUP(B418,Family!B:C,2,FALSE)</f>
        <v>H</v>
      </c>
      <c r="D418" s="15">
        <v>23</v>
      </c>
      <c r="E418" s="14">
        <f>ROUND(VLOOKUP(C418,'Production Plan'!A:B,2,FALSE),2)</f>
        <v>402.02</v>
      </c>
      <c r="F418" s="16">
        <v>45734</v>
      </c>
      <c r="G418" s="17">
        <f>F418+6*7</f>
        <v>45776</v>
      </c>
      <c r="H418" s="14">
        <f>G418-F418</f>
        <v>42</v>
      </c>
      <c r="I418" s="14">
        <f>ROUND(D418/E418,3)</f>
        <v>5.7000000000000002E-2</v>
      </c>
      <c r="J418" s="14">
        <f>I418*24</f>
        <v>1.3680000000000001</v>
      </c>
      <c r="K418" s="14">
        <f>VLOOKUP($C418,Rotation!$A$2:$J$10,2,FALSE)</f>
        <v>0</v>
      </c>
      <c r="L418" s="14">
        <f>VLOOKUP($C418,Rotation!$A$2:$J$10,3,FALSE)</f>
        <v>0</v>
      </c>
      <c r="M418" s="14">
        <f>VLOOKUP($C418,Rotation!$A$2:$J$10,4,FALSE)</f>
        <v>1</v>
      </c>
      <c r="N418" s="14">
        <f>VLOOKUP($C418,Rotation!$A$2:$J$10,5,FALSE)</f>
        <v>1</v>
      </c>
      <c r="O418" s="14">
        <f>VLOOKUP($C418,Rotation!$A$2:$J$10,6,FALSE)</f>
        <v>0</v>
      </c>
      <c r="P418" s="14">
        <f>VLOOKUP($C418,Rotation!$A$2:$J$10,7,FALSE)</f>
        <v>0</v>
      </c>
      <c r="Q418" s="14">
        <f>VLOOKUP($C418,Rotation!$A$2:$J$10,8,FALSE)</f>
        <v>0</v>
      </c>
      <c r="R418" s="14">
        <f>VLOOKUP($C418,Rotation!$A$2:$J$10,9,FALSE)</f>
        <v>0</v>
      </c>
      <c r="S418" s="14">
        <f>VLOOKUP($C418,Rotation!$A$2:$J$10,10,FALSE)</f>
        <v>0</v>
      </c>
    </row>
    <row r="419" spans="1:19" ht="18">
      <c r="A419" s="14">
        <v>417</v>
      </c>
      <c r="B419" s="14" t="s">
        <v>114</v>
      </c>
      <c r="C419" s="14" t="str">
        <f>VLOOKUP(B419,Family!B:C,2,FALSE)</f>
        <v>V</v>
      </c>
      <c r="D419" s="15">
        <v>21</v>
      </c>
      <c r="E419" s="14">
        <f>ROUND(VLOOKUP(C419,'Production Plan'!A:B,2,FALSE),2)</f>
        <v>334.18</v>
      </c>
      <c r="F419" s="16">
        <v>45743</v>
      </c>
      <c r="G419" s="17">
        <f>F419+6*7</f>
        <v>45785</v>
      </c>
      <c r="H419" s="14">
        <f>G419-F419</f>
        <v>42</v>
      </c>
      <c r="I419" s="14">
        <f>ROUND(D419/E419,3)</f>
        <v>6.3E-2</v>
      </c>
      <c r="J419" s="14">
        <f>I419*24</f>
        <v>1.512</v>
      </c>
      <c r="K419" s="14">
        <f>VLOOKUP($C419,Rotation!$A$2:$J$10,2,FALSE)</f>
        <v>1</v>
      </c>
      <c r="L419" s="14">
        <f>VLOOKUP($C419,Rotation!$A$2:$J$10,3,FALSE)</f>
        <v>0</v>
      </c>
      <c r="M419" s="14">
        <f>VLOOKUP($C419,Rotation!$A$2:$J$10,4,FALSE)</f>
        <v>0</v>
      </c>
      <c r="N419" s="14">
        <f>VLOOKUP($C419,Rotation!$A$2:$J$10,5,FALSE)</f>
        <v>0</v>
      </c>
      <c r="O419" s="14">
        <f>VLOOKUP($C419,Rotation!$A$2:$J$10,6,FALSE)</f>
        <v>0</v>
      </c>
      <c r="P419" s="14">
        <f>VLOOKUP($C419,Rotation!$A$2:$J$10,7,FALSE)</f>
        <v>0</v>
      </c>
      <c r="Q419" s="14">
        <f>VLOOKUP($C419,Rotation!$A$2:$J$10,8,FALSE)</f>
        <v>0</v>
      </c>
      <c r="R419" s="14">
        <f>VLOOKUP($C419,Rotation!$A$2:$J$10,9,FALSE)</f>
        <v>0</v>
      </c>
      <c r="S419" s="14">
        <f>VLOOKUP($C419,Rotation!$A$2:$J$10,10,FALSE)</f>
        <v>1</v>
      </c>
    </row>
    <row r="420" spans="1:19" ht="18">
      <c r="A420" s="14">
        <v>418</v>
      </c>
      <c r="B420" s="14" t="s">
        <v>99</v>
      </c>
      <c r="C420" s="14" t="str">
        <f>VLOOKUP(B420,Family!B:C,2,FALSE)</f>
        <v>N</v>
      </c>
      <c r="D420" s="15">
        <v>238</v>
      </c>
      <c r="E420" s="14">
        <f>ROUND(VLOOKUP(C420,'Production Plan'!A:B,2,FALSE),2)</f>
        <v>334.18</v>
      </c>
      <c r="F420" s="16">
        <v>45755</v>
      </c>
      <c r="G420" s="17">
        <f>F420+6*7</f>
        <v>45797</v>
      </c>
      <c r="H420" s="14">
        <f>G420-F420</f>
        <v>42</v>
      </c>
      <c r="I420" s="14">
        <f>ROUND(D420/E420,3)</f>
        <v>0.71199999999999997</v>
      </c>
      <c r="J420" s="14">
        <f>I420*24</f>
        <v>17.088000000000001</v>
      </c>
      <c r="K420" s="14">
        <f>VLOOKUP($C420,Rotation!$A$2:$J$10,2,FALSE)</f>
        <v>1</v>
      </c>
      <c r="L420" s="14">
        <f>VLOOKUP($C420,Rotation!$A$2:$J$10,3,FALSE)</f>
        <v>0</v>
      </c>
      <c r="M420" s="14">
        <f>VLOOKUP($C420,Rotation!$A$2:$J$10,4,FALSE)</f>
        <v>0</v>
      </c>
      <c r="N420" s="14">
        <f>VLOOKUP($C420,Rotation!$A$2:$J$10,5,FALSE)</f>
        <v>0</v>
      </c>
      <c r="O420" s="14">
        <f>VLOOKUP($C420,Rotation!$A$2:$J$10,6,FALSE)</f>
        <v>0</v>
      </c>
      <c r="P420" s="14">
        <f>VLOOKUP($C420,Rotation!$A$2:$J$10,7,FALSE)</f>
        <v>0</v>
      </c>
      <c r="Q420" s="14">
        <f>VLOOKUP($C420,Rotation!$A$2:$J$10,8,FALSE)</f>
        <v>1</v>
      </c>
      <c r="R420" s="14">
        <f>VLOOKUP($C420,Rotation!$A$2:$J$10,9,FALSE)</f>
        <v>0</v>
      </c>
      <c r="S420" s="14">
        <f>VLOOKUP($C420,Rotation!$A$2:$J$10,10,FALSE)</f>
        <v>0</v>
      </c>
    </row>
    <row r="421" spans="1:19" ht="18">
      <c r="A421" s="14">
        <v>419</v>
      </c>
      <c r="B421" s="14" t="s">
        <v>66</v>
      </c>
      <c r="C421" s="14" t="str">
        <f>VLOOKUP(B421,Family!B:C,2,FALSE)</f>
        <v>A</v>
      </c>
      <c r="D421" s="15">
        <v>54</v>
      </c>
      <c r="E421" s="14">
        <f>ROUND(VLOOKUP(C421,'Production Plan'!A:B,2,FALSE),2)</f>
        <v>407.17</v>
      </c>
      <c r="F421" s="16">
        <v>45748</v>
      </c>
      <c r="G421" s="17">
        <f>F421+6*7</f>
        <v>45790</v>
      </c>
      <c r="H421" s="14">
        <f>G421-F421</f>
        <v>42</v>
      </c>
      <c r="I421" s="14">
        <f>ROUND(D421/E421,3)</f>
        <v>0.13300000000000001</v>
      </c>
      <c r="J421" s="14">
        <f>I421*24</f>
        <v>3.1920000000000002</v>
      </c>
      <c r="K421" s="14">
        <f>VLOOKUP($C421,Rotation!$A$2:$J$10,2,FALSE)</f>
        <v>1</v>
      </c>
      <c r="L421" s="14">
        <f>VLOOKUP($C421,Rotation!$A$2:$J$10,3,FALSE)</f>
        <v>1</v>
      </c>
      <c r="M421" s="14">
        <f>VLOOKUP($C421,Rotation!$A$2:$J$10,4,FALSE)</f>
        <v>1</v>
      </c>
      <c r="N421" s="14">
        <f>VLOOKUP($C421,Rotation!$A$2:$J$10,5,FALSE)</f>
        <v>0</v>
      </c>
      <c r="O421" s="14">
        <f>VLOOKUP($C421,Rotation!$A$2:$J$10,6,FALSE)</f>
        <v>0</v>
      </c>
      <c r="P421" s="14">
        <f>VLOOKUP($C421,Rotation!$A$2:$J$10,7,FALSE)</f>
        <v>0</v>
      </c>
      <c r="Q421" s="14">
        <f>VLOOKUP($C421,Rotation!$A$2:$J$10,8,FALSE)</f>
        <v>0</v>
      </c>
      <c r="R421" s="14">
        <f>VLOOKUP($C421,Rotation!$A$2:$J$10,9,FALSE)</f>
        <v>0</v>
      </c>
      <c r="S421" s="14">
        <f>VLOOKUP($C421,Rotation!$A$2:$J$10,10,FALSE)</f>
        <v>0</v>
      </c>
    </row>
    <row r="422" spans="1:19" ht="18">
      <c r="A422" s="14">
        <v>420</v>
      </c>
      <c r="B422" s="14" t="s">
        <v>66</v>
      </c>
      <c r="C422" s="14" t="str">
        <f>VLOOKUP(B422,Family!B:C,2,FALSE)</f>
        <v>A</v>
      </c>
      <c r="D422" s="15">
        <v>54</v>
      </c>
      <c r="E422" s="14">
        <f>ROUND(VLOOKUP(C422,'Production Plan'!A:B,2,FALSE),2)</f>
        <v>407.17</v>
      </c>
      <c r="F422" s="16">
        <v>45778</v>
      </c>
      <c r="G422" s="17">
        <f>F422+6*7</f>
        <v>45820</v>
      </c>
      <c r="H422" s="14">
        <f>G422-F422</f>
        <v>42</v>
      </c>
      <c r="I422" s="14">
        <f>ROUND(D422/E422,3)</f>
        <v>0.13300000000000001</v>
      </c>
      <c r="J422" s="14">
        <f>I422*24</f>
        <v>3.1920000000000002</v>
      </c>
      <c r="K422" s="14">
        <f>VLOOKUP($C422,Rotation!$A$2:$J$10,2,FALSE)</f>
        <v>1</v>
      </c>
      <c r="L422" s="14">
        <f>VLOOKUP($C422,Rotation!$A$2:$J$10,3,FALSE)</f>
        <v>1</v>
      </c>
      <c r="M422" s="14">
        <f>VLOOKUP($C422,Rotation!$A$2:$J$10,4,FALSE)</f>
        <v>1</v>
      </c>
      <c r="N422" s="14">
        <f>VLOOKUP($C422,Rotation!$A$2:$J$10,5,FALSE)</f>
        <v>0</v>
      </c>
      <c r="O422" s="14">
        <f>VLOOKUP($C422,Rotation!$A$2:$J$10,6,FALSE)</f>
        <v>0</v>
      </c>
      <c r="P422" s="14">
        <f>VLOOKUP($C422,Rotation!$A$2:$J$10,7,FALSE)</f>
        <v>0</v>
      </c>
      <c r="Q422" s="14">
        <f>VLOOKUP($C422,Rotation!$A$2:$J$10,8,FALSE)</f>
        <v>0</v>
      </c>
      <c r="R422" s="14">
        <f>VLOOKUP($C422,Rotation!$A$2:$J$10,9,FALSE)</f>
        <v>0</v>
      </c>
      <c r="S422" s="14">
        <f>VLOOKUP($C422,Rotation!$A$2:$J$10,10,FALSE)</f>
        <v>0</v>
      </c>
    </row>
    <row r="423" spans="1:19" ht="18">
      <c r="A423" s="14">
        <v>421</v>
      </c>
      <c r="B423" s="14" t="s">
        <v>66</v>
      </c>
      <c r="C423" s="14" t="str">
        <f>VLOOKUP(B423,Family!B:C,2,FALSE)</f>
        <v>A</v>
      </c>
      <c r="D423" s="15">
        <v>54</v>
      </c>
      <c r="E423" s="14">
        <f>ROUND(VLOOKUP(C423,'Production Plan'!A:B,2,FALSE),2)</f>
        <v>407.17</v>
      </c>
      <c r="F423" s="16">
        <v>45778</v>
      </c>
      <c r="G423" s="17">
        <f>F423+6*7</f>
        <v>45820</v>
      </c>
      <c r="H423" s="14">
        <f>G423-F423</f>
        <v>42</v>
      </c>
      <c r="I423" s="14">
        <f>ROUND(D423/E423,3)</f>
        <v>0.13300000000000001</v>
      </c>
      <c r="J423" s="14">
        <f>I423*24</f>
        <v>3.1920000000000002</v>
      </c>
      <c r="K423" s="14">
        <f>VLOOKUP($C423,Rotation!$A$2:$J$10,2,FALSE)</f>
        <v>1</v>
      </c>
      <c r="L423" s="14">
        <f>VLOOKUP($C423,Rotation!$A$2:$J$10,3,FALSE)</f>
        <v>1</v>
      </c>
      <c r="M423" s="14">
        <f>VLOOKUP($C423,Rotation!$A$2:$J$10,4,FALSE)</f>
        <v>1</v>
      </c>
      <c r="N423" s="14">
        <f>VLOOKUP($C423,Rotation!$A$2:$J$10,5,FALSE)</f>
        <v>0</v>
      </c>
      <c r="O423" s="14">
        <f>VLOOKUP($C423,Rotation!$A$2:$J$10,6,FALSE)</f>
        <v>0</v>
      </c>
      <c r="P423" s="14">
        <f>VLOOKUP($C423,Rotation!$A$2:$J$10,7,FALSE)</f>
        <v>0</v>
      </c>
      <c r="Q423" s="14">
        <f>VLOOKUP($C423,Rotation!$A$2:$J$10,8,FALSE)</f>
        <v>0</v>
      </c>
      <c r="R423" s="14">
        <f>VLOOKUP($C423,Rotation!$A$2:$J$10,9,FALSE)</f>
        <v>0</v>
      </c>
      <c r="S423" s="14">
        <f>VLOOKUP($C423,Rotation!$A$2:$J$10,10,FALSE)</f>
        <v>0</v>
      </c>
    </row>
    <row r="424" spans="1:19" ht="18">
      <c r="A424" s="14">
        <v>422</v>
      </c>
      <c r="B424" s="14" t="s">
        <v>106</v>
      </c>
      <c r="C424" s="14" t="str">
        <f>VLOOKUP(B424,Family!B:C,2,FALSE)</f>
        <v>P</v>
      </c>
      <c r="D424" s="15">
        <v>19</v>
      </c>
      <c r="E424" s="14">
        <f>ROUND(VLOOKUP(C424,'Production Plan'!A:B,2,FALSE),2)</f>
        <v>409.15</v>
      </c>
      <c r="F424" s="16">
        <v>45730</v>
      </c>
      <c r="G424" s="17">
        <f>F424+6*7</f>
        <v>45772</v>
      </c>
      <c r="H424" s="14">
        <f>G424-F424</f>
        <v>42</v>
      </c>
      <c r="I424" s="14">
        <f>ROUND(D424/E424,3)</f>
        <v>4.5999999999999999E-2</v>
      </c>
      <c r="J424" s="14">
        <f>I424*24</f>
        <v>1.1040000000000001</v>
      </c>
      <c r="K424" s="14">
        <f>VLOOKUP($C424,Rotation!$A$2:$J$10,2,FALSE)</f>
        <v>1</v>
      </c>
      <c r="L424" s="14">
        <f>VLOOKUP($C424,Rotation!$A$2:$J$10,3,FALSE)</f>
        <v>1</v>
      </c>
      <c r="M424" s="14">
        <f>VLOOKUP($C424,Rotation!$A$2:$J$10,4,FALSE)</f>
        <v>0</v>
      </c>
      <c r="N424" s="14">
        <f>VLOOKUP($C424,Rotation!$A$2:$J$10,5,FALSE)</f>
        <v>0</v>
      </c>
      <c r="O424" s="14">
        <f>VLOOKUP($C424,Rotation!$A$2:$J$10,6,FALSE)</f>
        <v>0</v>
      </c>
      <c r="P424" s="14">
        <f>VLOOKUP($C424,Rotation!$A$2:$J$10,7,FALSE)</f>
        <v>0</v>
      </c>
      <c r="Q424" s="14">
        <f>VLOOKUP($C424,Rotation!$A$2:$J$10,8,FALSE)</f>
        <v>0</v>
      </c>
      <c r="R424" s="14">
        <f>VLOOKUP($C424,Rotation!$A$2:$J$10,9,FALSE)</f>
        <v>0</v>
      </c>
      <c r="S424" s="14">
        <f>VLOOKUP($C424,Rotation!$A$2:$J$10,10,FALSE)</f>
        <v>0</v>
      </c>
    </row>
    <row r="425" spans="1:19" ht="18">
      <c r="A425" s="14">
        <v>423</v>
      </c>
      <c r="B425" s="14" t="s">
        <v>65</v>
      </c>
      <c r="C425" s="14" t="str">
        <f>VLOOKUP(B425,Family!B:C,2,FALSE)</f>
        <v>A</v>
      </c>
      <c r="D425" s="15">
        <v>19</v>
      </c>
      <c r="E425" s="14">
        <f>ROUND(VLOOKUP(C425,'Production Plan'!A:B,2,FALSE),2)</f>
        <v>407.17</v>
      </c>
      <c r="F425" s="16">
        <v>45755</v>
      </c>
      <c r="G425" s="17">
        <f>F425+6*7</f>
        <v>45797</v>
      </c>
      <c r="H425" s="14">
        <f>G425-F425</f>
        <v>42</v>
      </c>
      <c r="I425" s="14">
        <f>ROUND(D425/E425,3)</f>
        <v>4.7E-2</v>
      </c>
      <c r="J425" s="14">
        <f>I425*24</f>
        <v>1.1280000000000001</v>
      </c>
      <c r="K425" s="14">
        <f>VLOOKUP($C425,Rotation!$A$2:$J$10,2,FALSE)</f>
        <v>1</v>
      </c>
      <c r="L425" s="14">
        <f>VLOOKUP($C425,Rotation!$A$2:$J$10,3,FALSE)</f>
        <v>1</v>
      </c>
      <c r="M425" s="14">
        <f>VLOOKUP($C425,Rotation!$A$2:$J$10,4,FALSE)</f>
        <v>1</v>
      </c>
      <c r="N425" s="14">
        <f>VLOOKUP($C425,Rotation!$A$2:$J$10,5,FALSE)</f>
        <v>0</v>
      </c>
      <c r="O425" s="14">
        <f>VLOOKUP($C425,Rotation!$A$2:$J$10,6,FALSE)</f>
        <v>0</v>
      </c>
      <c r="P425" s="14">
        <f>VLOOKUP($C425,Rotation!$A$2:$J$10,7,FALSE)</f>
        <v>0</v>
      </c>
      <c r="Q425" s="14">
        <f>VLOOKUP($C425,Rotation!$A$2:$J$10,8,FALSE)</f>
        <v>0</v>
      </c>
      <c r="R425" s="14">
        <f>VLOOKUP($C425,Rotation!$A$2:$J$10,9,FALSE)</f>
        <v>0</v>
      </c>
      <c r="S425" s="14">
        <f>VLOOKUP($C425,Rotation!$A$2:$J$10,10,FALSE)</f>
        <v>0</v>
      </c>
    </row>
    <row r="426" spans="1:19" ht="18">
      <c r="A426" s="14">
        <v>424</v>
      </c>
      <c r="B426" s="14" t="s">
        <v>70</v>
      </c>
      <c r="C426" s="14" t="str">
        <f>VLOOKUP(B426,Family!B:C,2,FALSE)</f>
        <v>A</v>
      </c>
      <c r="D426" s="15">
        <v>10</v>
      </c>
      <c r="E426" s="14">
        <f>ROUND(VLOOKUP(C426,'Production Plan'!A:B,2,FALSE),2)</f>
        <v>407.17</v>
      </c>
      <c r="F426" s="16">
        <v>45764</v>
      </c>
      <c r="G426" s="17">
        <f>F426+6*7</f>
        <v>45806</v>
      </c>
      <c r="H426" s="14">
        <f>G426-F426</f>
        <v>42</v>
      </c>
      <c r="I426" s="14">
        <f>ROUND(D426/E426,3)</f>
        <v>2.5000000000000001E-2</v>
      </c>
      <c r="J426" s="14">
        <f>I426*24</f>
        <v>0.60000000000000009</v>
      </c>
      <c r="K426" s="14">
        <f>VLOOKUP($C426,Rotation!$A$2:$J$10,2,FALSE)</f>
        <v>1</v>
      </c>
      <c r="L426" s="14">
        <f>VLOOKUP($C426,Rotation!$A$2:$J$10,3,FALSE)</f>
        <v>1</v>
      </c>
      <c r="M426" s="14">
        <f>VLOOKUP($C426,Rotation!$A$2:$J$10,4,FALSE)</f>
        <v>1</v>
      </c>
      <c r="N426" s="14">
        <f>VLOOKUP($C426,Rotation!$A$2:$J$10,5,FALSE)</f>
        <v>0</v>
      </c>
      <c r="O426" s="14">
        <f>VLOOKUP($C426,Rotation!$A$2:$J$10,6,FALSE)</f>
        <v>0</v>
      </c>
      <c r="P426" s="14">
        <f>VLOOKUP($C426,Rotation!$A$2:$J$10,7,FALSE)</f>
        <v>0</v>
      </c>
      <c r="Q426" s="14">
        <f>VLOOKUP($C426,Rotation!$A$2:$J$10,8,FALSE)</f>
        <v>0</v>
      </c>
      <c r="R426" s="14">
        <f>VLOOKUP($C426,Rotation!$A$2:$J$10,9,FALSE)</f>
        <v>0</v>
      </c>
      <c r="S426" s="14">
        <f>VLOOKUP($C426,Rotation!$A$2:$J$10,10,FALSE)</f>
        <v>0</v>
      </c>
    </row>
    <row r="427" spans="1:19" ht="18">
      <c r="A427" s="14">
        <v>425</v>
      </c>
      <c r="B427" s="14" t="s">
        <v>71</v>
      </c>
      <c r="C427" s="14" t="str">
        <f>VLOOKUP(B427,Family!B:C,2,FALSE)</f>
        <v>A</v>
      </c>
      <c r="D427" s="15">
        <v>391</v>
      </c>
      <c r="E427" s="14">
        <f>ROUND(VLOOKUP(C427,'Production Plan'!A:B,2,FALSE),2)</f>
        <v>407.17</v>
      </c>
      <c r="F427" s="16">
        <v>45722</v>
      </c>
      <c r="G427" s="17">
        <f>F427+6*7</f>
        <v>45764</v>
      </c>
      <c r="H427" s="14">
        <f>G427-F427</f>
        <v>42</v>
      </c>
      <c r="I427" s="14">
        <f>ROUND(D427/E427,3)</f>
        <v>0.96</v>
      </c>
      <c r="J427" s="14">
        <f>I427*24</f>
        <v>23.04</v>
      </c>
      <c r="K427" s="14">
        <f>VLOOKUP($C427,Rotation!$A$2:$J$10,2,FALSE)</f>
        <v>1</v>
      </c>
      <c r="L427" s="14">
        <f>VLOOKUP($C427,Rotation!$A$2:$J$10,3,FALSE)</f>
        <v>1</v>
      </c>
      <c r="M427" s="14">
        <f>VLOOKUP($C427,Rotation!$A$2:$J$10,4,FALSE)</f>
        <v>1</v>
      </c>
      <c r="N427" s="14">
        <f>VLOOKUP($C427,Rotation!$A$2:$J$10,5,FALSE)</f>
        <v>0</v>
      </c>
      <c r="O427" s="14">
        <f>VLOOKUP($C427,Rotation!$A$2:$J$10,6,FALSE)</f>
        <v>0</v>
      </c>
      <c r="P427" s="14">
        <f>VLOOKUP($C427,Rotation!$A$2:$J$10,7,FALSE)</f>
        <v>0</v>
      </c>
      <c r="Q427" s="14">
        <f>VLOOKUP($C427,Rotation!$A$2:$J$10,8,FALSE)</f>
        <v>0</v>
      </c>
      <c r="R427" s="14">
        <f>VLOOKUP($C427,Rotation!$A$2:$J$10,9,FALSE)</f>
        <v>0</v>
      </c>
      <c r="S427" s="14">
        <f>VLOOKUP($C427,Rotation!$A$2:$J$10,10,FALSE)</f>
        <v>0</v>
      </c>
    </row>
    <row r="428" spans="1:19" ht="18">
      <c r="A428" s="14">
        <v>426</v>
      </c>
      <c r="B428" s="14" t="s">
        <v>108</v>
      </c>
      <c r="C428" s="14" t="str">
        <f>VLOOKUP(B428,Family!B:C,2,FALSE)</f>
        <v>P</v>
      </c>
      <c r="D428" s="15">
        <v>108</v>
      </c>
      <c r="E428" s="14">
        <f>ROUND(VLOOKUP(C428,'Production Plan'!A:B,2,FALSE),2)</f>
        <v>409.15</v>
      </c>
      <c r="F428" s="16">
        <v>45748</v>
      </c>
      <c r="G428" s="17">
        <f>F428+6*7</f>
        <v>45790</v>
      </c>
      <c r="H428" s="14">
        <f>G428-F428</f>
        <v>42</v>
      </c>
      <c r="I428" s="14">
        <f>ROUND(D428/E428,3)</f>
        <v>0.26400000000000001</v>
      </c>
      <c r="J428" s="14">
        <f>I428*24</f>
        <v>6.3360000000000003</v>
      </c>
      <c r="K428" s="14">
        <f>VLOOKUP($C428,Rotation!$A$2:$J$10,2,FALSE)</f>
        <v>1</v>
      </c>
      <c r="L428" s="14">
        <f>VLOOKUP($C428,Rotation!$A$2:$J$10,3,FALSE)</f>
        <v>1</v>
      </c>
      <c r="M428" s="14">
        <f>VLOOKUP($C428,Rotation!$A$2:$J$10,4,FALSE)</f>
        <v>0</v>
      </c>
      <c r="N428" s="14">
        <f>VLOOKUP($C428,Rotation!$A$2:$J$10,5,FALSE)</f>
        <v>0</v>
      </c>
      <c r="O428" s="14">
        <f>VLOOKUP($C428,Rotation!$A$2:$J$10,6,FALSE)</f>
        <v>0</v>
      </c>
      <c r="P428" s="14">
        <f>VLOOKUP($C428,Rotation!$A$2:$J$10,7,FALSE)</f>
        <v>0</v>
      </c>
      <c r="Q428" s="14">
        <f>VLOOKUP($C428,Rotation!$A$2:$J$10,8,FALSE)</f>
        <v>0</v>
      </c>
      <c r="R428" s="14">
        <f>VLOOKUP($C428,Rotation!$A$2:$J$10,9,FALSE)</f>
        <v>0</v>
      </c>
      <c r="S428" s="14">
        <f>VLOOKUP($C428,Rotation!$A$2:$J$10,10,FALSE)</f>
        <v>0</v>
      </c>
    </row>
    <row r="429" spans="1:19" ht="18">
      <c r="A429" s="14">
        <v>427</v>
      </c>
      <c r="B429" s="14" t="s">
        <v>66</v>
      </c>
      <c r="C429" s="14" t="str">
        <f>VLOOKUP(B429,Family!B:C,2,FALSE)</f>
        <v>A</v>
      </c>
      <c r="D429" s="15">
        <v>54</v>
      </c>
      <c r="E429" s="14">
        <f>ROUND(VLOOKUP(C429,'Production Plan'!A:B,2,FALSE),2)</f>
        <v>407.17</v>
      </c>
      <c r="F429" s="16">
        <v>45748</v>
      </c>
      <c r="G429" s="17">
        <f>F429+6*7</f>
        <v>45790</v>
      </c>
      <c r="H429" s="14">
        <f>G429-F429</f>
        <v>42</v>
      </c>
      <c r="I429" s="14">
        <f>ROUND(D429/E429,3)</f>
        <v>0.13300000000000001</v>
      </c>
      <c r="J429" s="14">
        <f>I429*24</f>
        <v>3.1920000000000002</v>
      </c>
      <c r="K429" s="14">
        <f>VLOOKUP($C429,Rotation!$A$2:$J$10,2,FALSE)</f>
        <v>1</v>
      </c>
      <c r="L429" s="14">
        <f>VLOOKUP($C429,Rotation!$A$2:$J$10,3,FALSE)</f>
        <v>1</v>
      </c>
      <c r="M429" s="14">
        <f>VLOOKUP($C429,Rotation!$A$2:$J$10,4,FALSE)</f>
        <v>1</v>
      </c>
      <c r="N429" s="14">
        <f>VLOOKUP($C429,Rotation!$A$2:$J$10,5,FALSE)</f>
        <v>0</v>
      </c>
      <c r="O429" s="14">
        <f>VLOOKUP($C429,Rotation!$A$2:$J$10,6,FALSE)</f>
        <v>0</v>
      </c>
      <c r="P429" s="14">
        <f>VLOOKUP($C429,Rotation!$A$2:$J$10,7,FALSE)</f>
        <v>0</v>
      </c>
      <c r="Q429" s="14">
        <f>VLOOKUP($C429,Rotation!$A$2:$J$10,8,FALSE)</f>
        <v>0</v>
      </c>
      <c r="R429" s="14">
        <f>VLOOKUP($C429,Rotation!$A$2:$J$10,9,FALSE)</f>
        <v>0</v>
      </c>
      <c r="S429" s="14">
        <f>VLOOKUP($C429,Rotation!$A$2:$J$10,10,FALSE)</f>
        <v>0</v>
      </c>
    </row>
    <row r="430" spans="1:19" ht="18">
      <c r="A430" s="14">
        <v>428</v>
      </c>
      <c r="B430" s="14" t="s">
        <v>77</v>
      </c>
      <c r="C430" s="14" t="str">
        <f>VLOOKUP(B430,Family!B:C,2,FALSE)</f>
        <v>E</v>
      </c>
      <c r="D430" s="15">
        <v>18</v>
      </c>
      <c r="E430" s="14">
        <f>ROUND(VLOOKUP(C430,'Production Plan'!A:B,2,FALSE),2)</f>
        <v>333.66</v>
      </c>
      <c r="F430" s="16">
        <v>45671</v>
      </c>
      <c r="G430" s="17">
        <f>F430+6*7</f>
        <v>45713</v>
      </c>
      <c r="H430" s="14">
        <f>G430-F430</f>
        <v>42</v>
      </c>
      <c r="I430" s="14">
        <f>ROUND(D430/E430,3)</f>
        <v>5.3999999999999999E-2</v>
      </c>
      <c r="J430" s="14">
        <f>I430*24</f>
        <v>1.296</v>
      </c>
      <c r="K430" s="14">
        <f>VLOOKUP($C430,Rotation!$A$2:$J$10,2,FALSE)</f>
        <v>1</v>
      </c>
      <c r="L430" s="14">
        <f>VLOOKUP($C430,Rotation!$A$2:$J$10,3,FALSE)</f>
        <v>0</v>
      </c>
      <c r="M430" s="14">
        <f>VLOOKUP($C430,Rotation!$A$2:$J$10,4,FALSE)</f>
        <v>0</v>
      </c>
      <c r="N430" s="14">
        <f>VLOOKUP($C430,Rotation!$A$2:$J$10,5,FALSE)</f>
        <v>0</v>
      </c>
      <c r="O430" s="14">
        <f>VLOOKUP($C430,Rotation!$A$2:$J$10,6,FALSE)</f>
        <v>0</v>
      </c>
      <c r="P430" s="14">
        <f>VLOOKUP($C430,Rotation!$A$2:$J$10,7,FALSE)</f>
        <v>1</v>
      </c>
      <c r="Q430" s="14">
        <f>VLOOKUP($C430,Rotation!$A$2:$J$10,8,FALSE)</f>
        <v>0</v>
      </c>
      <c r="R430" s="14">
        <f>VLOOKUP($C430,Rotation!$A$2:$J$10,9,FALSE)</f>
        <v>0</v>
      </c>
      <c r="S430" s="14">
        <f>VLOOKUP($C430,Rotation!$A$2:$J$10,10,FALSE)</f>
        <v>0</v>
      </c>
    </row>
    <row r="431" spans="1:19" ht="18">
      <c r="A431" s="14">
        <v>429</v>
      </c>
      <c r="B431" s="14" t="s">
        <v>98</v>
      </c>
      <c r="C431" s="14" t="str">
        <f>VLOOKUP(B431,Family!B:C,2,FALSE)</f>
        <v>H</v>
      </c>
      <c r="D431" s="15">
        <v>19</v>
      </c>
      <c r="E431" s="14">
        <f>ROUND(VLOOKUP(C431,'Production Plan'!A:B,2,FALSE),2)</f>
        <v>402.02</v>
      </c>
      <c r="F431" s="16">
        <v>45706</v>
      </c>
      <c r="G431" s="17">
        <f>F431+6*7</f>
        <v>45748</v>
      </c>
      <c r="H431" s="14">
        <f>G431-F431</f>
        <v>42</v>
      </c>
      <c r="I431" s="14">
        <f>ROUND(D431/E431,3)</f>
        <v>4.7E-2</v>
      </c>
      <c r="J431" s="14">
        <f>I431*24</f>
        <v>1.1280000000000001</v>
      </c>
      <c r="K431" s="14">
        <f>VLOOKUP($C431,Rotation!$A$2:$J$10,2,FALSE)</f>
        <v>0</v>
      </c>
      <c r="L431" s="14">
        <f>VLOOKUP($C431,Rotation!$A$2:$J$10,3,FALSE)</f>
        <v>0</v>
      </c>
      <c r="M431" s="14">
        <f>VLOOKUP($C431,Rotation!$A$2:$J$10,4,FALSE)</f>
        <v>1</v>
      </c>
      <c r="N431" s="14">
        <f>VLOOKUP($C431,Rotation!$A$2:$J$10,5,FALSE)</f>
        <v>1</v>
      </c>
      <c r="O431" s="14">
        <f>VLOOKUP($C431,Rotation!$A$2:$J$10,6,FALSE)</f>
        <v>0</v>
      </c>
      <c r="P431" s="14">
        <f>VLOOKUP($C431,Rotation!$A$2:$J$10,7,FALSE)</f>
        <v>0</v>
      </c>
      <c r="Q431" s="14">
        <f>VLOOKUP($C431,Rotation!$A$2:$J$10,8,FALSE)</f>
        <v>0</v>
      </c>
      <c r="R431" s="14">
        <f>VLOOKUP($C431,Rotation!$A$2:$J$10,9,FALSE)</f>
        <v>0</v>
      </c>
      <c r="S431" s="14">
        <f>VLOOKUP($C431,Rotation!$A$2:$J$10,10,FALSE)</f>
        <v>0</v>
      </c>
    </row>
    <row r="432" spans="1:19" ht="18">
      <c r="A432" s="14">
        <v>430</v>
      </c>
      <c r="B432" s="14" t="s">
        <v>98</v>
      </c>
      <c r="C432" s="14" t="str">
        <f>VLOOKUP(B432,Family!B:C,2,FALSE)</f>
        <v>H</v>
      </c>
      <c r="D432" s="15">
        <v>19</v>
      </c>
      <c r="E432" s="14">
        <f>ROUND(VLOOKUP(C432,'Production Plan'!A:B,2,FALSE),2)</f>
        <v>402.02</v>
      </c>
      <c r="F432" s="16">
        <v>45706</v>
      </c>
      <c r="G432" s="17">
        <f>F432+6*7</f>
        <v>45748</v>
      </c>
      <c r="H432" s="14">
        <f>G432-F432</f>
        <v>42</v>
      </c>
      <c r="I432" s="14">
        <f>ROUND(D432/E432,3)</f>
        <v>4.7E-2</v>
      </c>
      <c r="J432" s="14">
        <f>I432*24</f>
        <v>1.1280000000000001</v>
      </c>
      <c r="K432" s="14">
        <f>VLOOKUP($C432,Rotation!$A$2:$J$10,2,FALSE)</f>
        <v>0</v>
      </c>
      <c r="L432" s="14">
        <f>VLOOKUP($C432,Rotation!$A$2:$J$10,3,FALSE)</f>
        <v>0</v>
      </c>
      <c r="M432" s="14">
        <f>VLOOKUP($C432,Rotation!$A$2:$J$10,4,FALSE)</f>
        <v>1</v>
      </c>
      <c r="N432" s="14">
        <f>VLOOKUP($C432,Rotation!$A$2:$J$10,5,FALSE)</f>
        <v>1</v>
      </c>
      <c r="O432" s="14">
        <f>VLOOKUP($C432,Rotation!$A$2:$J$10,6,FALSE)</f>
        <v>0</v>
      </c>
      <c r="P432" s="14">
        <f>VLOOKUP($C432,Rotation!$A$2:$J$10,7,FALSE)</f>
        <v>0</v>
      </c>
      <c r="Q432" s="14">
        <f>VLOOKUP($C432,Rotation!$A$2:$J$10,8,FALSE)</f>
        <v>0</v>
      </c>
      <c r="R432" s="14">
        <f>VLOOKUP($C432,Rotation!$A$2:$J$10,9,FALSE)</f>
        <v>0</v>
      </c>
      <c r="S432" s="14">
        <f>VLOOKUP($C432,Rotation!$A$2:$J$10,10,FALSE)</f>
        <v>0</v>
      </c>
    </row>
    <row r="433" spans="1:19" ht="18">
      <c r="A433" s="14">
        <v>431</v>
      </c>
      <c r="B433" s="14" t="s">
        <v>65</v>
      </c>
      <c r="C433" s="14" t="str">
        <f>VLOOKUP(B433,Family!B:C,2,FALSE)</f>
        <v>A</v>
      </c>
      <c r="D433" s="15">
        <v>19</v>
      </c>
      <c r="E433" s="14">
        <f>ROUND(VLOOKUP(C433,'Production Plan'!A:B,2,FALSE),2)</f>
        <v>407.17</v>
      </c>
      <c r="F433" s="16">
        <v>45755</v>
      </c>
      <c r="G433" s="17">
        <f>F433+6*7</f>
        <v>45797</v>
      </c>
      <c r="H433" s="14">
        <f>G433-F433</f>
        <v>42</v>
      </c>
      <c r="I433" s="14">
        <f>ROUND(D433/E433,3)</f>
        <v>4.7E-2</v>
      </c>
      <c r="J433" s="14">
        <f>I433*24</f>
        <v>1.1280000000000001</v>
      </c>
      <c r="K433" s="14">
        <f>VLOOKUP($C433,Rotation!$A$2:$J$10,2,FALSE)</f>
        <v>1</v>
      </c>
      <c r="L433" s="14">
        <f>VLOOKUP($C433,Rotation!$A$2:$J$10,3,FALSE)</f>
        <v>1</v>
      </c>
      <c r="M433" s="14">
        <f>VLOOKUP($C433,Rotation!$A$2:$J$10,4,FALSE)</f>
        <v>1</v>
      </c>
      <c r="N433" s="14">
        <f>VLOOKUP($C433,Rotation!$A$2:$J$10,5,FALSE)</f>
        <v>0</v>
      </c>
      <c r="O433" s="14">
        <f>VLOOKUP($C433,Rotation!$A$2:$J$10,6,FALSE)</f>
        <v>0</v>
      </c>
      <c r="P433" s="14">
        <f>VLOOKUP($C433,Rotation!$A$2:$J$10,7,FALSE)</f>
        <v>0</v>
      </c>
      <c r="Q433" s="14">
        <f>VLOOKUP($C433,Rotation!$A$2:$J$10,8,FALSE)</f>
        <v>0</v>
      </c>
      <c r="R433" s="14">
        <f>VLOOKUP($C433,Rotation!$A$2:$J$10,9,FALSE)</f>
        <v>0</v>
      </c>
      <c r="S433" s="14">
        <f>VLOOKUP($C433,Rotation!$A$2:$J$10,10,FALSE)</f>
        <v>0</v>
      </c>
    </row>
    <row r="434" spans="1:19" ht="18">
      <c r="A434" s="14">
        <v>432</v>
      </c>
      <c r="B434" s="14" t="s">
        <v>112</v>
      </c>
      <c r="C434" s="14" t="str">
        <f>VLOOKUP(B434,Family!B:C,2,FALSE)</f>
        <v>N</v>
      </c>
      <c r="D434" s="15">
        <v>70</v>
      </c>
      <c r="E434" s="14">
        <f>ROUND(VLOOKUP(C434,'Production Plan'!A:B,2,FALSE),2)</f>
        <v>334.18</v>
      </c>
      <c r="F434" s="16">
        <v>45690</v>
      </c>
      <c r="G434" s="17">
        <f>F434+6*7</f>
        <v>45732</v>
      </c>
      <c r="H434" s="14">
        <f>G434-F434</f>
        <v>42</v>
      </c>
      <c r="I434" s="14">
        <f>ROUND(D434/E434,3)</f>
        <v>0.20899999999999999</v>
      </c>
      <c r="J434" s="14">
        <f>I434*24</f>
        <v>5.016</v>
      </c>
      <c r="K434" s="14">
        <f>VLOOKUP($C434,Rotation!$A$2:$J$10,2,FALSE)</f>
        <v>1</v>
      </c>
      <c r="L434" s="14">
        <f>VLOOKUP($C434,Rotation!$A$2:$J$10,3,FALSE)</f>
        <v>0</v>
      </c>
      <c r="M434" s="14">
        <f>VLOOKUP($C434,Rotation!$A$2:$J$10,4,FALSE)</f>
        <v>0</v>
      </c>
      <c r="N434" s="14">
        <f>VLOOKUP($C434,Rotation!$A$2:$J$10,5,FALSE)</f>
        <v>0</v>
      </c>
      <c r="O434" s="14">
        <f>VLOOKUP($C434,Rotation!$A$2:$J$10,6,FALSE)</f>
        <v>0</v>
      </c>
      <c r="P434" s="14">
        <f>VLOOKUP($C434,Rotation!$A$2:$J$10,7,FALSE)</f>
        <v>0</v>
      </c>
      <c r="Q434" s="14">
        <f>VLOOKUP($C434,Rotation!$A$2:$J$10,8,FALSE)</f>
        <v>1</v>
      </c>
      <c r="R434" s="14">
        <f>VLOOKUP($C434,Rotation!$A$2:$J$10,9,FALSE)</f>
        <v>0</v>
      </c>
      <c r="S434" s="14">
        <f>VLOOKUP($C434,Rotation!$A$2:$J$10,10,FALSE)</f>
        <v>0</v>
      </c>
    </row>
    <row r="435" spans="1:19" ht="18">
      <c r="A435" s="14">
        <v>433</v>
      </c>
      <c r="B435" s="14" t="s">
        <v>98</v>
      </c>
      <c r="C435" s="14" t="str">
        <f>VLOOKUP(B435,Family!B:C,2,FALSE)</f>
        <v>H</v>
      </c>
      <c r="D435" s="15">
        <v>19</v>
      </c>
      <c r="E435" s="14">
        <f>ROUND(VLOOKUP(C435,'Production Plan'!A:B,2,FALSE),2)</f>
        <v>402.02</v>
      </c>
      <c r="F435" s="16">
        <v>45706</v>
      </c>
      <c r="G435" s="17">
        <f>F435+6*7</f>
        <v>45748</v>
      </c>
      <c r="H435" s="14">
        <f>G435-F435</f>
        <v>42</v>
      </c>
      <c r="I435" s="14">
        <f>ROUND(D435/E435,3)</f>
        <v>4.7E-2</v>
      </c>
      <c r="J435" s="14">
        <f>I435*24</f>
        <v>1.1280000000000001</v>
      </c>
      <c r="K435" s="14">
        <f>VLOOKUP($C435,Rotation!$A$2:$J$10,2,FALSE)</f>
        <v>0</v>
      </c>
      <c r="L435" s="14">
        <f>VLOOKUP($C435,Rotation!$A$2:$J$10,3,FALSE)</f>
        <v>0</v>
      </c>
      <c r="M435" s="14">
        <f>VLOOKUP($C435,Rotation!$A$2:$J$10,4,FALSE)</f>
        <v>1</v>
      </c>
      <c r="N435" s="14">
        <f>VLOOKUP($C435,Rotation!$A$2:$J$10,5,FALSE)</f>
        <v>1</v>
      </c>
      <c r="O435" s="14">
        <f>VLOOKUP($C435,Rotation!$A$2:$J$10,6,FALSE)</f>
        <v>0</v>
      </c>
      <c r="P435" s="14">
        <f>VLOOKUP($C435,Rotation!$A$2:$J$10,7,FALSE)</f>
        <v>0</v>
      </c>
      <c r="Q435" s="14">
        <f>VLOOKUP($C435,Rotation!$A$2:$J$10,8,FALSE)</f>
        <v>0</v>
      </c>
      <c r="R435" s="14">
        <f>VLOOKUP($C435,Rotation!$A$2:$J$10,9,FALSE)</f>
        <v>0</v>
      </c>
      <c r="S435" s="14">
        <f>VLOOKUP($C435,Rotation!$A$2:$J$10,10,FALSE)</f>
        <v>0</v>
      </c>
    </row>
    <row r="436" spans="1:19" ht="18">
      <c r="A436" s="14">
        <v>434</v>
      </c>
      <c r="B436" s="14" t="s">
        <v>106</v>
      </c>
      <c r="C436" s="14" t="str">
        <f>VLOOKUP(B436,Family!B:C,2,FALSE)</f>
        <v>P</v>
      </c>
      <c r="D436" s="15">
        <v>19</v>
      </c>
      <c r="E436" s="14">
        <f>ROUND(VLOOKUP(C436,'Production Plan'!A:B,2,FALSE),2)</f>
        <v>409.15</v>
      </c>
      <c r="F436" s="16">
        <v>45743</v>
      </c>
      <c r="G436" s="17">
        <f>F436+6*7</f>
        <v>45785</v>
      </c>
      <c r="H436" s="14">
        <f>G436-F436</f>
        <v>42</v>
      </c>
      <c r="I436" s="14">
        <f>ROUND(D436/E436,3)</f>
        <v>4.5999999999999999E-2</v>
      </c>
      <c r="J436" s="14">
        <f>I436*24</f>
        <v>1.1040000000000001</v>
      </c>
      <c r="K436" s="14">
        <f>VLOOKUP($C436,Rotation!$A$2:$J$10,2,FALSE)</f>
        <v>1</v>
      </c>
      <c r="L436" s="14">
        <f>VLOOKUP($C436,Rotation!$A$2:$J$10,3,FALSE)</f>
        <v>1</v>
      </c>
      <c r="M436" s="14">
        <f>VLOOKUP($C436,Rotation!$A$2:$J$10,4,FALSE)</f>
        <v>0</v>
      </c>
      <c r="N436" s="14">
        <f>VLOOKUP($C436,Rotation!$A$2:$J$10,5,FALSE)</f>
        <v>0</v>
      </c>
      <c r="O436" s="14">
        <f>VLOOKUP($C436,Rotation!$A$2:$J$10,6,FALSE)</f>
        <v>0</v>
      </c>
      <c r="P436" s="14">
        <f>VLOOKUP($C436,Rotation!$A$2:$J$10,7,FALSE)</f>
        <v>0</v>
      </c>
      <c r="Q436" s="14">
        <f>VLOOKUP($C436,Rotation!$A$2:$J$10,8,FALSE)</f>
        <v>0</v>
      </c>
      <c r="R436" s="14">
        <f>VLOOKUP($C436,Rotation!$A$2:$J$10,9,FALSE)</f>
        <v>0</v>
      </c>
      <c r="S436" s="14">
        <f>VLOOKUP($C436,Rotation!$A$2:$J$10,10,FALSE)</f>
        <v>0</v>
      </c>
    </row>
    <row r="437" spans="1:19" ht="18">
      <c r="A437" s="14">
        <v>435</v>
      </c>
      <c r="B437" s="14" t="s">
        <v>66</v>
      </c>
      <c r="C437" s="14" t="str">
        <f>VLOOKUP(B437,Family!B:C,2,FALSE)</f>
        <v>A</v>
      </c>
      <c r="D437" s="15">
        <v>54</v>
      </c>
      <c r="E437" s="14">
        <f>ROUND(VLOOKUP(C437,'Production Plan'!A:B,2,FALSE),2)</f>
        <v>407.17</v>
      </c>
      <c r="F437" s="16">
        <v>45783</v>
      </c>
      <c r="G437" s="17">
        <f>F437+6*7</f>
        <v>45825</v>
      </c>
      <c r="H437" s="14">
        <f>G437-F437</f>
        <v>42</v>
      </c>
      <c r="I437" s="14">
        <f>ROUND(D437/E437,3)</f>
        <v>0.13300000000000001</v>
      </c>
      <c r="J437" s="14">
        <f>I437*24</f>
        <v>3.1920000000000002</v>
      </c>
      <c r="K437" s="14">
        <f>VLOOKUP($C437,Rotation!$A$2:$J$10,2,FALSE)</f>
        <v>1</v>
      </c>
      <c r="L437" s="14">
        <f>VLOOKUP($C437,Rotation!$A$2:$J$10,3,FALSE)</f>
        <v>1</v>
      </c>
      <c r="M437" s="14">
        <f>VLOOKUP($C437,Rotation!$A$2:$J$10,4,FALSE)</f>
        <v>1</v>
      </c>
      <c r="N437" s="14">
        <f>VLOOKUP($C437,Rotation!$A$2:$J$10,5,FALSE)</f>
        <v>0</v>
      </c>
      <c r="O437" s="14">
        <f>VLOOKUP($C437,Rotation!$A$2:$J$10,6,FALSE)</f>
        <v>0</v>
      </c>
      <c r="P437" s="14">
        <f>VLOOKUP($C437,Rotation!$A$2:$J$10,7,FALSE)</f>
        <v>0</v>
      </c>
      <c r="Q437" s="14">
        <f>VLOOKUP($C437,Rotation!$A$2:$J$10,8,FALSE)</f>
        <v>0</v>
      </c>
      <c r="R437" s="14">
        <f>VLOOKUP($C437,Rotation!$A$2:$J$10,9,FALSE)</f>
        <v>0</v>
      </c>
      <c r="S437" s="14">
        <f>VLOOKUP($C437,Rotation!$A$2:$J$10,10,FALSE)</f>
        <v>0</v>
      </c>
    </row>
    <row r="438" spans="1:19" ht="18">
      <c r="A438" s="14">
        <v>436</v>
      </c>
      <c r="B438" s="14" t="s">
        <v>66</v>
      </c>
      <c r="C438" s="14" t="str">
        <f>VLOOKUP(B438,Family!B:C,2,FALSE)</f>
        <v>A</v>
      </c>
      <c r="D438" s="15">
        <v>54</v>
      </c>
      <c r="E438" s="14">
        <f>ROUND(VLOOKUP(C438,'Production Plan'!A:B,2,FALSE),2)</f>
        <v>407.17</v>
      </c>
      <c r="F438" s="16">
        <v>45748</v>
      </c>
      <c r="G438" s="17">
        <f>F438+6*7</f>
        <v>45790</v>
      </c>
      <c r="H438" s="14">
        <f>G438-F438</f>
        <v>42</v>
      </c>
      <c r="I438" s="14">
        <f>ROUND(D438/E438,3)</f>
        <v>0.13300000000000001</v>
      </c>
      <c r="J438" s="14">
        <f>I438*24</f>
        <v>3.1920000000000002</v>
      </c>
      <c r="K438" s="14">
        <f>VLOOKUP($C438,Rotation!$A$2:$J$10,2,FALSE)</f>
        <v>1</v>
      </c>
      <c r="L438" s="14">
        <f>VLOOKUP($C438,Rotation!$A$2:$J$10,3,FALSE)</f>
        <v>1</v>
      </c>
      <c r="M438" s="14">
        <f>VLOOKUP($C438,Rotation!$A$2:$J$10,4,FALSE)</f>
        <v>1</v>
      </c>
      <c r="N438" s="14">
        <f>VLOOKUP($C438,Rotation!$A$2:$J$10,5,FALSE)</f>
        <v>0</v>
      </c>
      <c r="O438" s="14">
        <f>VLOOKUP($C438,Rotation!$A$2:$J$10,6,FALSE)</f>
        <v>0</v>
      </c>
      <c r="P438" s="14">
        <f>VLOOKUP($C438,Rotation!$A$2:$J$10,7,FALSE)</f>
        <v>0</v>
      </c>
      <c r="Q438" s="14">
        <f>VLOOKUP($C438,Rotation!$A$2:$J$10,8,FALSE)</f>
        <v>0</v>
      </c>
      <c r="R438" s="14">
        <f>VLOOKUP($C438,Rotation!$A$2:$J$10,9,FALSE)</f>
        <v>0</v>
      </c>
      <c r="S438" s="14">
        <f>VLOOKUP($C438,Rotation!$A$2:$J$10,10,FALSE)</f>
        <v>0</v>
      </c>
    </row>
    <row r="439" spans="1:19" ht="18">
      <c r="A439" s="14">
        <v>437</v>
      </c>
      <c r="B439" s="14" t="s">
        <v>112</v>
      </c>
      <c r="C439" s="14" t="str">
        <f>VLOOKUP(B439,Family!B:C,2,FALSE)</f>
        <v>N</v>
      </c>
      <c r="D439" s="15">
        <v>70</v>
      </c>
      <c r="E439" s="14">
        <f>ROUND(VLOOKUP(C439,'Production Plan'!A:B,2,FALSE),2)</f>
        <v>334.18</v>
      </c>
      <c r="F439" s="16">
        <v>45690</v>
      </c>
      <c r="G439" s="17">
        <f>F439+6*7</f>
        <v>45732</v>
      </c>
      <c r="H439" s="14">
        <f>G439-F439</f>
        <v>42</v>
      </c>
      <c r="I439" s="14">
        <f>ROUND(D439/E439,3)</f>
        <v>0.20899999999999999</v>
      </c>
      <c r="J439" s="14">
        <f>I439*24</f>
        <v>5.016</v>
      </c>
      <c r="K439" s="14">
        <f>VLOOKUP($C439,Rotation!$A$2:$J$10,2,FALSE)</f>
        <v>1</v>
      </c>
      <c r="L439" s="14">
        <f>VLOOKUP($C439,Rotation!$A$2:$J$10,3,FALSE)</f>
        <v>0</v>
      </c>
      <c r="M439" s="14">
        <f>VLOOKUP($C439,Rotation!$A$2:$J$10,4,FALSE)</f>
        <v>0</v>
      </c>
      <c r="N439" s="14">
        <f>VLOOKUP($C439,Rotation!$A$2:$J$10,5,FALSE)</f>
        <v>0</v>
      </c>
      <c r="O439" s="14">
        <f>VLOOKUP($C439,Rotation!$A$2:$J$10,6,FALSE)</f>
        <v>0</v>
      </c>
      <c r="P439" s="14">
        <f>VLOOKUP($C439,Rotation!$A$2:$J$10,7,FALSE)</f>
        <v>0</v>
      </c>
      <c r="Q439" s="14">
        <f>VLOOKUP($C439,Rotation!$A$2:$J$10,8,FALSE)</f>
        <v>1</v>
      </c>
      <c r="R439" s="14">
        <f>VLOOKUP($C439,Rotation!$A$2:$J$10,9,FALSE)</f>
        <v>0</v>
      </c>
      <c r="S439" s="14">
        <f>VLOOKUP($C439,Rotation!$A$2:$J$10,10,FALSE)</f>
        <v>0</v>
      </c>
    </row>
    <row r="440" spans="1:19" ht="18">
      <c r="A440" s="14">
        <v>438</v>
      </c>
      <c r="B440" s="14" t="s">
        <v>98</v>
      </c>
      <c r="C440" s="14" t="str">
        <f>VLOOKUP(B440,Family!B:C,2,FALSE)</f>
        <v>H</v>
      </c>
      <c r="D440" s="15">
        <v>19</v>
      </c>
      <c r="E440" s="14">
        <f>ROUND(VLOOKUP(C440,'Production Plan'!A:B,2,FALSE),2)</f>
        <v>402.02</v>
      </c>
      <c r="F440" s="16">
        <v>45706</v>
      </c>
      <c r="G440" s="17">
        <f>F440+6*7</f>
        <v>45748</v>
      </c>
      <c r="H440" s="14">
        <f>G440-F440</f>
        <v>42</v>
      </c>
      <c r="I440" s="14">
        <f>ROUND(D440/E440,3)</f>
        <v>4.7E-2</v>
      </c>
      <c r="J440" s="14">
        <f>I440*24</f>
        <v>1.1280000000000001</v>
      </c>
      <c r="K440" s="14">
        <f>VLOOKUP($C440,Rotation!$A$2:$J$10,2,FALSE)</f>
        <v>0</v>
      </c>
      <c r="L440" s="14">
        <f>VLOOKUP($C440,Rotation!$A$2:$J$10,3,FALSE)</f>
        <v>0</v>
      </c>
      <c r="M440" s="14">
        <f>VLOOKUP($C440,Rotation!$A$2:$J$10,4,FALSE)</f>
        <v>1</v>
      </c>
      <c r="N440" s="14">
        <f>VLOOKUP($C440,Rotation!$A$2:$J$10,5,FALSE)</f>
        <v>1</v>
      </c>
      <c r="O440" s="14">
        <f>VLOOKUP($C440,Rotation!$A$2:$J$10,6,FALSE)</f>
        <v>0</v>
      </c>
      <c r="P440" s="14">
        <f>VLOOKUP($C440,Rotation!$A$2:$J$10,7,FALSE)</f>
        <v>0</v>
      </c>
      <c r="Q440" s="14">
        <f>VLOOKUP($C440,Rotation!$A$2:$J$10,8,FALSE)</f>
        <v>0</v>
      </c>
      <c r="R440" s="14">
        <f>VLOOKUP($C440,Rotation!$A$2:$J$10,9,FALSE)</f>
        <v>0</v>
      </c>
      <c r="S440" s="14">
        <f>VLOOKUP($C440,Rotation!$A$2:$J$10,10,FALSE)</f>
        <v>0</v>
      </c>
    </row>
    <row r="441" spans="1:19" ht="18">
      <c r="A441" s="14">
        <v>439</v>
      </c>
      <c r="B441" s="14" t="s">
        <v>98</v>
      </c>
      <c r="C441" s="14" t="str">
        <f>VLOOKUP(B441,Family!B:C,2,FALSE)</f>
        <v>H</v>
      </c>
      <c r="D441" s="15">
        <v>19</v>
      </c>
      <c r="E441" s="14">
        <f>ROUND(VLOOKUP(C441,'Production Plan'!A:B,2,FALSE),2)</f>
        <v>402.02</v>
      </c>
      <c r="F441" s="16">
        <v>45706</v>
      </c>
      <c r="G441" s="17">
        <f>F441+6*7</f>
        <v>45748</v>
      </c>
      <c r="H441" s="14">
        <f>G441-F441</f>
        <v>42</v>
      </c>
      <c r="I441" s="14">
        <f>ROUND(D441/E441,3)</f>
        <v>4.7E-2</v>
      </c>
      <c r="J441" s="14">
        <f>I441*24</f>
        <v>1.1280000000000001</v>
      </c>
      <c r="K441" s="14">
        <f>VLOOKUP($C441,Rotation!$A$2:$J$10,2,FALSE)</f>
        <v>0</v>
      </c>
      <c r="L441" s="14">
        <f>VLOOKUP($C441,Rotation!$A$2:$J$10,3,FALSE)</f>
        <v>0</v>
      </c>
      <c r="M441" s="14">
        <f>VLOOKUP($C441,Rotation!$A$2:$J$10,4,FALSE)</f>
        <v>1</v>
      </c>
      <c r="N441" s="14">
        <f>VLOOKUP($C441,Rotation!$A$2:$J$10,5,FALSE)</f>
        <v>1</v>
      </c>
      <c r="O441" s="14">
        <f>VLOOKUP($C441,Rotation!$A$2:$J$10,6,FALSE)</f>
        <v>0</v>
      </c>
      <c r="P441" s="14">
        <f>VLOOKUP($C441,Rotation!$A$2:$J$10,7,FALSE)</f>
        <v>0</v>
      </c>
      <c r="Q441" s="14">
        <f>VLOOKUP($C441,Rotation!$A$2:$J$10,8,FALSE)</f>
        <v>0</v>
      </c>
      <c r="R441" s="14">
        <f>VLOOKUP($C441,Rotation!$A$2:$J$10,9,FALSE)</f>
        <v>0</v>
      </c>
      <c r="S441" s="14">
        <f>VLOOKUP($C441,Rotation!$A$2:$J$10,10,FALSE)</f>
        <v>0</v>
      </c>
    </row>
    <row r="442" spans="1:19" ht="18">
      <c r="A442" s="14">
        <v>440</v>
      </c>
      <c r="B442" s="14" t="s">
        <v>106</v>
      </c>
      <c r="C442" s="14" t="str">
        <f>VLOOKUP(B442,Family!B:C,2,FALSE)</f>
        <v>P</v>
      </c>
      <c r="D442" s="15">
        <v>19</v>
      </c>
      <c r="E442" s="14">
        <f>ROUND(VLOOKUP(C442,'Production Plan'!A:B,2,FALSE),2)</f>
        <v>409.15</v>
      </c>
      <c r="F442" s="16">
        <v>45730</v>
      </c>
      <c r="G442" s="17">
        <f>F442+6*7</f>
        <v>45772</v>
      </c>
      <c r="H442" s="14">
        <f>G442-F442</f>
        <v>42</v>
      </c>
      <c r="I442" s="14">
        <f>ROUND(D442/E442,3)</f>
        <v>4.5999999999999999E-2</v>
      </c>
      <c r="J442" s="14">
        <f>I442*24</f>
        <v>1.1040000000000001</v>
      </c>
      <c r="K442" s="14">
        <f>VLOOKUP($C442,Rotation!$A$2:$J$10,2,FALSE)</f>
        <v>1</v>
      </c>
      <c r="L442" s="14">
        <f>VLOOKUP($C442,Rotation!$A$2:$J$10,3,FALSE)</f>
        <v>1</v>
      </c>
      <c r="M442" s="14">
        <f>VLOOKUP($C442,Rotation!$A$2:$J$10,4,FALSE)</f>
        <v>0</v>
      </c>
      <c r="N442" s="14">
        <f>VLOOKUP($C442,Rotation!$A$2:$J$10,5,FALSE)</f>
        <v>0</v>
      </c>
      <c r="O442" s="14">
        <f>VLOOKUP($C442,Rotation!$A$2:$J$10,6,FALSE)</f>
        <v>0</v>
      </c>
      <c r="P442" s="14">
        <f>VLOOKUP($C442,Rotation!$A$2:$J$10,7,FALSE)</f>
        <v>0</v>
      </c>
      <c r="Q442" s="14">
        <f>VLOOKUP($C442,Rotation!$A$2:$J$10,8,FALSE)</f>
        <v>0</v>
      </c>
      <c r="R442" s="14">
        <f>VLOOKUP($C442,Rotation!$A$2:$J$10,9,FALSE)</f>
        <v>0</v>
      </c>
      <c r="S442" s="14">
        <f>VLOOKUP($C442,Rotation!$A$2:$J$10,10,FALSE)</f>
        <v>0</v>
      </c>
    </row>
    <row r="443" spans="1:19" ht="18">
      <c r="A443" s="14">
        <v>441</v>
      </c>
      <c r="B443" s="14" t="s">
        <v>106</v>
      </c>
      <c r="C443" s="14" t="str">
        <f>VLOOKUP(B443,Family!B:C,2,FALSE)</f>
        <v>P</v>
      </c>
      <c r="D443" s="15">
        <v>19</v>
      </c>
      <c r="E443" s="14">
        <f>ROUND(VLOOKUP(C443,'Production Plan'!A:B,2,FALSE),2)</f>
        <v>409.15</v>
      </c>
      <c r="F443" s="16">
        <v>45743</v>
      </c>
      <c r="G443" s="17">
        <f>F443+6*7</f>
        <v>45785</v>
      </c>
      <c r="H443" s="14">
        <f>G443-F443</f>
        <v>42</v>
      </c>
      <c r="I443" s="14">
        <f>ROUND(D443/E443,3)</f>
        <v>4.5999999999999999E-2</v>
      </c>
      <c r="J443" s="14">
        <f>I443*24</f>
        <v>1.1040000000000001</v>
      </c>
      <c r="K443" s="14">
        <f>VLOOKUP($C443,Rotation!$A$2:$J$10,2,FALSE)</f>
        <v>1</v>
      </c>
      <c r="L443" s="14">
        <f>VLOOKUP($C443,Rotation!$A$2:$J$10,3,FALSE)</f>
        <v>1</v>
      </c>
      <c r="M443" s="14">
        <f>VLOOKUP($C443,Rotation!$A$2:$J$10,4,FALSE)</f>
        <v>0</v>
      </c>
      <c r="N443" s="14">
        <f>VLOOKUP($C443,Rotation!$A$2:$J$10,5,FALSE)</f>
        <v>0</v>
      </c>
      <c r="O443" s="14">
        <f>VLOOKUP($C443,Rotation!$A$2:$J$10,6,FALSE)</f>
        <v>0</v>
      </c>
      <c r="P443" s="14">
        <f>VLOOKUP($C443,Rotation!$A$2:$J$10,7,FALSE)</f>
        <v>0</v>
      </c>
      <c r="Q443" s="14">
        <f>VLOOKUP($C443,Rotation!$A$2:$J$10,8,FALSE)</f>
        <v>0</v>
      </c>
      <c r="R443" s="14">
        <f>VLOOKUP($C443,Rotation!$A$2:$J$10,9,FALSE)</f>
        <v>0</v>
      </c>
      <c r="S443" s="14">
        <f>VLOOKUP($C443,Rotation!$A$2:$J$10,10,FALSE)</f>
        <v>0</v>
      </c>
    </row>
    <row r="444" spans="1:19" ht="18">
      <c r="A444" s="14">
        <v>442</v>
      </c>
      <c r="B444" s="14" t="s">
        <v>111</v>
      </c>
      <c r="C444" s="14" t="str">
        <f>VLOOKUP(B444,Family!B:C,2,FALSE)</f>
        <v>N</v>
      </c>
      <c r="D444" s="15">
        <v>22</v>
      </c>
      <c r="E444" s="14">
        <f>ROUND(VLOOKUP(C444,'Production Plan'!A:B,2,FALSE),2)</f>
        <v>334.18</v>
      </c>
      <c r="F444" s="16">
        <v>45736</v>
      </c>
      <c r="G444" s="17">
        <f>F444+6*7</f>
        <v>45778</v>
      </c>
      <c r="H444" s="14">
        <f>G444-F444</f>
        <v>42</v>
      </c>
      <c r="I444" s="14">
        <f>ROUND(D444/E444,3)</f>
        <v>6.6000000000000003E-2</v>
      </c>
      <c r="J444" s="14">
        <f>I444*24</f>
        <v>1.5840000000000001</v>
      </c>
      <c r="K444" s="14">
        <f>VLOOKUP($C444,Rotation!$A$2:$J$10,2,FALSE)</f>
        <v>1</v>
      </c>
      <c r="L444" s="14">
        <f>VLOOKUP($C444,Rotation!$A$2:$J$10,3,FALSE)</f>
        <v>0</v>
      </c>
      <c r="M444" s="14">
        <f>VLOOKUP($C444,Rotation!$A$2:$J$10,4,FALSE)</f>
        <v>0</v>
      </c>
      <c r="N444" s="14">
        <f>VLOOKUP($C444,Rotation!$A$2:$J$10,5,FALSE)</f>
        <v>0</v>
      </c>
      <c r="O444" s="14">
        <f>VLOOKUP($C444,Rotation!$A$2:$J$10,6,FALSE)</f>
        <v>0</v>
      </c>
      <c r="P444" s="14">
        <f>VLOOKUP($C444,Rotation!$A$2:$J$10,7,FALSE)</f>
        <v>0</v>
      </c>
      <c r="Q444" s="14">
        <f>VLOOKUP($C444,Rotation!$A$2:$J$10,8,FALSE)</f>
        <v>1</v>
      </c>
      <c r="R444" s="14">
        <f>VLOOKUP($C444,Rotation!$A$2:$J$10,9,FALSE)</f>
        <v>0</v>
      </c>
      <c r="S444" s="14">
        <f>VLOOKUP($C444,Rotation!$A$2:$J$10,10,FALSE)</f>
        <v>0</v>
      </c>
    </row>
    <row r="445" spans="1:19" ht="18">
      <c r="A445" s="14">
        <v>443</v>
      </c>
      <c r="B445" s="14" t="s">
        <v>111</v>
      </c>
      <c r="C445" s="14" t="str">
        <f>VLOOKUP(B445,Family!B:C,2,FALSE)</f>
        <v>N</v>
      </c>
      <c r="D445" s="15">
        <v>67</v>
      </c>
      <c r="E445" s="14">
        <f>ROUND(VLOOKUP(C445,'Production Plan'!A:B,2,FALSE),2)</f>
        <v>334.18</v>
      </c>
      <c r="F445" s="16">
        <v>45699</v>
      </c>
      <c r="G445" s="17">
        <f>F445+6*7</f>
        <v>45741</v>
      </c>
      <c r="H445" s="14">
        <f>G445-F445</f>
        <v>42</v>
      </c>
      <c r="I445" s="14">
        <f>ROUND(D445/E445,3)</f>
        <v>0.2</v>
      </c>
      <c r="J445" s="14">
        <f>I445*24</f>
        <v>4.8000000000000007</v>
      </c>
      <c r="K445" s="14">
        <f>VLOOKUP($C445,Rotation!$A$2:$J$10,2,FALSE)</f>
        <v>1</v>
      </c>
      <c r="L445" s="14">
        <f>VLOOKUP($C445,Rotation!$A$2:$J$10,3,FALSE)</f>
        <v>0</v>
      </c>
      <c r="M445" s="14">
        <f>VLOOKUP($C445,Rotation!$A$2:$J$10,4,FALSE)</f>
        <v>0</v>
      </c>
      <c r="N445" s="14">
        <f>VLOOKUP($C445,Rotation!$A$2:$J$10,5,FALSE)</f>
        <v>0</v>
      </c>
      <c r="O445" s="14">
        <f>VLOOKUP($C445,Rotation!$A$2:$J$10,6,FALSE)</f>
        <v>0</v>
      </c>
      <c r="P445" s="14">
        <f>VLOOKUP($C445,Rotation!$A$2:$J$10,7,FALSE)</f>
        <v>0</v>
      </c>
      <c r="Q445" s="14">
        <f>VLOOKUP($C445,Rotation!$A$2:$J$10,8,FALSE)</f>
        <v>1</v>
      </c>
      <c r="R445" s="14">
        <f>VLOOKUP($C445,Rotation!$A$2:$J$10,9,FALSE)</f>
        <v>0</v>
      </c>
      <c r="S445" s="14">
        <f>VLOOKUP($C445,Rotation!$A$2:$J$10,10,FALSE)</f>
        <v>0</v>
      </c>
    </row>
    <row r="446" spans="1:19" ht="18">
      <c r="A446" s="14">
        <v>444</v>
      </c>
      <c r="B446" s="14" t="s">
        <v>111</v>
      </c>
      <c r="C446" s="14" t="str">
        <f>VLOOKUP(B446,Family!B:C,2,FALSE)</f>
        <v>N</v>
      </c>
      <c r="D446" s="15">
        <v>67</v>
      </c>
      <c r="E446" s="14">
        <f>ROUND(VLOOKUP(C446,'Production Plan'!A:B,2,FALSE),2)</f>
        <v>334.18</v>
      </c>
      <c r="F446" s="16">
        <v>45699</v>
      </c>
      <c r="G446" s="17">
        <f>F446+6*7</f>
        <v>45741</v>
      </c>
      <c r="H446" s="14">
        <f>G446-F446</f>
        <v>42</v>
      </c>
      <c r="I446" s="14">
        <f>ROUND(D446/E446,3)</f>
        <v>0.2</v>
      </c>
      <c r="J446" s="14">
        <f>I446*24</f>
        <v>4.8000000000000007</v>
      </c>
      <c r="K446" s="14">
        <f>VLOOKUP($C446,Rotation!$A$2:$J$10,2,FALSE)</f>
        <v>1</v>
      </c>
      <c r="L446" s="14">
        <f>VLOOKUP($C446,Rotation!$A$2:$J$10,3,FALSE)</f>
        <v>0</v>
      </c>
      <c r="M446" s="14">
        <f>VLOOKUP($C446,Rotation!$A$2:$J$10,4,FALSE)</f>
        <v>0</v>
      </c>
      <c r="N446" s="14">
        <f>VLOOKUP($C446,Rotation!$A$2:$J$10,5,FALSE)</f>
        <v>0</v>
      </c>
      <c r="O446" s="14">
        <f>VLOOKUP($C446,Rotation!$A$2:$J$10,6,FALSE)</f>
        <v>0</v>
      </c>
      <c r="P446" s="14">
        <f>VLOOKUP($C446,Rotation!$A$2:$J$10,7,FALSE)</f>
        <v>0</v>
      </c>
      <c r="Q446" s="14">
        <f>VLOOKUP($C446,Rotation!$A$2:$J$10,8,FALSE)</f>
        <v>1</v>
      </c>
      <c r="R446" s="14">
        <f>VLOOKUP($C446,Rotation!$A$2:$J$10,9,FALSE)</f>
        <v>0</v>
      </c>
      <c r="S446" s="14">
        <f>VLOOKUP($C446,Rotation!$A$2:$J$10,10,FALSE)</f>
        <v>0</v>
      </c>
    </row>
    <row r="447" spans="1:19" ht="18">
      <c r="A447" s="14">
        <v>445</v>
      </c>
      <c r="B447" s="14" t="s">
        <v>111</v>
      </c>
      <c r="C447" s="14" t="str">
        <f>VLOOKUP(B447,Family!B:C,2,FALSE)</f>
        <v>N</v>
      </c>
      <c r="D447" s="15">
        <v>67</v>
      </c>
      <c r="E447" s="14">
        <f>ROUND(VLOOKUP(C447,'Production Plan'!A:B,2,FALSE),2)</f>
        <v>334.18</v>
      </c>
      <c r="F447" s="16">
        <v>45699</v>
      </c>
      <c r="G447" s="17">
        <f>F447+6*7</f>
        <v>45741</v>
      </c>
      <c r="H447" s="14">
        <f>G447-F447</f>
        <v>42</v>
      </c>
      <c r="I447" s="14">
        <f>ROUND(D447/E447,3)</f>
        <v>0.2</v>
      </c>
      <c r="J447" s="14">
        <f>I447*24</f>
        <v>4.8000000000000007</v>
      </c>
      <c r="K447" s="14">
        <f>VLOOKUP($C447,Rotation!$A$2:$J$10,2,FALSE)</f>
        <v>1</v>
      </c>
      <c r="L447" s="14">
        <f>VLOOKUP($C447,Rotation!$A$2:$J$10,3,FALSE)</f>
        <v>0</v>
      </c>
      <c r="M447" s="14">
        <f>VLOOKUP($C447,Rotation!$A$2:$J$10,4,FALSE)</f>
        <v>0</v>
      </c>
      <c r="N447" s="14">
        <f>VLOOKUP($C447,Rotation!$A$2:$J$10,5,FALSE)</f>
        <v>0</v>
      </c>
      <c r="O447" s="14">
        <f>VLOOKUP($C447,Rotation!$A$2:$J$10,6,FALSE)</f>
        <v>0</v>
      </c>
      <c r="P447" s="14">
        <f>VLOOKUP($C447,Rotation!$A$2:$J$10,7,FALSE)</f>
        <v>0</v>
      </c>
      <c r="Q447" s="14">
        <f>VLOOKUP($C447,Rotation!$A$2:$J$10,8,FALSE)</f>
        <v>1</v>
      </c>
      <c r="R447" s="14">
        <f>VLOOKUP($C447,Rotation!$A$2:$J$10,9,FALSE)</f>
        <v>0</v>
      </c>
      <c r="S447" s="14">
        <f>VLOOKUP($C447,Rotation!$A$2:$J$10,10,FALSE)</f>
        <v>0</v>
      </c>
    </row>
    <row r="448" spans="1:19" ht="18">
      <c r="A448" s="14">
        <v>446</v>
      </c>
      <c r="B448" s="14" t="s">
        <v>111</v>
      </c>
      <c r="C448" s="14" t="str">
        <f>VLOOKUP(B448,Family!B:C,2,FALSE)</f>
        <v>N</v>
      </c>
      <c r="D448" s="15">
        <v>67</v>
      </c>
      <c r="E448" s="14">
        <f>ROUND(VLOOKUP(C448,'Production Plan'!A:B,2,FALSE),2)</f>
        <v>334.18</v>
      </c>
      <c r="F448" s="16">
        <v>45699</v>
      </c>
      <c r="G448" s="17">
        <f>F448+6*7</f>
        <v>45741</v>
      </c>
      <c r="H448" s="14">
        <f>G448-F448</f>
        <v>42</v>
      </c>
      <c r="I448" s="14">
        <f>ROUND(D448/E448,3)</f>
        <v>0.2</v>
      </c>
      <c r="J448" s="14">
        <f>I448*24</f>
        <v>4.8000000000000007</v>
      </c>
      <c r="K448" s="14">
        <f>VLOOKUP($C448,Rotation!$A$2:$J$10,2,FALSE)</f>
        <v>1</v>
      </c>
      <c r="L448" s="14">
        <f>VLOOKUP($C448,Rotation!$A$2:$J$10,3,FALSE)</f>
        <v>0</v>
      </c>
      <c r="M448" s="14">
        <f>VLOOKUP($C448,Rotation!$A$2:$J$10,4,FALSE)</f>
        <v>0</v>
      </c>
      <c r="N448" s="14">
        <f>VLOOKUP($C448,Rotation!$A$2:$J$10,5,FALSE)</f>
        <v>0</v>
      </c>
      <c r="O448" s="14">
        <f>VLOOKUP($C448,Rotation!$A$2:$J$10,6,FALSE)</f>
        <v>0</v>
      </c>
      <c r="P448" s="14">
        <f>VLOOKUP($C448,Rotation!$A$2:$J$10,7,FALSE)</f>
        <v>0</v>
      </c>
      <c r="Q448" s="14">
        <f>VLOOKUP($C448,Rotation!$A$2:$J$10,8,FALSE)</f>
        <v>1</v>
      </c>
      <c r="R448" s="14">
        <f>VLOOKUP($C448,Rotation!$A$2:$J$10,9,FALSE)</f>
        <v>0</v>
      </c>
      <c r="S448" s="14">
        <f>VLOOKUP($C448,Rotation!$A$2:$J$10,10,FALSE)</f>
        <v>0</v>
      </c>
    </row>
    <row r="449" spans="1:19" ht="18">
      <c r="A449" s="14">
        <v>447</v>
      </c>
      <c r="B449" s="14" t="s">
        <v>77</v>
      </c>
      <c r="C449" s="14" t="str">
        <f>VLOOKUP(B449,Family!B:C,2,FALSE)</f>
        <v>E</v>
      </c>
      <c r="D449" s="15">
        <v>18</v>
      </c>
      <c r="E449" s="14">
        <f>ROUND(VLOOKUP(C449,'Production Plan'!A:B,2,FALSE),2)</f>
        <v>333.66</v>
      </c>
      <c r="F449" s="16">
        <v>45671</v>
      </c>
      <c r="G449" s="17">
        <f>F449+6*7</f>
        <v>45713</v>
      </c>
      <c r="H449" s="14">
        <f>G449-F449</f>
        <v>42</v>
      </c>
      <c r="I449" s="14">
        <f>ROUND(D449/E449,3)</f>
        <v>5.3999999999999999E-2</v>
      </c>
      <c r="J449" s="14">
        <f>I449*24</f>
        <v>1.296</v>
      </c>
      <c r="K449" s="14">
        <f>VLOOKUP($C449,Rotation!$A$2:$J$10,2,FALSE)</f>
        <v>1</v>
      </c>
      <c r="L449" s="14">
        <f>VLOOKUP($C449,Rotation!$A$2:$J$10,3,FALSE)</f>
        <v>0</v>
      </c>
      <c r="M449" s="14">
        <f>VLOOKUP($C449,Rotation!$A$2:$J$10,4,FALSE)</f>
        <v>0</v>
      </c>
      <c r="N449" s="14">
        <f>VLOOKUP($C449,Rotation!$A$2:$J$10,5,FALSE)</f>
        <v>0</v>
      </c>
      <c r="O449" s="14">
        <f>VLOOKUP($C449,Rotation!$A$2:$J$10,6,FALSE)</f>
        <v>0</v>
      </c>
      <c r="P449" s="14">
        <f>VLOOKUP($C449,Rotation!$A$2:$J$10,7,FALSE)</f>
        <v>1</v>
      </c>
      <c r="Q449" s="14">
        <f>VLOOKUP($C449,Rotation!$A$2:$J$10,8,FALSE)</f>
        <v>0</v>
      </c>
      <c r="R449" s="14">
        <f>VLOOKUP($C449,Rotation!$A$2:$J$10,9,FALSE)</f>
        <v>0</v>
      </c>
      <c r="S449" s="14">
        <f>VLOOKUP($C449,Rotation!$A$2:$J$10,10,FALSE)</f>
        <v>0</v>
      </c>
    </row>
    <row r="450" spans="1:19" ht="18">
      <c r="A450" s="14">
        <v>448</v>
      </c>
      <c r="B450" s="14" t="s">
        <v>98</v>
      </c>
      <c r="C450" s="14" t="str">
        <f>VLOOKUP(B450,Family!B:C,2,FALSE)</f>
        <v>H</v>
      </c>
      <c r="D450" s="15">
        <v>19</v>
      </c>
      <c r="E450" s="14">
        <f>ROUND(VLOOKUP(C450,'Production Plan'!A:B,2,FALSE),2)</f>
        <v>402.02</v>
      </c>
      <c r="F450" s="16">
        <v>45706</v>
      </c>
      <c r="G450" s="17">
        <f>F450+6*7</f>
        <v>45748</v>
      </c>
      <c r="H450" s="14">
        <f>G450-F450</f>
        <v>42</v>
      </c>
      <c r="I450" s="14">
        <f>ROUND(D450/E450,3)</f>
        <v>4.7E-2</v>
      </c>
      <c r="J450" s="14">
        <f>I450*24</f>
        <v>1.1280000000000001</v>
      </c>
      <c r="K450" s="14">
        <f>VLOOKUP($C450,Rotation!$A$2:$J$10,2,FALSE)</f>
        <v>0</v>
      </c>
      <c r="L450" s="14">
        <f>VLOOKUP($C450,Rotation!$A$2:$J$10,3,FALSE)</f>
        <v>0</v>
      </c>
      <c r="M450" s="14">
        <f>VLOOKUP($C450,Rotation!$A$2:$J$10,4,FALSE)</f>
        <v>1</v>
      </c>
      <c r="N450" s="14">
        <f>VLOOKUP($C450,Rotation!$A$2:$J$10,5,FALSE)</f>
        <v>1</v>
      </c>
      <c r="O450" s="14">
        <f>VLOOKUP($C450,Rotation!$A$2:$J$10,6,FALSE)</f>
        <v>0</v>
      </c>
      <c r="P450" s="14">
        <f>VLOOKUP($C450,Rotation!$A$2:$J$10,7,FALSE)</f>
        <v>0</v>
      </c>
      <c r="Q450" s="14">
        <f>VLOOKUP($C450,Rotation!$A$2:$J$10,8,FALSE)</f>
        <v>0</v>
      </c>
      <c r="R450" s="14">
        <f>VLOOKUP($C450,Rotation!$A$2:$J$10,9,FALSE)</f>
        <v>0</v>
      </c>
      <c r="S450" s="14">
        <f>VLOOKUP($C450,Rotation!$A$2:$J$10,10,FALSE)</f>
        <v>0</v>
      </c>
    </row>
    <row r="451" spans="1:19" ht="18">
      <c r="A451" s="14">
        <v>449</v>
      </c>
      <c r="B451" s="14" t="s">
        <v>65</v>
      </c>
      <c r="C451" s="14" t="str">
        <f>VLOOKUP(B451,Family!B:C,2,FALSE)</f>
        <v>A</v>
      </c>
      <c r="D451" s="15">
        <v>19</v>
      </c>
      <c r="E451" s="14">
        <f>ROUND(VLOOKUP(C451,'Production Plan'!A:B,2,FALSE),2)</f>
        <v>407.17</v>
      </c>
      <c r="F451" s="16">
        <v>45755</v>
      </c>
      <c r="G451" s="17">
        <f>F451+6*7</f>
        <v>45797</v>
      </c>
      <c r="H451" s="14">
        <f>G451-F451</f>
        <v>42</v>
      </c>
      <c r="I451" s="14">
        <f>ROUND(D451/E451,3)</f>
        <v>4.7E-2</v>
      </c>
      <c r="J451" s="14">
        <f>I451*24</f>
        <v>1.1280000000000001</v>
      </c>
      <c r="K451" s="14">
        <f>VLOOKUP($C451,Rotation!$A$2:$J$10,2,FALSE)</f>
        <v>1</v>
      </c>
      <c r="L451" s="14">
        <f>VLOOKUP($C451,Rotation!$A$2:$J$10,3,FALSE)</f>
        <v>1</v>
      </c>
      <c r="M451" s="14">
        <f>VLOOKUP($C451,Rotation!$A$2:$J$10,4,FALSE)</f>
        <v>1</v>
      </c>
      <c r="N451" s="14">
        <f>VLOOKUP($C451,Rotation!$A$2:$J$10,5,FALSE)</f>
        <v>0</v>
      </c>
      <c r="O451" s="14">
        <f>VLOOKUP($C451,Rotation!$A$2:$J$10,6,FALSE)</f>
        <v>0</v>
      </c>
      <c r="P451" s="14">
        <f>VLOOKUP($C451,Rotation!$A$2:$J$10,7,FALSE)</f>
        <v>0</v>
      </c>
      <c r="Q451" s="14">
        <f>VLOOKUP($C451,Rotation!$A$2:$J$10,8,FALSE)</f>
        <v>0</v>
      </c>
      <c r="R451" s="14">
        <f>VLOOKUP($C451,Rotation!$A$2:$J$10,9,FALSE)</f>
        <v>0</v>
      </c>
      <c r="S451" s="14">
        <f>VLOOKUP($C451,Rotation!$A$2:$J$10,10,FALSE)</f>
        <v>0</v>
      </c>
    </row>
    <row r="452" spans="1:19" ht="18">
      <c r="A452" s="14">
        <v>450</v>
      </c>
      <c r="B452" s="14" t="s">
        <v>65</v>
      </c>
      <c r="C452" s="14" t="str">
        <f>VLOOKUP(B452,Family!B:C,2,FALSE)</f>
        <v>A</v>
      </c>
      <c r="D452" s="15">
        <v>19</v>
      </c>
      <c r="E452" s="14">
        <f>ROUND(VLOOKUP(C452,'Production Plan'!A:B,2,FALSE),2)</f>
        <v>407.17</v>
      </c>
      <c r="F452" s="16">
        <v>45755</v>
      </c>
      <c r="G452" s="17">
        <f>F452+6*7</f>
        <v>45797</v>
      </c>
      <c r="H452" s="14">
        <f>G452-F452</f>
        <v>42</v>
      </c>
      <c r="I452" s="14">
        <f>ROUND(D452/E452,3)</f>
        <v>4.7E-2</v>
      </c>
      <c r="J452" s="14">
        <f>I452*24</f>
        <v>1.1280000000000001</v>
      </c>
      <c r="K452" s="14">
        <f>VLOOKUP($C452,Rotation!$A$2:$J$10,2,FALSE)</f>
        <v>1</v>
      </c>
      <c r="L452" s="14">
        <f>VLOOKUP($C452,Rotation!$A$2:$J$10,3,FALSE)</f>
        <v>1</v>
      </c>
      <c r="M452" s="14">
        <f>VLOOKUP($C452,Rotation!$A$2:$J$10,4,FALSE)</f>
        <v>1</v>
      </c>
      <c r="N452" s="14">
        <f>VLOOKUP($C452,Rotation!$A$2:$J$10,5,FALSE)</f>
        <v>0</v>
      </c>
      <c r="O452" s="14">
        <f>VLOOKUP($C452,Rotation!$A$2:$J$10,6,FALSE)</f>
        <v>0</v>
      </c>
      <c r="P452" s="14">
        <f>VLOOKUP($C452,Rotation!$A$2:$J$10,7,FALSE)</f>
        <v>0</v>
      </c>
      <c r="Q452" s="14">
        <f>VLOOKUP($C452,Rotation!$A$2:$J$10,8,FALSE)</f>
        <v>0</v>
      </c>
      <c r="R452" s="14">
        <f>VLOOKUP($C452,Rotation!$A$2:$J$10,9,FALSE)</f>
        <v>0</v>
      </c>
      <c r="S452" s="14">
        <f>VLOOKUP($C452,Rotation!$A$2:$J$10,10,FALSE)</f>
        <v>0</v>
      </c>
    </row>
    <row r="453" spans="1:19" ht="18">
      <c r="A453" s="14">
        <v>451</v>
      </c>
      <c r="B453" s="14" t="s">
        <v>65</v>
      </c>
      <c r="C453" s="14" t="str">
        <f>VLOOKUP(B453,Family!B:C,2,FALSE)</f>
        <v>A</v>
      </c>
      <c r="D453" s="15">
        <v>19</v>
      </c>
      <c r="E453" s="14">
        <f>ROUND(VLOOKUP(C453,'Production Plan'!A:B,2,FALSE),2)</f>
        <v>407.17</v>
      </c>
      <c r="F453" s="16">
        <v>45755</v>
      </c>
      <c r="G453" s="17">
        <f>F453+6*7</f>
        <v>45797</v>
      </c>
      <c r="H453" s="14">
        <f>G453-F453</f>
        <v>42</v>
      </c>
      <c r="I453" s="14">
        <f>ROUND(D453/E453,3)</f>
        <v>4.7E-2</v>
      </c>
      <c r="J453" s="14">
        <f>I453*24</f>
        <v>1.1280000000000001</v>
      </c>
      <c r="K453" s="14">
        <f>VLOOKUP($C453,Rotation!$A$2:$J$10,2,FALSE)</f>
        <v>1</v>
      </c>
      <c r="L453" s="14">
        <f>VLOOKUP($C453,Rotation!$A$2:$J$10,3,FALSE)</f>
        <v>1</v>
      </c>
      <c r="M453" s="14">
        <f>VLOOKUP($C453,Rotation!$A$2:$J$10,4,FALSE)</f>
        <v>1</v>
      </c>
      <c r="N453" s="14">
        <f>VLOOKUP($C453,Rotation!$A$2:$J$10,5,FALSE)</f>
        <v>0</v>
      </c>
      <c r="O453" s="14">
        <f>VLOOKUP($C453,Rotation!$A$2:$J$10,6,FALSE)</f>
        <v>0</v>
      </c>
      <c r="P453" s="14">
        <f>VLOOKUP($C453,Rotation!$A$2:$J$10,7,FALSE)</f>
        <v>0</v>
      </c>
      <c r="Q453" s="14">
        <f>VLOOKUP($C453,Rotation!$A$2:$J$10,8,FALSE)</f>
        <v>0</v>
      </c>
      <c r="R453" s="14">
        <f>VLOOKUP($C453,Rotation!$A$2:$J$10,9,FALSE)</f>
        <v>0</v>
      </c>
      <c r="S453" s="14">
        <f>VLOOKUP($C453,Rotation!$A$2:$J$10,10,FALSE)</f>
        <v>0</v>
      </c>
    </row>
    <row r="454" spans="1:19" ht="18">
      <c r="A454" s="14">
        <v>452</v>
      </c>
      <c r="B454" s="14" t="s">
        <v>65</v>
      </c>
      <c r="C454" s="14" t="str">
        <f>VLOOKUP(B454,Family!B:C,2,FALSE)</f>
        <v>A</v>
      </c>
      <c r="D454" s="15">
        <v>19</v>
      </c>
      <c r="E454" s="14">
        <f>ROUND(VLOOKUP(C454,'Production Plan'!A:B,2,FALSE),2)</f>
        <v>407.17</v>
      </c>
      <c r="F454" s="16">
        <v>45755</v>
      </c>
      <c r="G454" s="17">
        <f>F454+6*7</f>
        <v>45797</v>
      </c>
      <c r="H454" s="14">
        <f>G454-F454</f>
        <v>42</v>
      </c>
      <c r="I454" s="14">
        <f>ROUND(D454/E454,3)</f>
        <v>4.7E-2</v>
      </c>
      <c r="J454" s="14">
        <f>I454*24</f>
        <v>1.1280000000000001</v>
      </c>
      <c r="K454" s="14">
        <f>VLOOKUP($C454,Rotation!$A$2:$J$10,2,FALSE)</f>
        <v>1</v>
      </c>
      <c r="L454" s="14">
        <f>VLOOKUP($C454,Rotation!$A$2:$J$10,3,FALSE)</f>
        <v>1</v>
      </c>
      <c r="M454" s="14">
        <f>VLOOKUP($C454,Rotation!$A$2:$J$10,4,FALSE)</f>
        <v>1</v>
      </c>
      <c r="N454" s="14">
        <f>VLOOKUP($C454,Rotation!$A$2:$J$10,5,FALSE)</f>
        <v>0</v>
      </c>
      <c r="O454" s="14">
        <f>VLOOKUP($C454,Rotation!$A$2:$J$10,6,FALSE)</f>
        <v>0</v>
      </c>
      <c r="P454" s="14">
        <f>VLOOKUP($C454,Rotation!$A$2:$J$10,7,FALSE)</f>
        <v>0</v>
      </c>
      <c r="Q454" s="14">
        <f>VLOOKUP($C454,Rotation!$A$2:$J$10,8,FALSE)</f>
        <v>0</v>
      </c>
      <c r="R454" s="14">
        <f>VLOOKUP($C454,Rotation!$A$2:$J$10,9,FALSE)</f>
        <v>0</v>
      </c>
      <c r="S454" s="14">
        <f>VLOOKUP($C454,Rotation!$A$2:$J$10,10,FALSE)</f>
        <v>0</v>
      </c>
    </row>
    <row r="455" spans="1:19" ht="18">
      <c r="A455" s="14">
        <v>453</v>
      </c>
      <c r="B455" s="14" t="s">
        <v>98</v>
      </c>
      <c r="C455" s="14" t="str">
        <f>VLOOKUP(B455,Family!B:C,2,FALSE)</f>
        <v>H</v>
      </c>
      <c r="D455" s="15">
        <v>19</v>
      </c>
      <c r="E455" s="14">
        <f>ROUND(VLOOKUP(C455,'Production Plan'!A:B,2,FALSE),2)</f>
        <v>402.02</v>
      </c>
      <c r="F455" s="16">
        <v>45706</v>
      </c>
      <c r="G455" s="17">
        <f>F455+6*7</f>
        <v>45748</v>
      </c>
      <c r="H455" s="14">
        <f>G455-F455</f>
        <v>42</v>
      </c>
      <c r="I455" s="14">
        <f>ROUND(D455/E455,3)</f>
        <v>4.7E-2</v>
      </c>
      <c r="J455" s="14">
        <f>I455*24</f>
        <v>1.1280000000000001</v>
      </c>
      <c r="K455" s="14">
        <f>VLOOKUP($C455,Rotation!$A$2:$J$10,2,FALSE)</f>
        <v>0</v>
      </c>
      <c r="L455" s="14">
        <f>VLOOKUP($C455,Rotation!$A$2:$J$10,3,FALSE)</f>
        <v>0</v>
      </c>
      <c r="M455" s="14">
        <f>VLOOKUP($C455,Rotation!$A$2:$J$10,4,FALSE)</f>
        <v>1</v>
      </c>
      <c r="N455" s="14">
        <f>VLOOKUP($C455,Rotation!$A$2:$J$10,5,FALSE)</f>
        <v>1</v>
      </c>
      <c r="O455" s="14">
        <f>VLOOKUP($C455,Rotation!$A$2:$J$10,6,FALSE)</f>
        <v>0</v>
      </c>
      <c r="P455" s="14">
        <f>VLOOKUP($C455,Rotation!$A$2:$J$10,7,FALSE)</f>
        <v>0</v>
      </c>
      <c r="Q455" s="14">
        <f>VLOOKUP($C455,Rotation!$A$2:$J$10,8,FALSE)</f>
        <v>0</v>
      </c>
      <c r="R455" s="14">
        <f>VLOOKUP($C455,Rotation!$A$2:$J$10,9,FALSE)</f>
        <v>0</v>
      </c>
      <c r="S455" s="14">
        <f>VLOOKUP($C455,Rotation!$A$2:$J$10,10,FALSE)</f>
        <v>0</v>
      </c>
    </row>
    <row r="456" spans="1:19" ht="18">
      <c r="A456" s="14">
        <v>454</v>
      </c>
      <c r="B456" s="14" t="s">
        <v>98</v>
      </c>
      <c r="C456" s="14" t="str">
        <f>VLOOKUP(B456,Family!B:C,2,FALSE)</f>
        <v>H</v>
      </c>
      <c r="D456" s="15">
        <v>19</v>
      </c>
      <c r="E456" s="14">
        <f>ROUND(VLOOKUP(C456,'Production Plan'!A:B,2,FALSE),2)</f>
        <v>402.02</v>
      </c>
      <c r="F456" s="16">
        <v>45706</v>
      </c>
      <c r="G456" s="17">
        <f>F456+6*7</f>
        <v>45748</v>
      </c>
      <c r="H456" s="14">
        <f>G456-F456</f>
        <v>42</v>
      </c>
      <c r="I456" s="14">
        <f>ROUND(D456/E456,3)</f>
        <v>4.7E-2</v>
      </c>
      <c r="J456" s="14">
        <f>I456*24</f>
        <v>1.1280000000000001</v>
      </c>
      <c r="K456" s="14">
        <f>VLOOKUP($C456,Rotation!$A$2:$J$10,2,FALSE)</f>
        <v>0</v>
      </c>
      <c r="L456" s="14">
        <f>VLOOKUP($C456,Rotation!$A$2:$J$10,3,FALSE)</f>
        <v>0</v>
      </c>
      <c r="M456" s="14">
        <f>VLOOKUP($C456,Rotation!$A$2:$J$10,4,FALSE)</f>
        <v>1</v>
      </c>
      <c r="N456" s="14">
        <f>VLOOKUP($C456,Rotation!$A$2:$J$10,5,FALSE)</f>
        <v>1</v>
      </c>
      <c r="O456" s="14">
        <f>VLOOKUP($C456,Rotation!$A$2:$J$10,6,FALSE)</f>
        <v>0</v>
      </c>
      <c r="P456" s="14">
        <f>VLOOKUP($C456,Rotation!$A$2:$J$10,7,FALSE)</f>
        <v>0</v>
      </c>
      <c r="Q456" s="14">
        <f>VLOOKUP($C456,Rotation!$A$2:$J$10,8,FALSE)</f>
        <v>0</v>
      </c>
      <c r="R456" s="14">
        <f>VLOOKUP($C456,Rotation!$A$2:$J$10,9,FALSE)</f>
        <v>0</v>
      </c>
      <c r="S456" s="14">
        <f>VLOOKUP($C456,Rotation!$A$2:$J$10,10,FALSE)</f>
        <v>0</v>
      </c>
    </row>
    <row r="457" spans="1:19" ht="18">
      <c r="A457" s="14">
        <v>455</v>
      </c>
      <c r="B457" s="14" t="s">
        <v>108</v>
      </c>
      <c r="C457" s="14" t="str">
        <f>VLOOKUP(B457,Family!B:C,2,FALSE)</f>
        <v>P</v>
      </c>
      <c r="D457" s="15">
        <v>108</v>
      </c>
      <c r="E457" s="14">
        <f>ROUND(VLOOKUP(C457,'Production Plan'!A:B,2,FALSE),2)</f>
        <v>409.15</v>
      </c>
      <c r="F457" s="16">
        <v>45748</v>
      </c>
      <c r="G457" s="17">
        <f>F457+6*7</f>
        <v>45790</v>
      </c>
      <c r="H457" s="14">
        <f>G457-F457</f>
        <v>42</v>
      </c>
      <c r="I457" s="14">
        <f>ROUND(D457/E457,3)</f>
        <v>0.26400000000000001</v>
      </c>
      <c r="J457" s="14">
        <f>I457*24</f>
        <v>6.3360000000000003</v>
      </c>
      <c r="K457" s="14">
        <f>VLOOKUP($C457,Rotation!$A$2:$J$10,2,FALSE)</f>
        <v>1</v>
      </c>
      <c r="L457" s="14">
        <f>VLOOKUP($C457,Rotation!$A$2:$J$10,3,FALSE)</f>
        <v>1</v>
      </c>
      <c r="M457" s="14">
        <f>VLOOKUP($C457,Rotation!$A$2:$J$10,4,FALSE)</f>
        <v>0</v>
      </c>
      <c r="N457" s="14">
        <f>VLOOKUP($C457,Rotation!$A$2:$J$10,5,FALSE)</f>
        <v>0</v>
      </c>
      <c r="O457" s="14">
        <f>VLOOKUP($C457,Rotation!$A$2:$J$10,6,FALSE)</f>
        <v>0</v>
      </c>
      <c r="P457" s="14">
        <f>VLOOKUP($C457,Rotation!$A$2:$J$10,7,FALSE)</f>
        <v>0</v>
      </c>
      <c r="Q457" s="14">
        <f>VLOOKUP($C457,Rotation!$A$2:$J$10,8,FALSE)</f>
        <v>0</v>
      </c>
      <c r="R457" s="14">
        <f>VLOOKUP($C457,Rotation!$A$2:$J$10,9,FALSE)</f>
        <v>0</v>
      </c>
      <c r="S457" s="14">
        <f>VLOOKUP($C457,Rotation!$A$2:$J$10,10,FALSE)</f>
        <v>0</v>
      </c>
    </row>
    <row r="458" spans="1:19" ht="18">
      <c r="A458" s="14">
        <v>456</v>
      </c>
      <c r="B458" s="14" t="s">
        <v>108</v>
      </c>
      <c r="C458" s="14" t="str">
        <f>VLOOKUP(B458,Family!B:C,2,FALSE)</f>
        <v>P</v>
      </c>
      <c r="D458" s="15">
        <v>108</v>
      </c>
      <c r="E458" s="14">
        <f>ROUND(VLOOKUP(C458,'Production Plan'!A:B,2,FALSE),2)</f>
        <v>409.15</v>
      </c>
      <c r="F458" s="16">
        <v>45748</v>
      </c>
      <c r="G458" s="17">
        <f>F458+6*7</f>
        <v>45790</v>
      </c>
      <c r="H458" s="14">
        <f>G458-F458</f>
        <v>42</v>
      </c>
      <c r="I458" s="14">
        <f>ROUND(D458/E458,3)</f>
        <v>0.26400000000000001</v>
      </c>
      <c r="J458" s="14">
        <f>I458*24</f>
        <v>6.3360000000000003</v>
      </c>
      <c r="K458" s="14">
        <f>VLOOKUP($C458,Rotation!$A$2:$J$10,2,FALSE)</f>
        <v>1</v>
      </c>
      <c r="L458" s="14">
        <f>VLOOKUP($C458,Rotation!$A$2:$J$10,3,FALSE)</f>
        <v>1</v>
      </c>
      <c r="M458" s="14">
        <f>VLOOKUP($C458,Rotation!$A$2:$J$10,4,FALSE)</f>
        <v>0</v>
      </c>
      <c r="N458" s="14">
        <f>VLOOKUP($C458,Rotation!$A$2:$J$10,5,FALSE)</f>
        <v>0</v>
      </c>
      <c r="O458" s="14">
        <f>VLOOKUP($C458,Rotation!$A$2:$J$10,6,FALSE)</f>
        <v>0</v>
      </c>
      <c r="P458" s="14">
        <f>VLOOKUP($C458,Rotation!$A$2:$J$10,7,FALSE)</f>
        <v>0</v>
      </c>
      <c r="Q458" s="14">
        <f>VLOOKUP($C458,Rotation!$A$2:$J$10,8,FALSE)</f>
        <v>0</v>
      </c>
      <c r="R458" s="14">
        <f>VLOOKUP($C458,Rotation!$A$2:$J$10,9,FALSE)</f>
        <v>0</v>
      </c>
      <c r="S458" s="14">
        <f>VLOOKUP($C458,Rotation!$A$2:$J$10,10,FALSE)</f>
        <v>0</v>
      </c>
    </row>
    <row r="459" spans="1:19" ht="18">
      <c r="A459" s="14">
        <v>457</v>
      </c>
      <c r="B459" s="14" t="s">
        <v>65</v>
      </c>
      <c r="C459" s="14" t="str">
        <f>VLOOKUP(B459,Family!B:C,2,FALSE)</f>
        <v>A</v>
      </c>
      <c r="D459" s="15">
        <v>19</v>
      </c>
      <c r="E459" s="14">
        <f>ROUND(VLOOKUP(C459,'Production Plan'!A:B,2,FALSE),2)</f>
        <v>407.17</v>
      </c>
      <c r="F459" s="16">
        <v>45755</v>
      </c>
      <c r="G459" s="17">
        <f>F459+6*7</f>
        <v>45797</v>
      </c>
      <c r="H459" s="14">
        <f>G459-F459</f>
        <v>42</v>
      </c>
      <c r="I459" s="14">
        <f>ROUND(D459/E459,3)</f>
        <v>4.7E-2</v>
      </c>
      <c r="J459" s="14">
        <f>I459*24</f>
        <v>1.1280000000000001</v>
      </c>
      <c r="K459" s="14">
        <f>VLOOKUP($C459,Rotation!$A$2:$J$10,2,FALSE)</f>
        <v>1</v>
      </c>
      <c r="L459" s="14">
        <f>VLOOKUP($C459,Rotation!$A$2:$J$10,3,FALSE)</f>
        <v>1</v>
      </c>
      <c r="M459" s="14">
        <f>VLOOKUP($C459,Rotation!$A$2:$J$10,4,FALSE)</f>
        <v>1</v>
      </c>
      <c r="N459" s="14">
        <f>VLOOKUP($C459,Rotation!$A$2:$J$10,5,FALSE)</f>
        <v>0</v>
      </c>
      <c r="O459" s="14">
        <f>VLOOKUP($C459,Rotation!$A$2:$J$10,6,FALSE)</f>
        <v>0</v>
      </c>
      <c r="P459" s="14">
        <f>VLOOKUP($C459,Rotation!$A$2:$J$10,7,FALSE)</f>
        <v>0</v>
      </c>
      <c r="Q459" s="14">
        <f>VLOOKUP($C459,Rotation!$A$2:$J$10,8,FALSE)</f>
        <v>0</v>
      </c>
      <c r="R459" s="14">
        <f>VLOOKUP($C459,Rotation!$A$2:$J$10,9,FALSE)</f>
        <v>0</v>
      </c>
      <c r="S459" s="14">
        <f>VLOOKUP($C459,Rotation!$A$2:$J$10,10,FALSE)</f>
        <v>0</v>
      </c>
    </row>
    <row r="460" spans="1:19" ht="18">
      <c r="A460" s="14">
        <v>458</v>
      </c>
      <c r="B460" s="14" t="s">
        <v>112</v>
      </c>
      <c r="C460" s="14" t="str">
        <f>VLOOKUP(B460,Family!B:C,2,FALSE)</f>
        <v>N</v>
      </c>
      <c r="D460" s="15">
        <v>70</v>
      </c>
      <c r="E460" s="14">
        <f>ROUND(VLOOKUP(C460,'Production Plan'!A:B,2,FALSE),2)</f>
        <v>334.18</v>
      </c>
      <c r="F460" s="16">
        <v>45690</v>
      </c>
      <c r="G460" s="17">
        <f>F460+6*7</f>
        <v>45732</v>
      </c>
      <c r="H460" s="14">
        <f>G460-F460</f>
        <v>42</v>
      </c>
      <c r="I460" s="14">
        <f>ROUND(D460/E460,3)</f>
        <v>0.20899999999999999</v>
      </c>
      <c r="J460" s="14">
        <f>I460*24</f>
        <v>5.016</v>
      </c>
      <c r="K460" s="14">
        <f>VLOOKUP($C460,Rotation!$A$2:$J$10,2,FALSE)</f>
        <v>1</v>
      </c>
      <c r="L460" s="14">
        <f>VLOOKUP($C460,Rotation!$A$2:$J$10,3,FALSE)</f>
        <v>0</v>
      </c>
      <c r="M460" s="14">
        <f>VLOOKUP($C460,Rotation!$A$2:$J$10,4,FALSE)</f>
        <v>0</v>
      </c>
      <c r="N460" s="14">
        <f>VLOOKUP($C460,Rotation!$A$2:$J$10,5,FALSE)</f>
        <v>0</v>
      </c>
      <c r="O460" s="14">
        <f>VLOOKUP($C460,Rotation!$A$2:$J$10,6,FALSE)</f>
        <v>0</v>
      </c>
      <c r="P460" s="14">
        <f>VLOOKUP($C460,Rotation!$A$2:$J$10,7,FALSE)</f>
        <v>0</v>
      </c>
      <c r="Q460" s="14">
        <f>VLOOKUP($C460,Rotation!$A$2:$J$10,8,FALSE)</f>
        <v>1</v>
      </c>
      <c r="R460" s="14">
        <f>VLOOKUP($C460,Rotation!$A$2:$J$10,9,FALSE)</f>
        <v>0</v>
      </c>
      <c r="S460" s="14">
        <f>VLOOKUP($C460,Rotation!$A$2:$J$10,10,FALSE)</f>
        <v>0</v>
      </c>
    </row>
    <row r="461" spans="1:19" ht="18">
      <c r="A461" s="14">
        <v>459</v>
      </c>
      <c r="B461" s="14" t="s">
        <v>98</v>
      </c>
      <c r="C461" s="14" t="str">
        <f>VLOOKUP(B461,Family!B:C,2,FALSE)</f>
        <v>H</v>
      </c>
      <c r="D461" s="15">
        <v>19</v>
      </c>
      <c r="E461" s="14">
        <f>ROUND(VLOOKUP(C461,'Production Plan'!A:B,2,FALSE),2)</f>
        <v>402.02</v>
      </c>
      <c r="F461" s="16">
        <v>45706</v>
      </c>
      <c r="G461" s="17">
        <f>F461+6*7</f>
        <v>45748</v>
      </c>
      <c r="H461" s="14">
        <f>G461-F461</f>
        <v>42</v>
      </c>
      <c r="I461" s="14">
        <f>ROUND(D461/E461,3)</f>
        <v>4.7E-2</v>
      </c>
      <c r="J461" s="14">
        <f>I461*24</f>
        <v>1.1280000000000001</v>
      </c>
      <c r="K461" s="14">
        <f>VLOOKUP($C461,Rotation!$A$2:$J$10,2,FALSE)</f>
        <v>0</v>
      </c>
      <c r="L461" s="14">
        <f>VLOOKUP($C461,Rotation!$A$2:$J$10,3,FALSE)</f>
        <v>0</v>
      </c>
      <c r="M461" s="14">
        <f>VLOOKUP($C461,Rotation!$A$2:$J$10,4,FALSE)</f>
        <v>1</v>
      </c>
      <c r="N461" s="14">
        <f>VLOOKUP($C461,Rotation!$A$2:$J$10,5,FALSE)</f>
        <v>1</v>
      </c>
      <c r="O461" s="14">
        <f>VLOOKUP($C461,Rotation!$A$2:$J$10,6,FALSE)</f>
        <v>0</v>
      </c>
      <c r="P461" s="14">
        <f>VLOOKUP($C461,Rotation!$A$2:$J$10,7,FALSE)</f>
        <v>0</v>
      </c>
      <c r="Q461" s="14">
        <f>VLOOKUP($C461,Rotation!$A$2:$J$10,8,FALSE)</f>
        <v>0</v>
      </c>
      <c r="R461" s="14">
        <f>VLOOKUP($C461,Rotation!$A$2:$J$10,9,FALSE)</f>
        <v>0</v>
      </c>
      <c r="S461" s="14">
        <f>VLOOKUP($C461,Rotation!$A$2:$J$10,10,FALSE)</f>
        <v>0</v>
      </c>
    </row>
    <row r="462" spans="1:19" ht="18">
      <c r="A462" s="14">
        <v>460</v>
      </c>
      <c r="B462" s="14" t="s">
        <v>94</v>
      </c>
      <c r="C462" s="14" t="str">
        <f>VLOOKUP(B462,Family!B:C,2,FALSE)</f>
        <v>H</v>
      </c>
      <c r="D462" s="15">
        <v>99</v>
      </c>
      <c r="E462" s="14">
        <f>ROUND(VLOOKUP(C462,'Production Plan'!A:B,2,FALSE),2)</f>
        <v>402.02</v>
      </c>
      <c r="F462" s="16">
        <v>45718</v>
      </c>
      <c r="G462" s="17">
        <f>F462+6*7</f>
        <v>45760</v>
      </c>
      <c r="H462" s="14">
        <f>G462-F462</f>
        <v>42</v>
      </c>
      <c r="I462" s="14">
        <f>ROUND(D462/E462,3)</f>
        <v>0.246</v>
      </c>
      <c r="J462" s="14">
        <f>I462*24</f>
        <v>5.9039999999999999</v>
      </c>
      <c r="K462" s="14">
        <f>VLOOKUP($C462,Rotation!$A$2:$J$10,2,FALSE)</f>
        <v>0</v>
      </c>
      <c r="L462" s="14">
        <f>VLOOKUP($C462,Rotation!$A$2:$J$10,3,FALSE)</f>
        <v>0</v>
      </c>
      <c r="M462" s="14">
        <f>VLOOKUP($C462,Rotation!$A$2:$J$10,4,FALSE)</f>
        <v>1</v>
      </c>
      <c r="N462" s="14">
        <f>VLOOKUP($C462,Rotation!$A$2:$J$10,5,FALSE)</f>
        <v>1</v>
      </c>
      <c r="O462" s="14">
        <f>VLOOKUP($C462,Rotation!$A$2:$J$10,6,FALSE)</f>
        <v>0</v>
      </c>
      <c r="P462" s="14">
        <f>VLOOKUP($C462,Rotation!$A$2:$J$10,7,FALSE)</f>
        <v>0</v>
      </c>
      <c r="Q462" s="14">
        <f>VLOOKUP($C462,Rotation!$A$2:$J$10,8,FALSE)</f>
        <v>0</v>
      </c>
      <c r="R462" s="14">
        <f>VLOOKUP($C462,Rotation!$A$2:$J$10,9,FALSE)</f>
        <v>0</v>
      </c>
      <c r="S462" s="14">
        <f>VLOOKUP($C462,Rotation!$A$2:$J$10,10,FALSE)</f>
        <v>0</v>
      </c>
    </row>
    <row r="463" spans="1:19" ht="18">
      <c r="A463" s="14">
        <v>461</v>
      </c>
      <c r="B463" s="14" t="s">
        <v>106</v>
      </c>
      <c r="C463" s="14" t="str">
        <f>VLOOKUP(B463,Family!B:C,2,FALSE)</f>
        <v>P</v>
      </c>
      <c r="D463" s="15">
        <v>19</v>
      </c>
      <c r="E463" s="14">
        <f>ROUND(VLOOKUP(C463,'Production Plan'!A:B,2,FALSE),2)</f>
        <v>409.15</v>
      </c>
      <c r="F463" s="16">
        <v>45743</v>
      </c>
      <c r="G463" s="17">
        <f>F463+6*7</f>
        <v>45785</v>
      </c>
      <c r="H463" s="14">
        <f>G463-F463</f>
        <v>42</v>
      </c>
      <c r="I463" s="14">
        <f>ROUND(D463/E463,3)</f>
        <v>4.5999999999999999E-2</v>
      </c>
      <c r="J463" s="14">
        <f>I463*24</f>
        <v>1.1040000000000001</v>
      </c>
      <c r="K463" s="14">
        <f>VLOOKUP($C463,Rotation!$A$2:$J$10,2,FALSE)</f>
        <v>1</v>
      </c>
      <c r="L463" s="14">
        <f>VLOOKUP($C463,Rotation!$A$2:$J$10,3,FALSE)</f>
        <v>1</v>
      </c>
      <c r="M463" s="14">
        <f>VLOOKUP($C463,Rotation!$A$2:$J$10,4,FALSE)</f>
        <v>0</v>
      </c>
      <c r="N463" s="14">
        <f>VLOOKUP($C463,Rotation!$A$2:$J$10,5,FALSE)</f>
        <v>0</v>
      </c>
      <c r="O463" s="14">
        <f>VLOOKUP($C463,Rotation!$A$2:$J$10,6,FALSE)</f>
        <v>0</v>
      </c>
      <c r="P463" s="14">
        <f>VLOOKUP($C463,Rotation!$A$2:$J$10,7,FALSE)</f>
        <v>0</v>
      </c>
      <c r="Q463" s="14">
        <f>VLOOKUP($C463,Rotation!$A$2:$J$10,8,FALSE)</f>
        <v>0</v>
      </c>
      <c r="R463" s="14">
        <f>VLOOKUP($C463,Rotation!$A$2:$J$10,9,FALSE)</f>
        <v>0</v>
      </c>
      <c r="S463" s="14">
        <f>VLOOKUP($C463,Rotation!$A$2:$J$10,10,FALSE)</f>
        <v>0</v>
      </c>
    </row>
    <row r="464" spans="1:19" ht="18">
      <c r="A464" s="14">
        <v>462</v>
      </c>
      <c r="B464" s="14" t="s">
        <v>108</v>
      </c>
      <c r="C464" s="14" t="str">
        <f>VLOOKUP(B464,Family!B:C,2,FALSE)</f>
        <v>P</v>
      </c>
      <c r="D464" s="15">
        <v>108</v>
      </c>
      <c r="E464" s="14">
        <f>ROUND(VLOOKUP(C464,'Production Plan'!A:B,2,FALSE),2)</f>
        <v>409.15</v>
      </c>
      <c r="F464" s="16">
        <v>45748</v>
      </c>
      <c r="G464" s="17">
        <f>F464+6*7</f>
        <v>45790</v>
      </c>
      <c r="H464" s="14">
        <f>G464-F464</f>
        <v>42</v>
      </c>
      <c r="I464" s="14">
        <f>ROUND(D464/E464,3)</f>
        <v>0.26400000000000001</v>
      </c>
      <c r="J464" s="14">
        <f>I464*24</f>
        <v>6.3360000000000003</v>
      </c>
      <c r="K464" s="14">
        <f>VLOOKUP($C464,Rotation!$A$2:$J$10,2,FALSE)</f>
        <v>1</v>
      </c>
      <c r="L464" s="14">
        <f>VLOOKUP($C464,Rotation!$A$2:$J$10,3,FALSE)</f>
        <v>1</v>
      </c>
      <c r="M464" s="14">
        <f>VLOOKUP($C464,Rotation!$A$2:$J$10,4,FALSE)</f>
        <v>0</v>
      </c>
      <c r="N464" s="14">
        <f>VLOOKUP($C464,Rotation!$A$2:$J$10,5,FALSE)</f>
        <v>0</v>
      </c>
      <c r="O464" s="14">
        <f>VLOOKUP($C464,Rotation!$A$2:$J$10,6,FALSE)</f>
        <v>0</v>
      </c>
      <c r="P464" s="14">
        <f>VLOOKUP($C464,Rotation!$A$2:$J$10,7,FALSE)</f>
        <v>0</v>
      </c>
      <c r="Q464" s="14">
        <f>VLOOKUP($C464,Rotation!$A$2:$J$10,8,FALSE)</f>
        <v>0</v>
      </c>
      <c r="R464" s="14">
        <f>VLOOKUP($C464,Rotation!$A$2:$J$10,9,FALSE)</f>
        <v>0</v>
      </c>
      <c r="S464" s="14">
        <f>VLOOKUP($C464,Rotation!$A$2:$J$10,10,FALSE)</f>
        <v>0</v>
      </c>
    </row>
    <row r="465" spans="1:19" ht="18">
      <c r="A465" s="14">
        <v>463</v>
      </c>
      <c r="B465" s="14" t="s">
        <v>65</v>
      </c>
      <c r="C465" s="14" t="str">
        <f>VLOOKUP(B465,Family!B:C,2,FALSE)</f>
        <v>A</v>
      </c>
      <c r="D465" s="15">
        <v>19</v>
      </c>
      <c r="E465" s="14">
        <f>ROUND(VLOOKUP(C465,'Production Plan'!A:B,2,FALSE),2)</f>
        <v>407.17</v>
      </c>
      <c r="F465" s="16">
        <v>45755</v>
      </c>
      <c r="G465" s="17">
        <f>F465+6*7</f>
        <v>45797</v>
      </c>
      <c r="H465" s="14">
        <f>G465-F465</f>
        <v>42</v>
      </c>
      <c r="I465" s="14">
        <f>ROUND(D465/E465,3)</f>
        <v>4.7E-2</v>
      </c>
      <c r="J465" s="14">
        <f>I465*24</f>
        <v>1.1280000000000001</v>
      </c>
      <c r="K465" s="14">
        <f>VLOOKUP($C465,Rotation!$A$2:$J$10,2,FALSE)</f>
        <v>1</v>
      </c>
      <c r="L465" s="14">
        <f>VLOOKUP($C465,Rotation!$A$2:$J$10,3,FALSE)</f>
        <v>1</v>
      </c>
      <c r="M465" s="14">
        <f>VLOOKUP($C465,Rotation!$A$2:$J$10,4,FALSE)</f>
        <v>1</v>
      </c>
      <c r="N465" s="14">
        <f>VLOOKUP($C465,Rotation!$A$2:$J$10,5,FALSE)</f>
        <v>0</v>
      </c>
      <c r="O465" s="14">
        <f>VLOOKUP($C465,Rotation!$A$2:$J$10,6,FALSE)</f>
        <v>0</v>
      </c>
      <c r="P465" s="14">
        <f>VLOOKUP($C465,Rotation!$A$2:$J$10,7,FALSE)</f>
        <v>0</v>
      </c>
      <c r="Q465" s="14">
        <f>VLOOKUP($C465,Rotation!$A$2:$J$10,8,FALSE)</f>
        <v>0</v>
      </c>
      <c r="R465" s="14">
        <f>VLOOKUP($C465,Rotation!$A$2:$J$10,9,FALSE)</f>
        <v>0</v>
      </c>
      <c r="S465" s="14">
        <f>VLOOKUP($C465,Rotation!$A$2:$J$10,10,FALSE)</f>
        <v>0</v>
      </c>
    </row>
    <row r="466" spans="1:19" ht="18">
      <c r="A466" s="14">
        <v>464</v>
      </c>
      <c r="B466" s="14" t="s">
        <v>77</v>
      </c>
      <c r="C466" s="14" t="str">
        <f>VLOOKUP(B466,Family!B:C,2,FALSE)</f>
        <v>E</v>
      </c>
      <c r="D466" s="15">
        <v>18</v>
      </c>
      <c r="E466" s="14">
        <f>ROUND(VLOOKUP(C466,'Production Plan'!A:B,2,FALSE),2)</f>
        <v>333.66</v>
      </c>
      <c r="F466" s="16">
        <v>45671</v>
      </c>
      <c r="G466" s="17">
        <f>F466+6*7</f>
        <v>45713</v>
      </c>
      <c r="H466" s="14">
        <f>G466-F466</f>
        <v>42</v>
      </c>
      <c r="I466" s="14">
        <f>ROUND(D466/E466,3)</f>
        <v>5.3999999999999999E-2</v>
      </c>
      <c r="J466" s="14">
        <f>I466*24</f>
        <v>1.296</v>
      </c>
      <c r="K466" s="14">
        <f>VLOOKUP($C466,Rotation!$A$2:$J$10,2,FALSE)</f>
        <v>1</v>
      </c>
      <c r="L466" s="14">
        <f>VLOOKUP($C466,Rotation!$A$2:$J$10,3,FALSE)</f>
        <v>0</v>
      </c>
      <c r="M466" s="14">
        <f>VLOOKUP($C466,Rotation!$A$2:$J$10,4,FALSE)</f>
        <v>0</v>
      </c>
      <c r="N466" s="14">
        <f>VLOOKUP($C466,Rotation!$A$2:$J$10,5,FALSE)</f>
        <v>0</v>
      </c>
      <c r="O466" s="14">
        <f>VLOOKUP($C466,Rotation!$A$2:$J$10,6,FALSE)</f>
        <v>0</v>
      </c>
      <c r="P466" s="14">
        <f>VLOOKUP($C466,Rotation!$A$2:$J$10,7,FALSE)</f>
        <v>1</v>
      </c>
      <c r="Q466" s="14">
        <f>VLOOKUP($C466,Rotation!$A$2:$J$10,8,FALSE)</f>
        <v>0</v>
      </c>
      <c r="R466" s="14">
        <f>VLOOKUP($C466,Rotation!$A$2:$J$10,9,FALSE)</f>
        <v>0</v>
      </c>
      <c r="S466" s="14">
        <f>VLOOKUP($C466,Rotation!$A$2:$J$10,10,FALSE)</f>
        <v>0</v>
      </c>
    </row>
    <row r="467" spans="1:19" ht="18">
      <c r="A467" s="14">
        <v>465</v>
      </c>
      <c r="B467" s="14" t="s">
        <v>98</v>
      </c>
      <c r="C467" s="14" t="str">
        <f>VLOOKUP(B467,Family!B:C,2,FALSE)</f>
        <v>H</v>
      </c>
      <c r="D467" s="15">
        <v>19</v>
      </c>
      <c r="E467" s="14">
        <f>ROUND(VLOOKUP(C467,'Production Plan'!A:B,2,FALSE),2)</f>
        <v>402.02</v>
      </c>
      <c r="F467" s="16">
        <v>45706</v>
      </c>
      <c r="G467" s="17">
        <f>F467+6*7</f>
        <v>45748</v>
      </c>
      <c r="H467" s="14">
        <f>G467-F467</f>
        <v>42</v>
      </c>
      <c r="I467" s="14">
        <f>ROUND(D467/E467,3)</f>
        <v>4.7E-2</v>
      </c>
      <c r="J467" s="14">
        <f>I467*24</f>
        <v>1.1280000000000001</v>
      </c>
      <c r="K467" s="14">
        <f>VLOOKUP($C467,Rotation!$A$2:$J$10,2,FALSE)</f>
        <v>0</v>
      </c>
      <c r="L467" s="14">
        <f>VLOOKUP($C467,Rotation!$A$2:$J$10,3,FALSE)</f>
        <v>0</v>
      </c>
      <c r="M467" s="14">
        <f>VLOOKUP($C467,Rotation!$A$2:$J$10,4,FALSE)</f>
        <v>1</v>
      </c>
      <c r="N467" s="14">
        <f>VLOOKUP($C467,Rotation!$A$2:$J$10,5,FALSE)</f>
        <v>1</v>
      </c>
      <c r="O467" s="14">
        <f>VLOOKUP($C467,Rotation!$A$2:$J$10,6,FALSE)</f>
        <v>0</v>
      </c>
      <c r="P467" s="14">
        <f>VLOOKUP($C467,Rotation!$A$2:$J$10,7,FALSE)</f>
        <v>0</v>
      </c>
      <c r="Q467" s="14">
        <f>VLOOKUP($C467,Rotation!$A$2:$J$10,8,FALSE)</f>
        <v>0</v>
      </c>
      <c r="R467" s="14">
        <f>VLOOKUP($C467,Rotation!$A$2:$J$10,9,FALSE)</f>
        <v>0</v>
      </c>
      <c r="S467" s="14">
        <f>VLOOKUP($C467,Rotation!$A$2:$J$10,10,FALSE)</f>
        <v>0</v>
      </c>
    </row>
    <row r="468" spans="1:19" ht="18">
      <c r="A468" s="14">
        <v>466</v>
      </c>
      <c r="B468" s="14" t="s">
        <v>98</v>
      </c>
      <c r="C468" s="14" t="str">
        <f>VLOOKUP(B468,Family!B:C,2,FALSE)</f>
        <v>H</v>
      </c>
      <c r="D468" s="15">
        <v>19</v>
      </c>
      <c r="E468" s="14">
        <f>ROUND(VLOOKUP(C468,'Production Plan'!A:B,2,FALSE),2)</f>
        <v>402.02</v>
      </c>
      <c r="F468" s="16">
        <v>45706</v>
      </c>
      <c r="G468" s="17">
        <f>F468+6*7</f>
        <v>45748</v>
      </c>
      <c r="H468" s="14">
        <f>G468-F468</f>
        <v>42</v>
      </c>
      <c r="I468" s="14">
        <f>ROUND(D468/E468,3)</f>
        <v>4.7E-2</v>
      </c>
      <c r="J468" s="14">
        <f>I468*24</f>
        <v>1.1280000000000001</v>
      </c>
      <c r="K468" s="14">
        <f>VLOOKUP($C468,Rotation!$A$2:$J$10,2,FALSE)</f>
        <v>0</v>
      </c>
      <c r="L468" s="14">
        <f>VLOOKUP($C468,Rotation!$A$2:$J$10,3,FALSE)</f>
        <v>0</v>
      </c>
      <c r="M468" s="14">
        <f>VLOOKUP($C468,Rotation!$A$2:$J$10,4,FALSE)</f>
        <v>1</v>
      </c>
      <c r="N468" s="14">
        <f>VLOOKUP($C468,Rotation!$A$2:$J$10,5,FALSE)</f>
        <v>1</v>
      </c>
      <c r="O468" s="14">
        <f>VLOOKUP($C468,Rotation!$A$2:$J$10,6,FALSE)</f>
        <v>0</v>
      </c>
      <c r="P468" s="14">
        <f>VLOOKUP($C468,Rotation!$A$2:$J$10,7,FALSE)</f>
        <v>0</v>
      </c>
      <c r="Q468" s="14">
        <f>VLOOKUP($C468,Rotation!$A$2:$J$10,8,FALSE)</f>
        <v>0</v>
      </c>
      <c r="R468" s="14">
        <f>VLOOKUP($C468,Rotation!$A$2:$J$10,9,FALSE)</f>
        <v>0</v>
      </c>
      <c r="S468" s="14">
        <f>VLOOKUP($C468,Rotation!$A$2:$J$10,10,FALSE)</f>
        <v>0</v>
      </c>
    </row>
    <row r="469" spans="1:19" ht="18">
      <c r="A469" s="14">
        <v>467</v>
      </c>
      <c r="B469" s="14" t="s">
        <v>106</v>
      </c>
      <c r="C469" s="14" t="str">
        <f>VLOOKUP(B469,Family!B:C,2,FALSE)</f>
        <v>P</v>
      </c>
      <c r="D469" s="15">
        <v>19</v>
      </c>
      <c r="E469" s="14">
        <f>ROUND(VLOOKUP(C469,'Production Plan'!A:B,2,FALSE),2)</f>
        <v>409.15</v>
      </c>
      <c r="F469" s="16">
        <v>45743</v>
      </c>
      <c r="G469" s="17">
        <f>F469+6*7</f>
        <v>45785</v>
      </c>
      <c r="H469" s="14">
        <f>G469-F469</f>
        <v>42</v>
      </c>
      <c r="I469" s="14">
        <f>ROUND(D469/E469,3)</f>
        <v>4.5999999999999999E-2</v>
      </c>
      <c r="J469" s="14">
        <f>I469*24</f>
        <v>1.1040000000000001</v>
      </c>
      <c r="K469" s="14">
        <f>VLOOKUP($C469,Rotation!$A$2:$J$10,2,FALSE)</f>
        <v>1</v>
      </c>
      <c r="L469" s="14">
        <f>VLOOKUP($C469,Rotation!$A$2:$J$10,3,FALSE)</f>
        <v>1</v>
      </c>
      <c r="M469" s="14">
        <f>VLOOKUP($C469,Rotation!$A$2:$J$10,4,FALSE)</f>
        <v>0</v>
      </c>
      <c r="N469" s="14">
        <f>VLOOKUP($C469,Rotation!$A$2:$J$10,5,FALSE)</f>
        <v>0</v>
      </c>
      <c r="O469" s="14">
        <f>VLOOKUP($C469,Rotation!$A$2:$J$10,6,FALSE)</f>
        <v>0</v>
      </c>
      <c r="P469" s="14">
        <f>VLOOKUP($C469,Rotation!$A$2:$J$10,7,FALSE)</f>
        <v>0</v>
      </c>
      <c r="Q469" s="14">
        <f>VLOOKUP($C469,Rotation!$A$2:$J$10,8,FALSE)</f>
        <v>0</v>
      </c>
      <c r="R469" s="14">
        <f>VLOOKUP($C469,Rotation!$A$2:$J$10,9,FALSE)</f>
        <v>0</v>
      </c>
      <c r="S469" s="14">
        <f>VLOOKUP($C469,Rotation!$A$2:$J$10,10,FALSE)</f>
        <v>0</v>
      </c>
    </row>
    <row r="470" spans="1:19" ht="18">
      <c r="A470" s="14">
        <v>468</v>
      </c>
      <c r="B470" s="14" t="s">
        <v>106</v>
      </c>
      <c r="C470" s="14" t="str">
        <f>VLOOKUP(B470,Family!B:C,2,FALSE)</f>
        <v>P</v>
      </c>
      <c r="D470" s="15">
        <v>19</v>
      </c>
      <c r="E470" s="14">
        <f>ROUND(VLOOKUP(C470,'Production Plan'!A:B,2,FALSE),2)</f>
        <v>409.15</v>
      </c>
      <c r="F470" s="16">
        <v>45743</v>
      </c>
      <c r="G470" s="17">
        <f>F470+6*7</f>
        <v>45785</v>
      </c>
      <c r="H470" s="14">
        <f>G470-F470</f>
        <v>42</v>
      </c>
      <c r="I470" s="14">
        <f>ROUND(D470/E470,3)</f>
        <v>4.5999999999999999E-2</v>
      </c>
      <c r="J470" s="14">
        <f>I470*24</f>
        <v>1.1040000000000001</v>
      </c>
      <c r="K470" s="14">
        <f>VLOOKUP($C470,Rotation!$A$2:$J$10,2,FALSE)</f>
        <v>1</v>
      </c>
      <c r="L470" s="14">
        <f>VLOOKUP($C470,Rotation!$A$2:$J$10,3,FALSE)</f>
        <v>1</v>
      </c>
      <c r="M470" s="14">
        <f>VLOOKUP($C470,Rotation!$A$2:$J$10,4,FALSE)</f>
        <v>0</v>
      </c>
      <c r="N470" s="14">
        <f>VLOOKUP($C470,Rotation!$A$2:$J$10,5,FALSE)</f>
        <v>0</v>
      </c>
      <c r="O470" s="14">
        <f>VLOOKUP($C470,Rotation!$A$2:$J$10,6,FALSE)</f>
        <v>0</v>
      </c>
      <c r="P470" s="14">
        <f>VLOOKUP($C470,Rotation!$A$2:$J$10,7,FALSE)</f>
        <v>0</v>
      </c>
      <c r="Q470" s="14">
        <f>VLOOKUP($C470,Rotation!$A$2:$J$10,8,FALSE)</f>
        <v>0</v>
      </c>
      <c r="R470" s="14">
        <f>VLOOKUP($C470,Rotation!$A$2:$J$10,9,FALSE)</f>
        <v>0</v>
      </c>
      <c r="S470" s="14">
        <f>VLOOKUP($C470,Rotation!$A$2:$J$10,10,FALSE)</f>
        <v>0</v>
      </c>
    </row>
    <row r="471" spans="1:19" ht="18">
      <c r="A471" s="14">
        <v>469</v>
      </c>
      <c r="B471" s="14" t="s">
        <v>106</v>
      </c>
      <c r="C471" s="14" t="str">
        <f>VLOOKUP(B471,Family!B:C,2,FALSE)</f>
        <v>P</v>
      </c>
      <c r="D471" s="15">
        <v>19</v>
      </c>
      <c r="E471" s="14">
        <f>ROUND(VLOOKUP(C471,'Production Plan'!A:B,2,FALSE),2)</f>
        <v>409.15</v>
      </c>
      <c r="F471" s="16">
        <v>45743</v>
      </c>
      <c r="G471" s="17">
        <f>F471+6*7</f>
        <v>45785</v>
      </c>
      <c r="H471" s="14">
        <f>G471-F471</f>
        <v>42</v>
      </c>
      <c r="I471" s="14">
        <f>ROUND(D471/E471,3)</f>
        <v>4.5999999999999999E-2</v>
      </c>
      <c r="J471" s="14">
        <f>I471*24</f>
        <v>1.1040000000000001</v>
      </c>
      <c r="K471" s="14">
        <f>VLOOKUP($C471,Rotation!$A$2:$J$10,2,FALSE)</f>
        <v>1</v>
      </c>
      <c r="L471" s="14">
        <f>VLOOKUP($C471,Rotation!$A$2:$J$10,3,FALSE)</f>
        <v>1</v>
      </c>
      <c r="M471" s="14">
        <f>VLOOKUP($C471,Rotation!$A$2:$J$10,4,FALSE)</f>
        <v>0</v>
      </c>
      <c r="N471" s="14">
        <f>VLOOKUP($C471,Rotation!$A$2:$J$10,5,FALSE)</f>
        <v>0</v>
      </c>
      <c r="O471" s="14">
        <f>VLOOKUP($C471,Rotation!$A$2:$J$10,6,FALSE)</f>
        <v>0</v>
      </c>
      <c r="P471" s="14">
        <f>VLOOKUP($C471,Rotation!$A$2:$J$10,7,FALSE)</f>
        <v>0</v>
      </c>
      <c r="Q471" s="14">
        <f>VLOOKUP($C471,Rotation!$A$2:$J$10,8,FALSE)</f>
        <v>0</v>
      </c>
      <c r="R471" s="14">
        <f>VLOOKUP($C471,Rotation!$A$2:$J$10,9,FALSE)</f>
        <v>0</v>
      </c>
      <c r="S471" s="14">
        <f>VLOOKUP($C471,Rotation!$A$2:$J$10,10,FALSE)</f>
        <v>0</v>
      </c>
    </row>
    <row r="472" spans="1:19" ht="18">
      <c r="A472" s="14">
        <v>470</v>
      </c>
      <c r="B472" s="14" t="s">
        <v>65</v>
      </c>
      <c r="C472" s="14" t="str">
        <f>VLOOKUP(B472,Family!B:C,2,FALSE)</f>
        <v>A</v>
      </c>
      <c r="D472" s="15">
        <v>19</v>
      </c>
      <c r="E472" s="14">
        <f>ROUND(VLOOKUP(C472,'Production Plan'!A:B,2,FALSE),2)</f>
        <v>407.17</v>
      </c>
      <c r="F472" s="16">
        <v>45755</v>
      </c>
      <c r="G472" s="17">
        <f>F472+6*7</f>
        <v>45797</v>
      </c>
      <c r="H472" s="14">
        <f>G472-F472</f>
        <v>42</v>
      </c>
      <c r="I472" s="14">
        <f>ROUND(D472/E472,3)</f>
        <v>4.7E-2</v>
      </c>
      <c r="J472" s="14">
        <f>I472*24</f>
        <v>1.1280000000000001</v>
      </c>
      <c r="K472" s="14">
        <f>VLOOKUP($C472,Rotation!$A$2:$J$10,2,FALSE)</f>
        <v>1</v>
      </c>
      <c r="L472" s="14">
        <f>VLOOKUP($C472,Rotation!$A$2:$J$10,3,FALSE)</f>
        <v>1</v>
      </c>
      <c r="M472" s="14">
        <f>VLOOKUP($C472,Rotation!$A$2:$J$10,4,FALSE)</f>
        <v>1</v>
      </c>
      <c r="N472" s="14">
        <f>VLOOKUP($C472,Rotation!$A$2:$J$10,5,FALSE)</f>
        <v>0</v>
      </c>
      <c r="O472" s="14">
        <f>VLOOKUP($C472,Rotation!$A$2:$J$10,6,FALSE)</f>
        <v>0</v>
      </c>
      <c r="P472" s="14">
        <f>VLOOKUP($C472,Rotation!$A$2:$J$10,7,FALSE)</f>
        <v>0</v>
      </c>
      <c r="Q472" s="14">
        <f>VLOOKUP($C472,Rotation!$A$2:$J$10,8,FALSE)</f>
        <v>0</v>
      </c>
      <c r="R472" s="14">
        <f>VLOOKUP($C472,Rotation!$A$2:$J$10,9,FALSE)</f>
        <v>0</v>
      </c>
      <c r="S472" s="14">
        <f>VLOOKUP($C472,Rotation!$A$2:$J$10,10,FALSE)</f>
        <v>0</v>
      </c>
    </row>
    <row r="473" spans="1:19" ht="18">
      <c r="A473" s="14">
        <v>471</v>
      </c>
      <c r="B473" s="14" t="s">
        <v>65</v>
      </c>
      <c r="C473" s="14" t="str">
        <f>VLOOKUP(B473,Family!B:C,2,FALSE)</f>
        <v>A</v>
      </c>
      <c r="D473" s="15">
        <v>19</v>
      </c>
      <c r="E473" s="14">
        <f>ROUND(VLOOKUP(C473,'Production Plan'!A:B,2,FALSE),2)</f>
        <v>407.17</v>
      </c>
      <c r="F473" s="16">
        <v>45755</v>
      </c>
      <c r="G473" s="17">
        <f>F473+6*7</f>
        <v>45797</v>
      </c>
      <c r="H473" s="14">
        <f>G473-F473</f>
        <v>42</v>
      </c>
      <c r="I473" s="14">
        <f>ROUND(D473/E473,3)</f>
        <v>4.7E-2</v>
      </c>
      <c r="J473" s="14">
        <f>I473*24</f>
        <v>1.1280000000000001</v>
      </c>
      <c r="K473" s="14">
        <f>VLOOKUP($C473,Rotation!$A$2:$J$10,2,FALSE)</f>
        <v>1</v>
      </c>
      <c r="L473" s="14">
        <f>VLOOKUP($C473,Rotation!$A$2:$J$10,3,FALSE)</f>
        <v>1</v>
      </c>
      <c r="M473" s="14">
        <f>VLOOKUP($C473,Rotation!$A$2:$J$10,4,FALSE)</f>
        <v>1</v>
      </c>
      <c r="N473" s="14">
        <f>VLOOKUP($C473,Rotation!$A$2:$J$10,5,FALSE)</f>
        <v>0</v>
      </c>
      <c r="O473" s="14">
        <f>VLOOKUP($C473,Rotation!$A$2:$J$10,6,FALSE)</f>
        <v>0</v>
      </c>
      <c r="P473" s="14">
        <f>VLOOKUP($C473,Rotation!$A$2:$J$10,7,FALSE)</f>
        <v>0</v>
      </c>
      <c r="Q473" s="14">
        <f>VLOOKUP($C473,Rotation!$A$2:$J$10,8,FALSE)</f>
        <v>0</v>
      </c>
      <c r="R473" s="14">
        <f>VLOOKUP($C473,Rotation!$A$2:$J$10,9,FALSE)</f>
        <v>0</v>
      </c>
      <c r="S473" s="14">
        <f>VLOOKUP($C473,Rotation!$A$2:$J$10,10,FALSE)</f>
        <v>0</v>
      </c>
    </row>
    <row r="474" spans="1:19" ht="18">
      <c r="A474" s="14">
        <v>472</v>
      </c>
      <c r="B474" s="14" t="s">
        <v>65</v>
      </c>
      <c r="C474" s="14" t="str">
        <f>VLOOKUP(B474,Family!B:C,2,FALSE)</f>
        <v>A</v>
      </c>
      <c r="D474" s="15">
        <v>19</v>
      </c>
      <c r="E474" s="14">
        <f>ROUND(VLOOKUP(C474,'Production Plan'!A:B,2,FALSE),2)</f>
        <v>407.17</v>
      </c>
      <c r="F474" s="16">
        <v>45755</v>
      </c>
      <c r="G474" s="17">
        <f>F474+6*7</f>
        <v>45797</v>
      </c>
      <c r="H474" s="14">
        <f>G474-F474</f>
        <v>42</v>
      </c>
      <c r="I474" s="14">
        <f>ROUND(D474/E474,3)</f>
        <v>4.7E-2</v>
      </c>
      <c r="J474" s="14">
        <f>I474*24</f>
        <v>1.1280000000000001</v>
      </c>
      <c r="K474" s="14">
        <f>VLOOKUP($C474,Rotation!$A$2:$J$10,2,FALSE)</f>
        <v>1</v>
      </c>
      <c r="L474" s="14">
        <f>VLOOKUP($C474,Rotation!$A$2:$J$10,3,FALSE)</f>
        <v>1</v>
      </c>
      <c r="M474" s="14">
        <f>VLOOKUP($C474,Rotation!$A$2:$J$10,4,FALSE)</f>
        <v>1</v>
      </c>
      <c r="N474" s="14">
        <f>VLOOKUP($C474,Rotation!$A$2:$J$10,5,FALSE)</f>
        <v>0</v>
      </c>
      <c r="O474" s="14">
        <f>VLOOKUP($C474,Rotation!$A$2:$J$10,6,FALSE)</f>
        <v>0</v>
      </c>
      <c r="P474" s="14">
        <f>VLOOKUP($C474,Rotation!$A$2:$J$10,7,FALSE)</f>
        <v>0</v>
      </c>
      <c r="Q474" s="14">
        <f>VLOOKUP($C474,Rotation!$A$2:$J$10,8,FALSE)</f>
        <v>0</v>
      </c>
      <c r="R474" s="14">
        <f>VLOOKUP($C474,Rotation!$A$2:$J$10,9,FALSE)</f>
        <v>0</v>
      </c>
      <c r="S474" s="14">
        <f>VLOOKUP($C474,Rotation!$A$2:$J$10,10,FALSE)</f>
        <v>0</v>
      </c>
    </row>
    <row r="475" spans="1:19" ht="18">
      <c r="A475" s="14">
        <v>473</v>
      </c>
      <c r="B475" s="14" t="s">
        <v>85</v>
      </c>
      <c r="C475" s="14" t="str">
        <f>VLOOKUP(B475,Family!B:C,2,FALSE)</f>
        <v>E</v>
      </c>
      <c r="D475" s="15">
        <v>19</v>
      </c>
      <c r="E475" s="14">
        <f>ROUND(VLOOKUP(C475,'Production Plan'!A:B,2,FALSE),2)</f>
        <v>333.66</v>
      </c>
      <c r="F475" s="16">
        <v>45761</v>
      </c>
      <c r="G475" s="17">
        <f>F475+6*7</f>
        <v>45803</v>
      </c>
      <c r="H475" s="14">
        <f>G475-F475</f>
        <v>42</v>
      </c>
      <c r="I475" s="14">
        <f>ROUND(D475/E475,3)</f>
        <v>5.7000000000000002E-2</v>
      </c>
      <c r="J475" s="14">
        <f>I475*24</f>
        <v>1.3680000000000001</v>
      </c>
      <c r="K475" s="14">
        <f>VLOOKUP($C475,Rotation!$A$2:$J$10,2,FALSE)</f>
        <v>1</v>
      </c>
      <c r="L475" s="14">
        <f>VLOOKUP($C475,Rotation!$A$2:$J$10,3,FALSE)</f>
        <v>0</v>
      </c>
      <c r="M475" s="14">
        <f>VLOOKUP($C475,Rotation!$A$2:$J$10,4,FALSE)</f>
        <v>0</v>
      </c>
      <c r="N475" s="14">
        <f>VLOOKUP($C475,Rotation!$A$2:$J$10,5,FALSE)</f>
        <v>0</v>
      </c>
      <c r="O475" s="14">
        <f>VLOOKUP($C475,Rotation!$A$2:$J$10,6,FALSE)</f>
        <v>0</v>
      </c>
      <c r="P475" s="14">
        <f>VLOOKUP($C475,Rotation!$A$2:$J$10,7,FALSE)</f>
        <v>1</v>
      </c>
      <c r="Q475" s="14">
        <f>VLOOKUP($C475,Rotation!$A$2:$J$10,8,FALSE)</f>
        <v>0</v>
      </c>
      <c r="R475" s="14">
        <f>VLOOKUP($C475,Rotation!$A$2:$J$10,9,FALSE)</f>
        <v>0</v>
      </c>
      <c r="S475" s="14">
        <f>VLOOKUP($C475,Rotation!$A$2:$J$10,10,FALSE)</f>
        <v>0</v>
      </c>
    </row>
    <row r="476" spans="1:19" ht="18">
      <c r="A476" s="14">
        <v>474</v>
      </c>
      <c r="B476" s="14" t="s">
        <v>80</v>
      </c>
      <c r="C476" s="14" t="str">
        <f>VLOOKUP(B476,Family!B:C,2,FALSE)</f>
        <v>C</v>
      </c>
      <c r="D476" s="15">
        <v>19</v>
      </c>
      <c r="E476" s="14">
        <f>ROUND(VLOOKUP(C476,'Production Plan'!A:B,2,FALSE),2)</f>
        <v>411.11</v>
      </c>
      <c r="F476" s="16">
        <v>45722</v>
      </c>
      <c r="G476" s="17">
        <f>F476+6*7</f>
        <v>45764</v>
      </c>
      <c r="H476" s="14">
        <f>G476-F476</f>
        <v>42</v>
      </c>
      <c r="I476" s="14">
        <f>ROUND(D476/E476,3)</f>
        <v>4.5999999999999999E-2</v>
      </c>
      <c r="J476" s="14">
        <f>I476*24</f>
        <v>1.1040000000000001</v>
      </c>
      <c r="K476" s="14">
        <f>VLOOKUP($C476,Rotation!$A$2:$J$10,2,FALSE)</f>
        <v>1</v>
      </c>
      <c r="L476" s="14">
        <f>VLOOKUP($C476,Rotation!$A$2:$J$10,3,FALSE)</f>
        <v>0</v>
      </c>
      <c r="M476" s="14">
        <f>VLOOKUP($C476,Rotation!$A$2:$J$10,4,FALSE)</f>
        <v>0</v>
      </c>
      <c r="N476" s="14">
        <f>VLOOKUP($C476,Rotation!$A$2:$J$10,5,FALSE)</f>
        <v>0</v>
      </c>
      <c r="O476" s="14">
        <f>VLOOKUP($C476,Rotation!$A$2:$J$10,6,FALSE)</f>
        <v>1</v>
      </c>
      <c r="P476" s="14">
        <f>VLOOKUP($C476,Rotation!$A$2:$J$10,7,FALSE)</f>
        <v>0</v>
      </c>
      <c r="Q476" s="14">
        <f>VLOOKUP($C476,Rotation!$A$2:$J$10,8,FALSE)</f>
        <v>0</v>
      </c>
      <c r="R476" s="14">
        <f>VLOOKUP($C476,Rotation!$A$2:$J$10,9,FALSE)</f>
        <v>0</v>
      </c>
      <c r="S476" s="14">
        <f>VLOOKUP($C476,Rotation!$A$2:$J$10,10,FALSE)</f>
        <v>0</v>
      </c>
    </row>
    <row r="477" spans="1:19" ht="18">
      <c r="A477" s="14">
        <v>475</v>
      </c>
      <c r="B477" s="14" t="s">
        <v>99</v>
      </c>
      <c r="C477" s="14" t="str">
        <f>VLOOKUP(B477,Family!B:C,2,FALSE)</f>
        <v>N</v>
      </c>
      <c r="D477" s="15">
        <v>238</v>
      </c>
      <c r="E477" s="14">
        <f>ROUND(VLOOKUP(C477,'Production Plan'!A:B,2,FALSE),2)</f>
        <v>334.18</v>
      </c>
      <c r="F477" s="16">
        <v>45755</v>
      </c>
      <c r="G477" s="17">
        <f>F477+6*7</f>
        <v>45797</v>
      </c>
      <c r="H477" s="14">
        <f>G477-F477</f>
        <v>42</v>
      </c>
      <c r="I477" s="14">
        <f>ROUND(D477/E477,3)</f>
        <v>0.71199999999999997</v>
      </c>
      <c r="J477" s="14">
        <f>I477*24</f>
        <v>17.088000000000001</v>
      </c>
      <c r="K477" s="14">
        <f>VLOOKUP($C477,Rotation!$A$2:$J$10,2,FALSE)</f>
        <v>1</v>
      </c>
      <c r="L477" s="14">
        <f>VLOOKUP($C477,Rotation!$A$2:$J$10,3,FALSE)</f>
        <v>0</v>
      </c>
      <c r="M477" s="14">
        <f>VLOOKUP($C477,Rotation!$A$2:$J$10,4,FALSE)</f>
        <v>0</v>
      </c>
      <c r="N477" s="14">
        <f>VLOOKUP($C477,Rotation!$A$2:$J$10,5,FALSE)</f>
        <v>0</v>
      </c>
      <c r="O477" s="14">
        <f>VLOOKUP($C477,Rotation!$A$2:$J$10,6,FALSE)</f>
        <v>0</v>
      </c>
      <c r="P477" s="14">
        <f>VLOOKUP($C477,Rotation!$A$2:$J$10,7,FALSE)</f>
        <v>0</v>
      </c>
      <c r="Q477" s="14">
        <f>VLOOKUP($C477,Rotation!$A$2:$J$10,8,FALSE)</f>
        <v>1</v>
      </c>
      <c r="R477" s="14">
        <f>VLOOKUP($C477,Rotation!$A$2:$J$10,9,FALSE)</f>
        <v>0</v>
      </c>
      <c r="S477" s="14">
        <f>VLOOKUP($C477,Rotation!$A$2:$J$10,10,FALSE)</f>
        <v>0</v>
      </c>
    </row>
    <row r="478" spans="1:19" ht="18">
      <c r="A478" s="14">
        <v>476</v>
      </c>
      <c r="B478" s="14" t="s">
        <v>77</v>
      </c>
      <c r="C478" s="14" t="str">
        <f>VLOOKUP(B478,Family!B:C,2,FALSE)</f>
        <v>E</v>
      </c>
      <c r="D478" s="15">
        <v>18</v>
      </c>
      <c r="E478" s="14">
        <f>ROUND(VLOOKUP(C478,'Production Plan'!A:B,2,FALSE),2)</f>
        <v>333.66</v>
      </c>
      <c r="F478" s="16">
        <v>45671</v>
      </c>
      <c r="G478" s="17">
        <f>F478+6*7</f>
        <v>45713</v>
      </c>
      <c r="H478" s="14">
        <f>G478-F478</f>
        <v>42</v>
      </c>
      <c r="I478" s="14">
        <f>ROUND(D478/E478,3)</f>
        <v>5.3999999999999999E-2</v>
      </c>
      <c r="J478" s="14">
        <f>I478*24</f>
        <v>1.296</v>
      </c>
      <c r="K478" s="14">
        <f>VLOOKUP($C478,Rotation!$A$2:$J$10,2,FALSE)</f>
        <v>1</v>
      </c>
      <c r="L478" s="14">
        <f>VLOOKUP($C478,Rotation!$A$2:$J$10,3,FALSE)</f>
        <v>0</v>
      </c>
      <c r="M478" s="14">
        <f>VLOOKUP($C478,Rotation!$A$2:$J$10,4,FALSE)</f>
        <v>0</v>
      </c>
      <c r="N478" s="14">
        <f>VLOOKUP($C478,Rotation!$A$2:$J$10,5,FALSE)</f>
        <v>0</v>
      </c>
      <c r="O478" s="14">
        <f>VLOOKUP($C478,Rotation!$A$2:$J$10,6,FALSE)</f>
        <v>0</v>
      </c>
      <c r="P478" s="14">
        <f>VLOOKUP($C478,Rotation!$A$2:$J$10,7,FALSE)</f>
        <v>1</v>
      </c>
      <c r="Q478" s="14">
        <f>VLOOKUP($C478,Rotation!$A$2:$J$10,8,FALSE)</f>
        <v>0</v>
      </c>
      <c r="R478" s="14">
        <f>VLOOKUP($C478,Rotation!$A$2:$J$10,9,FALSE)</f>
        <v>0</v>
      </c>
      <c r="S478" s="14">
        <f>VLOOKUP($C478,Rotation!$A$2:$J$10,10,FALSE)</f>
        <v>0</v>
      </c>
    </row>
    <row r="479" spans="1:19" ht="18">
      <c r="A479" s="14">
        <v>477</v>
      </c>
      <c r="B479" s="14" t="s">
        <v>98</v>
      </c>
      <c r="C479" s="14" t="str">
        <f>VLOOKUP(B479,Family!B:C,2,FALSE)</f>
        <v>H</v>
      </c>
      <c r="D479" s="15">
        <v>19</v>
      </c>
      <c r="E479" s="14">
        <f>ROUND(VLOOKUP(C479,'Production Plan'!A:B,2,FALSE),2)</f>
        <v>402.02</v>
      </c>
      <c r="F479" s="16">
        <v>45706</v>
      </c>
      <c r="G479" s="17">
        <f>F479+6*7</f>
        <v>45748</v>
      </c>
      <c r="H479" s="14">
        <f>G479-F479</f>
        <v>42</v>
      </c>
      <c r="I479" s="14">
        <f>ROUND(D479/E479,3)</f>
        <v>4.7E-2</v>
      </c>
      <c r="J479" s="14">
        <f>I479*24</f>
        <v>1.1280000000000001</v>
      </c>
      <c r="K479" s="14">
        <f>VLOOKUP($C479,Rotation!$A$2:$J$10,2,FALSE)</f>
        <v>0</v>
      </c>
      <c r="L479" s="14">
        <f>VLOOKUP($C479,Rotation!$A$2:$J$10,3,FALSE)</f>
        <v>0</v>
      </c>
      <c r="M479" s="14">
        <f>VLOOKUP($C479,Rotation!$A$2:$J$10,4,FALSE)</f>
        <v>1</v>
      </c>
      <c r="N479" s="14">
        <f>VLOOKUP($C479,Rotation!$A$2:$J$10,5,FALSE)</f>
        <v>1</v>
      </c>
      <c r="O479" s="14">
        <f>VLOOKUP($C479,Rotation!$A$2:$J$10,6,FALSE)</f>
        <v>0</v>
      </c>
      <c r="P479" s="14">
        <f>VLOOKUP($C479,Rotation!$A$2:$J$10,7,FALSE)</f>
        <v>0</v>
      </c>
      <c r="Q479" s="14">
        <f>VLOOKUP($C479,Rotation!$A$2:$J$10,8,FALSE)</f>
        <v>0</v>
      </c>
      <c r="R479" s="14">
        <f>VLOOKUP($C479,Rotation!$A$2:$J$10,9,FALSE)</f>
        <v>0</v>
      </c>
      <c r="S479" s="14">
        <f>VLOOKUP($C479,Rotation!$A$2:$J$10,10,FALSE)</f>
        <v>0</v>
      </c>
    </row>
    <row r="480" spans="1:19" ht="18">
      <c r="A480" s="14">
        <v>478</v>
      </c>
      <c r="B480" s="14" t="s">
        <v>98</v>
      </c>
      <c r="C480" s="14" t="str">
        <f>VLOOKUP(B480,Family!B:C,2,FALSE)</f>
        <v>H</v>
      </c>
      <c r="D480" s="15">
        <v>19</v>
      </c>
      <c r="E480" s="14">
        <f>ROUND(VLOOKUP(C480,'Production Plan'!A:B,2,FALSE),2)</f>
        <v>402.02</v>
      </c>
      <c r="F480" s="16">
        <v>45706</v>
      </c>
      <c r="G480" s="17">
        <f>F480+6*7</f>
        <v>45748</v>
      </c>
      <c r="H480" s="14">
        <f>G480-F480</f>
        <v>42</v>
      </c>
      <c r="I480" s="14">
        <f>ROUND(D480/E480,3)</f>
        <v>4.7E-2</v>
      </c>
      <c r="J480" s="14">
        <f>I480*24</f>
        <v>1.1280000000000001</v>
      </c>
      <c r="K480" s="14">
        <f>VLOOKUP($C480,Rotation!$A$2:$J$10,2,FALSE)</f>
        <v>0</v>
      </c>
      <c r="L480" s="14">
        <f>VLOOKUP($C480,Rotation!$A$2:$J$10,3,FALSE)</f>
        <v>0</v>
      </c>
      <c r="M480" s="14">
        <f>VLOOKUP($C480,Rotation!$A$2:$J$10,4,FALSE)</f>
        <v>1</v>
      </c>
      <c r="N480" s="14">
        <f>VLOOKUP($C480,Rotation!$A$2:$J$10,5,FALSE)</f>
        <v>1</v>
      </c>
      <c r="O480" s="14">
        <f>VLOOKUP($C480,Rotation!$A$2:$J$10,6,FALSE)</f>
        <v>0</v>
      </c>
      <c r="P480" s="14">
        <f>VLOOKUP($C480,Rotation!$A$2:$J$10,7,FALSE)</f>
        <v>0</v>
      </c>
      <c r="Q480" s="14">
        <f>VLOOKUP($C480,Rotation!$A$2:$J$10,8,FALSE)</f>
        <v>0</v>
      </c>
      <c r="R480" s="14">
        <f>VLOOKUP($C480,Rotation!$A$2:$J$10,9,FALSE)</f>
        <v>0</v>
      </c>
      <c r="S480" s="14">
        <f>VLOOKUP($C480,Rotation!$A$2:$J$10,10,FALSE)</f>
        <v>0</v>
      </c>
    </row>
    <row r="481" spans="1:19" ht="18">
      <c r="A481" s="14">
        <v>479</v>
      </c>
      <c r="B481" s="14" t="s">
        <v>98</v>
      </c>
      <c r="C481" s="14" t="str">
        <f>VLOOKUP(B481,Family!B:C,2,FALSE)</f>
        <v>H</v>
      </c>
      <c r="D481" s="15">
        <v>19</v>
      </c>
      <c r="E481" s="14">
        <f>ROUND(VLOOKUP(C481,'Production Plan'!A:B,2,FALSE),2)</f>
        <v>402.02</v>
      </c>
      <c r="F481" s="16">
        <v>45706</v>
      </c>
      <c r="G481" s="17">
        <f>F481+6*7</f>
        <v>45748</v>
      </c>
      <c r="H481" s="14">
        <f>G481-F481</f>
        <v>42</v>
      </c>
      <c r="I481" s="14">
        <f>ROUND(D481/E481,3)</f>
        <v>4.7E-2</v>
      </c>
      <c r="J481" s="14">
        <f>I481*24</f>
        <v>1.1280000000000001</v>
      </c>
      <c r="K481" s="14">
        <f>VLOOKUP($C481,Rotation!$A$2:$J$10,2,FALSE)</f>
        <v>0</v>
      </c>
      <c r="L481" s="14">
        <f>VLOOKUP($C481,Rotation!$A$2:$J$10,3,FALSE)</f>
        <v>0</v>
      </c>
      <c r="M481" s="14">
        <f>VLOOKUP($C481,Rotation!$A$2:$J$10,4,FALSE)</f>
        <v>1</v>
      </c>
      <c r="N481" s="14">
        <f>VLOOKUP($C481,Rotation!$A$2:$J$10,5,FALSE)</f>
        <v>1</v>
      </c>
      <c r="O481" s="14">
        <f>VLOOKUP($C481,Rotation!$A$2:$J$10,6,FALSE)</f>
        <v>0</v>
      </c>
      <c r="P481" s="14">
        <f>VLOOKUP($C481,Rotation!$A$2:$J$10,7,FALSE)</f>
        <v>0</v>
      </c>
      <c r="Q481" s="14">
        <f>VLOOKUP($C481,Rotation!$A$2:$J$10,8,FALSE)</f>
        <v>0</v>
      </c>
      <c r="R481" s="14">
        <f>VLOOKUP($C481,Rotation!$A$2:$J$10,9,FALSE)</f>
        <v>0</v>
      </c>
      <c r="S481" s="14">
        <f>VLOOKUP($C481,Rotation!$A$2:$J$10,10,FALSE)</f>
        <v>0</v>
      </c>
    </row>
    <row r="482" spans="1:19" ht="18">
      <c r="A482" s="14">
        <v>480</v>
      </c>
      <c r="B482" s="14" t="s">
        <v>106</v>
      </c>
      <c r="C482" s="14" t="str">
        <f>VLOOKUP(B482,Family!B:C,2,FALSE)</f>
        <v>P</v>
      </c>
      <c r="D482" s="15">
        <v>18.524000000000001</v>
      </c>
      <c r="E482" s="14">
        <f>ROUND(VLOOKUP(C482,'Production Plan'!A:B,2,FALSE),2)</f>
        <v>409.15</v>
      </c>
      <c r="F482" s="16">
        <v>45770</v>
      </c>
      <c r="G482" s="17">
        <f>F482+6*7</f>
        <v>45812</v>
      </c>
      <c r="H482" s="14">
        <f>G482-F482</f>
        <v>42</v>
      </c>
      <c r="I482" s="14">
        <f>ROUND(D482/E482,3)</f>
        <v>4.4999999999999998E-2</v>
      </c>
      <c r="J482" s="14">
        <f>I482*24</f>
        <v>1.08</v>
      </c>
      <c r="K482" s="14">
        <f>VLOOKUP($C482,Rotation!$A$2:$J$10,2,FALSE)</f>
        <v>1</v>
      </c>
      <c r="L482" s="14">
        <f>VLOOKUP($C482,Rotation!$A$2:$J$10,3,FALSE)</f>
        <v>1</v>
      </c>
      <c r="M482" s="14">
        <f>VLOOKUP($C482,Rotation!$A$2:$J$10,4,FALSE)</f>
        <v>0</v>
      </c>
      <c r="N482" s="14">
        <f>VLOOKUP($C482,Rotation!$A$2:$J$10,5,FALSE)</f>
        <v>0</v>
      </c>
      <c r="O482" s="14">
        <f>VLOOKUP($C482,Rotation!$A$2:$J$10,6,FALSE)</f>
        <v>0</v>
      </c>
      <c r="P482" s="14">
        <f>VLOOKUP($C482,Rotation!$A$2:$J$10,7,FALSE)</f>
        <v>0</v>
      </c>
      <c r="Q482" s="14">
        <f>VLOOKUP($C482,Rotation!$A$2:$J$10,8,FALSE)</f>
        <v>0</v>
      </c>
      <c r="R482" s="14">
        <f>VLOOKUP($C482,Rotation!$A$2:$J$10,9,FALSE)</f>
        <v>0</v>
      </c>
      <c r="S482" s="14">
        <f>VLOOKUP($C482,Rotation!$A$2:$J$10,10,FALSE)</f>
        <v>0</v>
      </c>
    </row>
    <row r="483" spans="1:19" ht="18">
      <c r="A483" s="14">
        <v>481</v>
      </c>
      <c r="B483" s="14" t="s">
        <v>77</v>
      </c>
      <c r="C483" s="14" t="str">
        <f>VLOOKUP(B483,Family!B:C,2,FALSE)</f>
        <v>E</v>
      </c>
      <c r="D483" s="15">
        <v>18</v>
      </c>
      <c r="E483" s="14">
        <f>ROUND(VLOOKUP(C483,'Production Plan'!A:B,2,FALSE),2)</f>
        <v>333.66</v>
      </c>
      <c r="F483" s="16">
        <v>45754</v>
      </c>
      <c r="G483" s="17">
        <f>F483+6*7</f>
        <v>45796</v>
      </c>
      <c r="H483" s="14">
        <f>G483-F483</f>
        <v>42</v>
      </c>
      <c r="I483" s="14">
        <f>ROUND(D483/E483,3)</f>
        <v>5.3999999999999999E-2</v>
      </c>
      <c r="J483" s="14">
        <f>I483*24</f>
        <v>1.296</v>
      </c>
      <c r="K483" s="14">
        <f>VLOOKUP($C483,Rotation!$A$2:$J$10,2,FALSE)</f>
        <v>1</v>
      </c>
      <c r="L483" s="14">
        <f>VLOOKUP($C483,Rotation!$A$2:$J$10,3,FALSE)</f>
        <v>0</v>
      </c>
      <c r="M483" s="14">
        <f>VLOOKUP($C483,Rotation!$A$2:$J$10,4,FALSE)</f>
        <v>0</v>
      </c>
      <c r="N483" s="14">
        <f>VLOOKUP($C483,Rotation!$A$2:$J$10,5,FALSE)</f>
        <v>0</v>
      </c>
      <c r="O483" s="14">
        <f>VLOOKUP($C483,Rotation!$A$2:$J$10,6,FALSE)</f>
        <v>0</v>
      </c>
      <c r="P483" s="14">
        <f>VLOOKUP($C483,Rotation!$A$2:$J$10,7,FALSE)</f>
        <v>1</v>
      </c>
      <c r="Q483" s="14">
        <f>VLOOKUP($C483,Rotation!$A$2:$J$10,8,FALSE)</f>
        <v>0</v>
      </c>
      <c r="R483" s="14">
        <f>VLOOKUP($C483,Rotation!$A$2:$J$10,9,FALSE)</f>
        <v>0</v>
      </c>
      <c r="S483" s="14">
        <f>VLOOKUP($C483,Rotation!$A$2:$J$10,10,FALSE)</f>
        <v>0</v>
      </c>
    </row>
    <row r="484" spans="1:19" ht="18">
      <c r="A484" s="14">
        <v>482</v>
      </c>
      <c r="B484" s="14" t="s">
        <v>65</v>
      </c>
      <c r="C484" s="14" t="str">
        <f>VLOOKUP(B484,Family!B:C,2,FALSE)</f>
        <v>A</v>
      </c>
      <c r="D484" s="15">
        <v>38</v>
      </c>
      <c r="E484" s="14">
        <f>ROUND(VLOOKUP(C484,'Production Plan'!A:B,2,FALSE),2)</f>
        <v>407.17</v>
      </c>
      <c r="F484" s="16">
        <v>45790</v>
      </c>
      <c r="G484" s="17">
        <f>F484+6*7</f>
        <v>45832</v>
      </c>
      <c r="H484" s="14">
        <f>G484-F484</f>
        <v>42</v>
      </c>
      <c r="I484" s="14">
        <f>ROUND(D484/E484,3)</f>
        <v>9.2999999999999999E-2</v>
      </c>
      <c r="J484" s="14">
        <f>I484*24</f>
        <v>2.2320000000000002</v>
      </c>
      <c r="K484" s="14">
        <f>VLOOKUP($C484,Rotation!$A$2:$J$10,2,FALSE)</f>
        <v>1</v>
      </c>
      <c r="L484" s="14">
        <f>VLOOKUP($C484,Rotation!$A$2:$J$10,3,FALSE)</f>
        <v>1</v>
      </c>
      <c r="M484" s="14">
        <f>VLOOKUP($C484,Rotation!$A$2:$J$10,4,FALSE)</f>
        <v>1</v>
      </c>
      <c r="N484" s="14">
        <f>VLOOKUP($C484,Rotation!$A$2:$J$10,5,FALSE)</f>
        <v>0</v>
      </c>
      <c r="O484" s="14">
        <f>VLOOKUP($C484,Rotation!$A$2:$J$10,6,FALSE)</f>
        <v>0</v>
      </c>
      <c r="P484" s="14">
        <f>VLOOKUP($C484,Rotation!$A$2:$J$10,7,FALSE)</f>
        <v>0</v>
      </c>
      <c r="Q484" s="14">
        <f>VLOOKUP($C484,Rotation!$A$2:$J$10,8,FALSE)</f>
        <v>0</v>
      </c>
      <c r="R484" s="14">
        <f>VLOOKUP($C484,Rotation!$A$2:$J$10,9,FALSE)</f>
        <v>0</v>
      </c>
      <c r="S484" s="14">
        <f>VLOOKUP($C484,Rotation!$A$2:$J$10,10,FALSE)</f>
        <v>0</v>
      </c>
    </row>
    <row r="485" spans="1:19" ht="18">
      <c r="A485" s="14">
        <v>483</v>
      </c>
      <c r="B485" s="14" t="s">
        <v>65</v>
      </c>
      <c r="C485" s="14" t="str">
        <f>VLOOKUP(B485,Family!B:C,2,FALSE)</f>
        <v>A</v>
      </c>
      <c r="D485" s="15">
        <v>19</v>
      </c>
      <c r="E485" s="14">
        <f>ROUND(VLOOKUP(C485,'Production Plan'!A:B,2,FALSE),2)</f>
        <v>407.17</v>
      </c>
      <c r="F485" s="16">
        <v>45755</v>
      </c>
      <c r="G485" s="17">
        <f>F485+6*7</f>
        <v>45797</v>
      </c>
      <c r="H485" s="14">
        <f>G485-F485</f>
        <v>42</v>
      </c>
      <c r="I485" s="14">
        <f>ROUND(D485/E485,3)</f>
        <v>4.7E-2</v>
      </c>
      <c r="J485" s="14">
        <f>I485*24</f>
        <v>1.1280000000000001</v>
      </c>
      <c r="K485" s="14">
        <f>VLOOKUP($C485,Rotation!$A$2:$J$10,2,FALSE)</f>
        <v>1</v>
      </c>
      <c r="L485" s="14">
        <f>VLOOKUP($C485,Rotation!$A$2:$J$10,3,FALSE)</f>
        <v>1</v>
      </c>
      <c r="M485" s="14">
        <f>VLOOKUP($C485,Rotation!$A$2:$J$10,4,FALSE)</f>
        <v>1</v>
      </c>
      <c r="N485" s="14">
        <f>VLOOKUP($C485,Rotation!$A$2:$J$10,5,FALSE)</f>
        <v>0</v>
      </c>
      <c r="O485" s="14">
        <f>VLOOKUP($C485,Rotation!$A$2:$J$10,6,FALSE)</f>
        <v>0</v>
      </c>
      <c r="P485" s="14">
        <f>VLOOKUP($C485,Rotation!$A$2:$J$10,7,FALSE)</f>
        <v>0</v>
      </c>
      <c r="Q485" s="14">
        <f>VLOOKUP($C485,Rotation!$A$2:$J$10,8,FALSE)</f>
        <v>0</v>
      </c>
      <c r="R485" s="14">
        <f>VLOOKUP($C485,Rotation!$A$2:$J$10,9,FALSE)</f>
        <v>0</v>
      </c>
      <c r="S485" s="14">
        <f>VLOOKUP($C485,Rotation!$A$2:$J$10,10,FALSE)</f>
        <v>0</v>
      </c>
    </row>
    <row r="486" spans="1:19" ht="18">
      <c r="A486" s="14">
        <v>484</v>
      </c>
      <c r="B486" s="14" t="s">
        <v>85</v>
      </c>
      <c r="C486" s="14" t="str">
        <f>VLOOKUP(B486,Family!B:C,2,FALSE)</f>
        <v>E</v>
      </c>
      <c r="D486" s="15">
        <v>19</v>
      </c>
      <c r="E486" s="14">
        <f>ROUND(VLOOKUP(C486,'Production Plan'!A:B,2,FALSE),2)</f>
        <v>333.66</v>
      </c>
      <c r="F486" s="16">
        <v>45761</v>
      </c>
      <c r="G486" s="17">
        <f>F486+6*7</f>
        <v>45803</v>
      </c>
      <c r="H486" s="14">
        <f>G486-F486</f>
        <v>42</v>
      </c>
      <c r="I486" s="14">
        <f>ROUND(D486/E486,3)</f>
        <v>5.7000000000000002E-2</v>
      </c>
      <c r="J486" s="14">
        <f>I486*24</f>
        <v>1.3680000000000001</v>
      </c>
      <c r="K486" s="14">
        <f>VLOOKUP($C486,Rotation!$A$2:$J$10,2,FALSE)</f>
        <v>1</v>
      </c>
      <c r="L486" s="14">
        <f>VLOOKUP($C486,Rotation!$A$2:$J$10,3,FALSE)</f>
        <v>0</v>
      </c>
      <c r="M486" s="14">
        <f>VLOOKUP($C486,Rotation!$A$2:$J$10,4,FALSE)</f>
        <v>0</v>
      </c>
      <c r="N486" s="14">
        <f>VLOOKUP($C486,Rotation!$A$2:$J$10,5,FALSE)</f>
        <v>0</v>
      </c>
      <c r="O486" s="14">
        <f>VLOOKUP($C486,Rotation!$A$2:$J$10,6,FALSE)</f>
        <v>0</v>
      </c>
      <c r="P486" s="14">
        <f>VLOOKUP($C486,Rotation!$A$2:$J$10,7,FALSE)</f>
        <v>1</v>
      </c>
      <c r="Q486" s="14">
        <f>VLOOKUP($C486,Rotation!$A$2:$J$10,8,FALSE)</f>
        <v>0</v>
      </c>
      <c r="R486" s="14">
        <f>VLOOKUP($C486,Rotation!$A$2:$J$10,9,FALSE)</f>
        <v>0</v>
      </c>
      <c r="S486" s="14">
        <f>VLOOKUP($C486,Rotation!$A$2:$J$10,10,FALSE)</f>
        <v>0</v>
      </c>
    </row>
    <row r="487" spans="1:19" ht="18">
      <c r="A487" s="14">
        <v>485</v>
      </c>
      <c r="B487" s="14" t="s">
        <v>64</v>
      </c>
      <c r="C487" s="14" t="str">
        <f>VLOOKUP(B487,Family!B:C,2,FALSE)</f>
        <v>A</v>
      </c>
      <c r="D487" s="15">
        <v>37</v>
      </c>
      <c r="E487" s="14">
        <f>ROUND(VLOOKUP(C487,'Production Plan'!A:B,2,FALSE),2)</f>
        <v>407.17</v>
      </c>
      <c r="F487" s="16">
        <v>45793</v>
      </c>
      <c r="G487" s="17">
        <f>F487+6*7</f>
        <v>45835</v>
      </c>
      <c r="H487" s="14">
        <f>G487-F487</f>
        <v>42</v>
      </c>
      <c r="I487" s="14">
        <f>ROUND(D487/E487,3)</f>
        <v>9.0999999999999998E-2</v>
      </c>
      <c r="J487" s="14">
        <f>I487*24</f>
        <v>2.1840000000000002</v>
      </c>
      <c r="K487" s="14">
        <f>VLOOKUP($C487,Rotation!$A$2:$J$10,2,FALSE)</f>
        <v>1</v>
      </c>
      <c r="L487" s="14">
        <f>VLOOKUP($C487,Rotation!$A$2:$J$10,3,FALSE)</f>
        <v>1</v>
      </c>
      <c r="M487" s="14">
        <f>VLOOKUP($C487,Rotation!$A$2:$J$10,4,FALSE)</f>
        <v>1</v>
      </c>
      <c r="N487" s="14">
        <f>VLOOKUP($C487,Rotation!$A$2:$J$10,5,FALSE)</f>
        <v>0</v>
      </c>
      <c r="O487" s="14">
        <f>VLOOKUP($C487,Rotation!$A$2:$J$10,6,FALSE)</f>
        <v>0</v>
      </c>
      <c r="P487" s="14">
        <f>VLOOKUP($C487,Rotation!$A$2:$J$10,7,FALSE)</f>
        <v>0</v>
      </c>
      <c r="Q487" s="14">
        <f>VLOOKUP($C487,Rotation!$A$2:$J$10,8,FALSE)</f>
        <v>0</v>
      </c>
      <c r="R487" s="14">
        <f>VLOOKUP($C487,Rotation!$A$2:$J$10,9,FALSE)</f>
        <v>0</v>
      </c>
      <c r="S487" s="14">
        <f>VLOOKUP($C487,Rotation!$A$2:$J$10,10,FALSE)</f>
        <v>0</v>
      </c>
    </row>
    <row r="488" spans="1:19" ht="18">
      <c r="A488" s="14">
        <v>486</v>
      </c>
      <c r="B488" s="14" t="s">
        <v>77</v>
      </c>
      <c r="C488" s="14" t="str">
        <f>VLOOKUP(B488,Family!B:C,2,FALSE)</f>
        <v>E</v>
      </c>
      <c r="D488" s="15">
        <v>18</v>
      </c>
      <c r="E488" s="14">
        <f>ROUND(VLOOKUP(C488,'Production Plan'!A:B,2,FALSE),2)</f>
        <v>333.66</v>
      </c>
      <c r="F488" s="16">
        <v>45671</v>
      </c>
      <c r="G488" s="17">
        <f>F488+6*7</f>
        <v>45713</v>
      </c>
      <c r="H488" s="14">
        <f>G488-F488</f>
        <v>42</v>
      </c>
      <c r="I488" s="14">
        <f>ROUND(D488/E488,3)</f>
        <v>5.3999999999999999E-2</v>
      </c>
      <c r="J488" s="14">
        <f>I488*24</f>
        <v>1.296</v>
      </c>
      <c r="K488" s="14">
        <f>VLOOKUP($C488,Rotation!$A$2:$J$10,2,FALSE)</f>
        <v>1</v>
      </c>
      <c r="L488" s="14">
        <f>VLOOKUP($C488,Rotation!$A$2:$J$10,3,FALSE)</f>
        <v>0</v>
      </c>
      <c r="M488" s="14">
        <f>VLOOKUP($C488,Rotation!$A$2:$J$10,4,FALSE)</f>
        <v>0</v>
      </c>
      <c r="N488" s="14">
        <f>VLOOKUP($C488,Rotation!$A$2:$J$10,5,FALSE)</f>
        <v>0</v>
      </c>
      <c r="O488" s="14">
        <f>VLOOKUP($C488,Rotation!$A$2:$J$10,6,FALSE)</f>
        <v>0</v>
      </c>
      <c r="P488" s="14">
        <f>VLOOKUP($C488,Rotation!$A$2:$J$10,7,FALSE)</f>
        <v>1</v>
      </c>
      <c r="Q488" s="14">
        <f>VLOOKUP($C488,Rotation!$A$2:$J$10,8,FALSE)</f>
        <v>0</v>
      </c>
      <c r="R488" s="14">
        <f>VLOOKUP($C488,Rotation!$A$2:$J$10,9,FALSE)</f>
        <v>0</v>
      </c>
      <c r="S488" s="14">
        <f>VLOOKUP($C488,Rotation!$A$2:$J$10,10,FALSE)</f>
        <v>0</v>
      </c>
    </row>
    <row r="489" spans="1:19" ht="18">
      <c r="A489" s="14">
        <v>487</v>
      </c>
      <c r="B489" s="14" t="s">
        <v>106</v>
      </c>
      <c r="C489" s="14" t="str">
        <f>VLOOKUP(B489,Family!B:C,2,FALSE)</f>
        <v>P</v>
      </c>
      <c r="D489" s="15">
        <v>19</v>
      </c>
      <c r="E489" s="14">
        <f>ROUND(VLOOKUP(C489,'Production Plan'!A:B,2,FALSE),2)</f>
        <v>409.15</v>
      </c>
      <c r="F489" s="16">
        <v>45743</v>
      </c>
      <c r="G489" s="17">
        <f>F489+6*7</f>
        <v>45785</v>
      </c>
      <c r="H489" s="14">
        <f>G489-F489</f>
        <v>42</v>
      </c>
      <c r="I489" s="14">
        <f>ROUND(D489/E489,3)</f>
        <v>4.5999999999999999E-2</v>
      </c>
      <c r="J489" s="14">
        <f>I489*24</f>
        <v>1.1040000000000001</v>
      </c>
      <c r="K489" s="14">
        <f>VLOOKUP($C489,Rotation!$A$2:$J$10,2,FALSE)</f>
        <v>1</v>
      </c>
      <c r="L489" s="14">
        <f>VLOOKUP($C489,Rotation!$A$2:$J$10,3,FALSE)</f>
        <v>1</v>
      </c>
      <c r="M489" s="14">
        <f>VLOOKUP($C489,Rotation!$A$2:$J$10,4,FALSE)</f>
        <v>0</v>
      </c>
      <c r="N489" s="14">
        <f>VLOOKUP($C489,Rotation!$A$2:$J$10,5,FALSE)</f>
        <v>0</v>
      </c>
      <c r="O489" s="14">
        <f>VLOOKUP($C489,Rotation!$A$2:$J$10,6,FALSE)</f>
        <v>0</v>
      </c>
      <c r="P489" s="14">
        <f>VLOOKUP($C489,Rotation!$A$2:$J$10,7,FALSE)</f>
        <v>0</v>
      </c>
      <c r="Q489" s="14">
        <f>VLOOKUP($C489,Rotation!$A$2:$J$10,8,FALSE)</f>
        <v>0</v>
      </c>
      <c r="R489" s="14">
        <f>VLOOKUP($C489,Rotation!$A$2:$J$10,9,FALSE)</f>
        <v>0</v>
      </c>
      <c r="S489" s="14">
        <f>VLOOKUP($C489,Rotation!$A$2:$J$10,10,FALSE)</f>
        <v>0</v>
      </c>
    </row>
    <row r="490" spans="1:19" ht="18">
      <c r="A490" s="14">
        <v>488</v>
      </c>
      <c r="B490" s="14" t="s">
        <v>85</v>
      </c>
      <c r="C490" s="14" t="str">
        <f>VLOOKUP(B490,Family!B:C,2,FALSE)</f>
        <v>E</v>
      </c>
      <c r="D490" s="15">
        <v>19</v>
      </c>
      <c r="E490" s="14">
        <f>ROUND(VLOOKUP(C490,'Production Plan'!A:B,2,FALSE),2)</f>
        <v>333.66</v>
      </c>
      <c r="F490" s="16">
        <v>45761</v>
      </c>
      <c r="G490" s="17">
        <f>F490+6*7</f>
        <v>45803</v>
      </c>
      <c r="H490" s="14">
        <f>G490-F490</f>
        <v>42</v>
      </c>
      <c r="I490" s="14">
        <f>ROUND(D490/E490,3)</f>
        <v>5.7000000000000002E-2</v>
      </c>
      <c r="J490" s="14">
        <f>I490*24</f>
        <v>1.3680000000000001</v>
      </c>
      <c r="K490" s="14">
        <f>VLOOKUP($C490,Rotation!$A$2:$J$10,2,FALSE)</f>
        <v>1</v>
      </c>
      <c r="L490" s="14">
        <f>VLOOKUP($C490,Rotation!$A$2:$J$10,3,FALSE)</f>
        <v>0</v>
      </c>
      <c r="M490" s="14">
        <f>VLOOKUP($C490,Rotation!$A$2:$J$10,4,FALSE)</f>
        <v>0</v>
      </c>
      <c r="N490" s="14">
        <f>VLOOKUP($C490,Rotation!$A$2:$J$10,5,FALSE)</f>
        <v>0</v>
      </c>
      <c r="O490" s="14">
        <f>VLOOKUP($C490,Rotation!$A$2:$J$10,6,FALSE)</f>
        <v>0</v>
      </c>
      <c r="P490" s="14">
        <f>VLOOKUP($C490,Rotation!$A$2:$J$10,7,FALSE)</f>
        <v>1</v>
      </c>
      <c r="Q490" s="14">
        <f>VLOOKUP($C490,Rotation!$A$2:$J$10,8,FALSE)</f>
        <v>0</v>
      </c>
      <c r="R490" s="14">
        <f>VLOOKUP($C490,Rotation!$A$2:$J$10,9,FALSE)</f>
        <v>0</v>
      </c>
      <c r="S490" s="14">
        <f>VLOOKUP($C490,Rotation!$A$2:$J$10,10,FALSE)</f>
        <v>0</v>
      </c>
    </row>
    <row r="491" spans="1:19" ht="18">
      <c r="A491" s="14">
        <v>489</v>
      </c>
      <c r="B491" s="14" t="s">
        <v>64</v>
      </c>
      <c r="C491" s="14" t="str">
        <f>VLOOKUP(B491,Family!B:C,2,FALSE)</f>
        <v>A</v>
      </c>
      <c r="D491" s="15">
        <v>37</v>
      </c>
      <c r="E491" s="14">
        <f>ROUND(VLOOKUP(C491,'Production Plan'!A:B,2,FALSE),2)</f>
        <v>407.17</v>
      </c>
      <c r="F491" s="16">
        <v>45793</v>
      </c>
      <c r="G491" s="17">
        <f>F491+6*7</f>
        <v>45835</v>
      </c>
      <c r="H491" s="14">
        <f>G491-F491</f>
        <v>42</v>
      </c>
      <c r="I491" s="14">
        <f>ROUND(D491/E491,3)</f>
        <v>9.0999999999999998E-2</v>
      </c>
      <c r="J491" s="14">
        <f>I491*24</f>
        <v>2.1840000000000002</v>
      </c>
      <c r="K491" s="14">
        <f>VLOOKUP($C491,Rotation!$A$2:$J$10,2,FALSE)</f>
        <v>1</v>
      </c>
      <c r="L491" s="14">
        <f>VLOOKUP($C491,Rotation!$A$2:$J$10,3,FALSE)</f>
        <v>1</v>
      </c>
      <c r="M491" s="14">
        <f>VLOOKUP($C491,Rotation!$A$2:$J$10,4,FALSE)</f>
        <v>1</v>
      </c>
      <c r="N491" s="14">
        <f>VLOOKUP($C491,Rotation!$A$2:$J$10,5,FALSE)</f>
        <v>0</v>
      </c>
      <c r="O491" s="14">
        <f>VLOOKUP($C491,Rotation!$A$2:$J$10,6,FALSE)</f>
        <v>0</v>
      </c>
      <c r="P491" s="14">
        <f>VLOOKUP($C491,Rotation!$A$2:$J$10,7,FALSE)</f>
        <v>0</v>
      </c>
      <c r="Q491" s="14">
        <f>VLOOKUP($C491,Rotation!$A$2:$J$10,8,FALSE)</f>
        <v>0</v>
      </c>
      <c r="R491" s="14">
        <f>VLOOKUP($C491,Rotation!$A$2:$J$10,9,FALSE)</f>
        <v>0</v>
      </c>
      <c r="S491" s="14">
        <f>VLOOKUP($C491,Rotation!$A$2:$J$10,10,FALSE)</f>
        <v>0</v>
      </c>
    </row>
    <row r="492" spans="1:19" ht="18">
      <c r="A492" s="14">
        <v>490</v>
      </c>
      <c r="B492" s="14" t="s">
        <v>106</v>
      </c>
      <c r="C492" s="14" t="str">
        <f>VLOOKUP(B492,Family!B:C,2,FALSE)</f>
        <v>P</v>
      </c>
      <c r="D492" s="15">
        <v>19</v>
      </c>
      <c r="E492" s="14">
        <f>ROUND(VLOOKUP(C492,'Production Plan'!A:B,2,FALSE),2)</f>
        <v>409.15</v>
      </c>
      <c r="F492" s="16">
        <v>45743</v>
      </c>
      <c r="G492" s="17">
        <f>F492+6*7</f>
        <v>45785</v>
      </c>
      <c r="H492" s="14">
        <f>G492-F492</f>
        <v>42</v>
      </c>
      <c r="I492" s="14">
        <f>ROUND(D492/E492,3)</f>
        <v>4.5999999999999999E-2</v>
      </c>
      <c r="J492" s="14">
        <f>I492*24</f>
        <v>1.1040000000000001</v>
      </c>
      <c r="K492" s="14">
        <f>VLOOKUP($C492,Rotation!$A$2:$J$10,2,FALSE)</f>
        <v>1</v>
      </c>
      <c r="L492" s="14">
        <f>VLOOKUP($C492,Rotation!$A$2:$J$10,3,FALSE)</f>
        <v>1</v>
      </c>
      <c r="M492" s="14">
        <f>VLOOKUP($C492,Rotation!$A$2:$J$10,4,FALSE)</f>
        <v>0</v>
      </c>
      <c r="N492" s="14">
        <f>VLOOKUP($C492,Rotation!$A$2:$J$10,5,FALSE)</f>
        <v>0</v>
      </c>
      <c r="O492" s="14">
        <f>VLOOKUP($C492,Rotation!$A$2:$J$10,6,FALSE)</f>
        <v>0</v>
      </c>
      <c r="P492" s="14">
        <f>VLOOKUP($C492,Rotation!$A$2:$J$10,7,FALSE)</f>
        <v>0</v>
      </c>
      <c r="Q492" s="14">
        <f>VLOOKUP($C492,Rotation!$A$2:$J$10,8,FALSE)</f>
        <v>0</v>
      </c>
      <c r="R492" s="14">
        <f>VLOOKUP($C492,Rotation!$A$2:$J$10,9,FALSE)</f>
        <v>0</v>
      </c>
      <c r="S492" s="14">
        <f>VLOOKUP($C492,Rotation!$A$2:$J$10,10,FALSE)</f>
        <v>0</v>
      </c>
    </row>
    <row r="493" spans="1:19" ht="18">
      <c r="A493" s="14">
        <v>491</v>
      </c>
      <c r="B493" s="14" t="s">
        <v>71</v>
      </c>
      <c r="C493" s="14" t="str">
        <f>VLOOKUP(B493,Family!B:C,2,FALSE)</f>
        <v>A</v>
      </c>
      <c r="D493" s="15">
        <v>391</v>
      </c>
      <c r="E493" s="14">
        <f>ROUND(VLOOKUP(C493,'Production Plan'!A:B,2,FALSE),2)</f>
        <v>407.17</v>
      </c>
      <c r="F493" s="16">
        <v>45722</v>
      </c>
      <c r="G493" s="17">
        <f>F493+6*7</f>
        <v>45764</v>
      </c>
      <c r="H493" s="14">
        <f>G493-F493</f>
        <v>42</v>
      </c>
      <c r="I493" s="14">
        <f>ROUND(D493/E493,3)</f>
        <v>0.96</v>
      </c>
      <c r="J493" s="14">
        <f>I493*24</f>
        <v>23.04</v>
      </c>
      <c r="K493" s="14">
        <f>VLOOKUP($C493,Rotation!$A$2:$J$10,2,FALSE)</f>
        <v>1</v>
      </c>
      <c r="L493" s="14">
        <f>VLOOKUP($C493,Rotation!$A$2:$J$10,3,FALSE)</f>
        <v>1</v>
      </c>
      <c r="M493" s="14">
        <f>VLOOKUP($C493,Rotation!$A$2:$J$10,4,FALSE)</f>
        <v>1</v>
      </c>
      <c r="N493" s="14">
        <f>VLOOKUP($C493,Rotation!$A$2:$J$10,5,FALSE)</f>
        <v>0</v>
      </c>
      <c r="O493" s="14">
        <f>VLOOKUP($C493,Rotation!$A$2:$J$10,6,FALSE)</f>
        <v>0</v>
      </c>
      <c r="P493" s="14">
        <f>VLOOKUP($C493,Rotation!$A$2:$J$10,7,FALSE)</f>
        <v>0</v>
      </c>
      <c r="Q493" s="14">
        <f>VLOOKUP($C493,Rotation!$A$2:$J$10,8,FALSE)</f>
        <v>0</v>
      </c>
      <c r="R493" s="14">
        <f>VLOOKUP($C493,Rotation!$A$2:$J$10,9,FALSE)</f>
        <v>0</v>
      </c>
      <c r="S493" s="14">
        <f>VLOOKUP($C493,Rotation!$A$2:$J$10,10,FALSE)</f>
        <v>0</v>
      </c>
    </row>
    <row r="494" spans="1:19" ht="18">
      <c r="A494" s="14">
        <v>492</v>
      </c>
      <c r="B494" s="14" t="s">
        <v>112</v>
      </c>
      <c r="C494" s="14" t="str">
        <f>VLOOKUP(B494,Family!B:C,2,FALSE)</f>
        <v>N</v>
      </c>
      <c r="D494" s="15">
        <v>70</v>
      </c>
      <c r="E494" s="14">
        <f>ROUND(VLOOKUP(C494,'Production Plan'!A:B,2,FALSE),2)</f>
        <v>334.18</v>
      </c>
      <c r="F494" s="16">
        <v>45690</v>
      </c>
      <c r="G494" s="17">
        <f>F494+6*7</f>
        <v>45732</v>
      </c>
      <c r="H494" s="14">
        <f>G494-F494</f>
        <v>42</v>
      </c>
      <c r="I494" s="14">
        <f>ROUND(D494/E494,3)</f>
        <v>0.20899999999999999</v>
      </c>
      <c r="J494" s="14">
        <f>I494*24</f>
        <v>5.016</v>
      </c>
      <c r="K494" s="14">
        <f>VLOOKUP($C494,Rotation!$A$2:$J$10,2,FALSE)</f>
        <v>1</v>
      </c>
      <c r="L494" s="14">
        <f>VLOOKUP($C494,Rotation!$A$2:$J$10,3,FALSE)</f>
        <v>0</v>
      </c>
      <c r="M494" s="14">
        <f>VLOOKUP($C494,Rotation!$A$2:$J$10,4,FALSE)</f>
        <v>0</v>
      </c>
      <c r="N494" s="14">
        <f>VLOOKUP($C494,Rotation!$A$2:$J$10,5,FALSE)</f>
        <v>0</v>
      </c>
      <c r="O494" s="14">
        <f>VLOOKUP($C494,Rotation!$A$2:$J$10,6,FALSE)</f>
        <v>0</v>
      </c>
      <c r="P494" s="14">
        <f>VLOOKUP($C494,Rotation!$A$2:$J$10,7,FALSE)</f>
        <v>0</v>
      </c>
      <c r="Q494" s="14">
        <f>VLOOKUP($C494,Rotation!$A$2:$J$10,8,FALSE)</f>
        <v>1</v>
      </c>
      <c r="R494" s="14">
        <f>VLOOKUP($C494,Rotation!$A$2:$J$10,9,FALSE)</f>
        <v>0</v>
      </c>
      <c r="S494" s="14">
        <f>VLOOKUP($C494,Rotation!$A$2:$J$10,10,FALSE)</f>
        <v>0</v>
      </c>
    </row>
    <row r="495" spans="1:19" ht="18">
      <c r="A495" s="14">
        <v>493</v>
      </c>
      <c r="B495" s="14" t="s">
        <v>111</v>
      </c>
      <c r="C495" s="14" t="str">
        <f>VLOOKUP(B495,Family!B:C,2,FALSE)</f>
        <v>N</v>
      </c>
      <c r="D495" s="15">
        <v>67</v>
      </c>
      <c r="E495" s="14">
        <f>ROUND(VLOOKUP(C495,'Production Plan'!A:B,2,FALSE),2)</f>
        <v>334.18</v>
      </c>
      <c r="F495" s="16">
        <v>45699</v>
      </c>
      <c r="G495" s="17">
        <f>F495+6*7</f>
        <v>45741</v>
      </c>
      <c r="H495" s="14">
        <f>G495-F495</f>
        <v>42</v>
      </c>
      <c r="I495" s="14">
        <f>ROUND(D495/E495,3)</f>
        <v>0.2</v>
      </c>
      <c r="J495" s="14">
        <f>I495*24</f>
        <v>4.8000000000000007</v>
      </c>
      <c r="K495" s="14">
        <f>VLOOKUP($C495,Rotation!$A$2:$J$10,2,FALSE)</f>
        <v>1</v>
      </c>
      <c r="L495" s="14">
        <f>VLOOKUP($C495,Rotation!$A$2:$J$10,3,FALSE)</f>
        <v>0</v>
      </c>
      <c r="M495" s="14">
        <f>VLOOKUP($C495,Rotation!$A$2:$J$10,4,FALSE)</f>
        <v>0</v>
      </c>
      <c r="N495" s="14">
        <f>VLOOKUP($C495,Rotation!$A$2:$J$10,5,FALSE)</f>
        <v>0</v>
      </c>
      <c r="O495" s="14">
        <f>VLOOKUP($C495,Rotation!$A$2:$J$10,6,FALSE)</f>
        <v>0</v>
      </c>
      <c r="P495" s="14">
        <f>VLOOKUP($C495,Rotation!$A$2:$J$10,7,FALSE)</f>
        <v>0</v>
      </c>
      <c r="Q495" s="14">
        <f>VLOOKUP($C495,Rotation!$A$2:$J$10,8,FALSE)</f>
        <v>1</v>
      </c>
      <c r="R495" s="14">
        <f>VLOOKUP($C495,Rotation!$A$2:$J$10,9,FALSE)</f>
        <v>0</v>
      </c>
      <c r="S495" s="14">
        <f>VLOOKUP($C495,Rotation!$A$2:$J$10,10,FALSE)</f>
        <v>0</v>
      </c>
    </row>
    <row r="496" spans="1:19" ht="18">
      <c r="A496" s="14">
        <v>494</v>
      </c>
      <c r="B496" s="14" t="s">
        <v>98</v>
      </c>
      <c r="C496" s="14" t="str">
        <f>VLOOKUP(B496,Family!B:C,2,FALSE)</f>
        <v>H</v>
      </c>
      <c r="D496" s="15">
        <v>19</v>
      </c>
      <c r="E496" s="14">
        <f>ROUND(VLOOKUP(C496,'Production Plan'!A:B,2,FALSE),2)</f>
        <v>402.02</v>
      </c>
      <c r="F496" s="16">
        <v>45706</v>
      </c>
      <c r="G496" s="17">
        <f>F496+6*7</f>
        <v>45748</v>
      </c>
      <c r="H496" s="14">
        <f>G496-F496</f>
        <v>42</v>
      </c>
      <c r="I496" s="14">
        <f>ROUND(D496/E496,3)</f>
        <v>4.7E-2</v>
      </c>
      <c r="J496" s="14">
        <f>I496*24</f>
        <v>1.1280000000000001</v>
      </c>
      <c r="K496" s="14">
        <f>VLOOKUP($C496,Rotation!$A$2:$J$10,2,FALSE)</f>
        <v>0</v>
      </c>
      <c r="L496" s="14">
        <f>VLOOKUP($C496,Rotation!$A$2:$J$10,3,FALSE)</f>
        <v>0</v>
      </c>
      <c r="M496" s="14">
        <f>VLOOKUP($C496,Rotation!$A$2:$J$10,4,FALSE)</f>
        <v>1</v>
      </c>
      <c r="N496" s="14">
        <f>VLOOKUP($C496,Rotation!$A$2:$J$10,5,FALSE)</f>
        <v>1</v>
      </c>
      <c r="O496" s="14">
        <f>VLOOKUP($C496,Rotation!$A$2:$J$10,6,FALSE)</f>
        <v>0</v>
      </c>
      <c r="P496" s="14">
        <f>VLOOKUP($C496,Rotation!$A$2:$J$10,7,FALSE)</f>
        <v>0</v>
      </c>
      <c r="Q496" s="14">
        <f>VLOOKUP($C496,Rotation!$A$2:$J$10,8,FALSE)</f>
        <v>0</v>
      </c>
      <c r="R496" s="14">
        <f>VLOOKUP($C496,Rotation!$A$2:$J$10,9,FALSE)</f>
        <v>0</v>
      </c>
      <c r="S496" s="14">
        <f>VLOOKUP($C496,Rotation!$A$2:$J$10,10,FALSE)</f>
        <v>0</v>
      </c>
    </row>
    <row r="497" spans="1:19" ht="18">
      <c r="A497" s="14">
        <v>495</v>
      </c>
      <c r="B497" s="14" t="s">
        <v>89</v>
      </c>
      <c r="C497" s="14" t="str">
        <f>VLOOKUP(B497,Family!B:C,2,FALSE)</f>
        <v>E</v>
      </c>
      <c r="D497" s="15">
        <v>25</v>
      </c>
      <c r="E497" s="14">
        <f>ROUND(VLOOKUP(C497,'Production Plan'!A:B,2,FALSE),2)</f>
        <v>333.66</v>
      </c>
      <c r="F497" s="16">
        <v>45708</v>
      </c>
      <c r="G497" s="17">
        <f>F497+6*7</f>
        <v>45750</v>
      </c>
      <c r="H497" s="14">
        <f>G497-F497</f>
        <v>42</v>
      </c>
      <c r="I497" s="14">
        <f>ROUND(D497/E497,3)</f>
        <v>7.4999999999999997E-2</v>
      </c>
      <c r="J497" s="14">
        <f>I497*24</f>
        <v>1.7999999999999998</v>
      </c>
      <c r="K497" s="14">
        <f>VLOOKUP($C497,Rotation!$A$2:$J$10,2,FALSE)</f>
        <v>1</v>
      </c>
      <c r="L497" s="14">
        <f>VLOOKUP($C497,Rotation!$A$2:$J$10,3,FALSE)</f>
        <v>0</v>
      </c>
      <c r="M497" s="14">
        <f>VLOOKUP($C497,Rotation!$A$2:$J$10,4,FALSE)</f>
        <v>0</v>
      </c>
      <c r="N497" s="14">
        <f>VLOOKUP($C497,Rotation!$A$2:$J$10,5,FALSE)</f>
        <v>0</v>
      </c>
      <c r="O497" s="14">
        <f>VLOOKUP($C497,Rotation!$A$2:$J$10,6,FALSE)</f>
        <v>0</v>
      </c>
      <c r="P497" s="14">
        <f>VLOOKUP($C497,Rotation!$A$2:$J$10,7,FALSE)</f>
        <v>1</v>
      </c>
      <c r="Q497" s="14">
        <f>VLOOKUP($C497,Rotation!$A$2:$J$10,8,FALSE)</f>
        <v>0</v>
      </c>
      <c r="R497" s="14">
        <f>VLOOKUP($C497,Rotation!$A$2:$J$10,9,FALSE)</f>
        <v>0</v>
      </c>
      <c r="S497" s="14">
        <f>VLOOKUP($C497,Rotation!$A$2:$J$10,10,FALSE)</f>
        <v>0</v>
      </c>
    </row>
    <row r="498" spans="1:19" ht="18">
      <c r="A498" s="14">
        <v>496</v>
      </c>
      <c r="B498" s="14" t="s">
        <v>106</v>
      </c>
      <c r="C498" s="14" t="str">
        <f>VLOOKUP(B498,Family!B:C,2,FALSE)</f>
        <v>P</v>
      </c>
      <c r="D498" s="15">
        <v>19</v>
      </c>
      <c r="E498" s="14">
        <f>ROUND(VLOOKUP(C498,'Production Plan'!A:B,2,FALSE),2)</f>
        <v>409.15</v>
      </c>
      <c r="F498" s="16">
        <v>45743</v>
      </c>
      <c r="G498" s="17">
        <f>F498+6*7</f>
        <v>45785</v>
      </c>
      <c r="H498" s="14">
        <f>G498-F498</f>
        <v>42</v>
      </c>
      <c r="I498" s="14">
        <f>ROUND(D498/E498,3)</f>
        <v>4.5999999999999999E-2</v>
      </c>
      <c r="J498" s="14">
        <f>I498*24</f>
        <v>1.1040000000000001</v>
      </c>
      <c r="K498" s="14">
        <f>VLOOKUP($C498,Rotation!$A$2:$J$10,2,FALSE)</f>
        <v>1</v>
      </c>
      <c r="L498" s="14">
        <f>VLOOKUP($C498,Rotation!$A$2:$J$10,3,FALSE)</f>
        <v>1</v>
      </c>
      <c r="M498" s="14">
        <f>VLOOKUP($C498,Rotation!$A$2:$J$10,4,FALSE)</f>
        <v>0</v>
      </c>
      <c r="N498" s="14">
        <f>VLOOKUP($C498,Rotation!$A$2:$J$10,5,FALSE)</f>
        <v>0</v>
      </c>
      <c r="O498" s="14">
        <f>VLOOKUP($C498,Rotation!$A$2:$J$10,6,FALSE)</f>
        <v>0</v>
      </c>
      <c r="P498" s="14">
        <f>VLOOKUP($C498,Rotation!$A$2:$J$10,7,FALSE)</f>
        <v>0</v>
      </c>
      <c r="Q498" s="14">
        <f>VLOOKUP($C498,Rotation!$A$2:$J$10,8,FALSE)</f>
        <v>0</v>
      </c>
      <c r="R498" s="14">
        <f>VLOOKUP($C498,Rotation!$A$2:$J$10,9,FALSE)</f>
        <v>0</v>
      </c>
      <c r="S498" s="14">
        <f>VLOOKUP($C498,Rotation!$A$2:$J$10,10,FALSE)</f>
        <v>0</v>
      </c>
    </row>
    <row r="499" spans="1:19" ht="18">
      <c r="A499" s="14">
        <v>497</v>
      </c>
      <c r="B499" s="14" t="s">
        <v>69</v>
      </c>
      <c r="C499" s="14" t="str">
        <f>VLOOKUP(B499,Family!B:C,2,FALSE)</f>
        <v>A</v>
      </c>
      <c r="D499" s="15">
        <v>19</v>
      </c>
      <c r="E499" s="14">
        <f>ROUND(VLOOKUP(C499,'Production Plan'!A:B,2,FALSE),2)</f>
        <v>407.17</v>
      </c>
      <c r="F499" s="16">
        <v>45730</v>
      </c>
      <c r="G499" s="17">
        <f>F499+6*7</f>
        <v>45772</v>
      </c>
      <c r="H499" s="14">
        <f>G499-F499</f>
        <v>42</v>
      </c>
      <c r="I499" s="14">
        <f>ROUND(D499/E499,3)</f>
        <v>4.7E-2</v>
      </c>
      <c r="J499" s="14">
        <f>I499*24</f>
        <v>1.1280000000000001</v>
      </c>
      <c r="K499" s="14">
        <f>VLOOKUP($C499,Rotation!$A$2:$J$10,2,FALSE)</f>
        <v>1</v>
      </c>
      <c r="L499" s="14">
        <f>VLOOKUP($C499,Rotation!$A$2:$J$10,3,FALSE)</f>
        <v>1</v>
      </c>
      <c r="M499" s="14">
        <f>VLOOKUP($C499,Rotation!$A$2:$J$10,4,FALSE)</f>
        <v>1</v>
      </c>
      <c r="N499" s="14">
        <f>VLOOKUP($C499,Rotation!$A$2:$J$10,5,FALSE)</f>
        <v>0</v>
      </c>
      <c r="O499" s="14">
        <f>VLOOKUP($C499,Rotation!$A$2:$J$10,6,FALSE)</f>
        <v>0</v>
      </c>
      <c r="P499" s="14">
        <f>VLOOKUP($C499,Rotation!$A$2:$J$10,7,FALSE)</f>
        <v>0</v>
      </c>
      <c r="Q499" s="14">
        <f>VLOOKUP($C499,Rotation!$A$2:$J$10,8,FALSE)</f>
        <v>0</v>
      </c>
      <c r="R499" s="14">
        <f>VLOOKUP($C499,Rotation!$A$2:$J$10,9,FALSE)</f>
        <v>0</v>
      </c>
      <c r="S499" s="14">
        <f>VLOOKUP($C499,Rotation!$A$2:$J$10,10,FALSE)</f>
        <v>0</v>
      </c>
    </row>
    <row r="500" spans="1:19" ht="18">
      <c r="A500" s="14">
        <v>498</v>
      </c>
      <c r="B500" s="14" t="s">
        <v>69</v>
      </c>
      <c r="C500" s="14" t="str">
        <f>VLOOKUP(B500,Family!B:C,2,FALSE)</f>
        <v>A</v>
      </c>
      <c r="D500" s="15">
        <v>19</v>
      </c>
      <c r="E500" s="14">
        <f>ROUND(VLOOKUP(C500,'Production Plan'!A:B,2,FALSE),2)</f>
        <v>407.17</v>
      </c>
      <c r="F500" s="16">
        <v>45730</v>
      </c>
      <c r="G500" s="17">
        <f>F500+6*7</f>
        <v>45772</v>
      </c>
      <c r="H500" s="14">
        <f>G500-F500</f>
        <v>42</v>
      </c>
      <c r="I500" s="14">
        <f>ROUND(D500/E500,3)</f>
        <v>4.7E-2</v>
      </c>
      <c r="J500" s="14">
        <f>I500*24</f>
        <v>1.1280000000000001</v>
      </c>
      <c r="K500" s="14">
        <f>VLOOKUP($C500,Rotation!$A$2:$J$10,2,FALSE)</f>
        <v>1</v>
      </c>
      <c r="L500" s="14">
        <f>VLOOKUP($C500,Rotation!$A$2:$J$10,3,FALSE)</f>
        <v>1</v>
      </c>
      <c r="M500" s="14">
        <f>VLOOKUP($C500,Rotation!$A$2:$J$10,4,FALSE)</f>
        <v>1</v>
      </c>
      <c r="N500" s="14">
        <f>VLOOKUP($C500,Rotation!$A$2:$J$10,5,FALSE)</f>
        <v>0</v>
      </c>
      <c r="O500" s="14">
        <f>VLOOKUP($C500,Rotation!$A$2:$J$10,6,FALSE)</f>
        <v>0</v>
      </c>
      <c r="P500" s="14">
        <f>VLOOKUP($C500,Rotation!$A$2:$J$10,7,FALSE)</f>
        <v>0</v>
      </c>
      <c r="Q500" s="14">
        <f>VLOOKUP($C500,Rotation!$A$2:$J$10,8,FALSE)</f>
        <v>0</v>
      </c>
      <c r="R500" s="14">
        <f>VLOOKUP($C500,Rotation!$A$2:$J$10,9,FALSE)</f>
        <v>0</v>
      </c>
      <c r="S500" s="14">
        <f>VLOOKUP($C500,Rotation!$A$2:$J$10,10,FALSE)</f>
        <v>0</v>
      </c>
    </row>
    <row r="501" spans="1:19" ht="18">
      <c r="A501" s="14">
        <v>499</v>
      </c>
      <c r="B501" s="14" t="s">
        <v>83</v>
      </c>
      <c r="C501" s="14" t="str">
        <f>VLOOKUP(B501,Family!B:C,2,FALSE)</f>
        <v>C</v>
      </c>
      <c r="D501" s="15">
        <v>148</v>
      </c>
      <c r="E501" s="14">
        <f>ROUND(VLOOKUP(C501,'Production Plan'!A:B,2,FALSE),2)</f>
        <v>411.11</v>
      </c>
      <c r="F501" s="16">
        <v>45742</v>
      </c>
      <c r="G501" s="17">
        <f>F501+6*7</f>
        <v>45784</v>
      </c>
      <c r="H501" s="14">
        <f>G501-F501</f>
        <v>42</v>
      </c>
      <c r="I501" s="14">
        <f>ROUND(D501/E501,3)</f>
        <v>0.36</v>
      </c>
      <c r="J501" s="14">
        <f>I501*24</f>
        <v>8.64</v>
      </c>
      <c r="K501" s="14">
        <f>VLOOKUP($C501,Rotation!$A$2:$J$10,2,FALSE)</f>
        <v>1</v>
      </c>
      <c r="L501" s="14">
        <f>VLOOKUP($C501,Rotation!$A$2:$J$10,3,FALSE)</f>
        <v>0</v>
      </c>
      <c r="M501" s="14">
        <f>VLOOKUP($C501,Rotation!$A$2:$J$10,4,FALSE)</f>
        <v>0</v>
      </c>
      <c r="N501" s="14">
        <f>VLOOKUP($C501,Rotation!$A$2:$J$10,5,FALSE)</f>
        <v>0</v>
      </c>
      <c r="O501" s="14">
        <f>VLOOKUP($C501,Rotation!$A$2:$J$10,6,FALSE)</f>
        <v>1</v>
      </c>
      <c r="P501" s="14">
        <f>VLOOKUP($C501,Rotation!$A$2:$J$10,7,FALSE)</f>
        <v>0</v>
      </c>
      <c r="Q501" s="14">
        <f>VLOOKUP($C501,Rotation!$A$2:$J$10,8,FALSE)</f>
        <v>0</v>
      </c>
      <c r="R501" s="14">
        <f>VLOOKUP($C501,Rotation!$A$2:$J$10,9,FALSE)</f>
        <v>0</v>
      </c>
      <c r="S501" s="14">
        <f>VLOOKUP($C501,Rotation!$A$2:$J$10,10,FALSE)</f>
        <v>0</v>
      </c>
    </row>
    <row r="502" spans="1:19" ht="18">
      <c r="A502" s="14">
        <v>500</v>
      </c>
      <c r="B502" s="14" t="s">
        <v>65</v>
      </c>
      <c r="C502" s="14" t="str">
        <f>VLOOKUP(B502,Family!B:C,2,FALSE)</f>
        <v>A</v>
      </c>
      <c r="D502" s="15">
        <v>19</v>
      </c>
      <c r="E502" s="14">
        <f>ROUND(VLOOKUP(C502,'Production Plan'!A:B,2,FALSE),2)</f>
        <v>407.17</v>
      </c>
      <c r="F502" s="16">
        <v>45755</v>
      </c>
      <c r="G502" s="17">
        <f>F502+6*7</f>
        <v>45797</v>
      </c>
      <c r="H502" s="14">
        <f>G502-F502</f>
        <v>42</v>
      </c>
      <c r="I502" s="14">
        <f>ROUND(D502/E502,3)</f>
        <v>4.7E-2</v>
      </c>
      <c r="J502" s="14">
        <f>I502*24</f>
        <v>1.1280000000000001</v>
      </c>
      <c r="K502" s="14">
        <f>VLOOKUP($C502,Rotation!$A$2:$J$10,2,FALSE)</f>
        <v>1</v>
      </c>
      <c r="L502" s="14">
        <f>VLOOKUP($C502,Rotation!$A$2:$J$10,3,FALSE)</f>
        <v>1</v>
      </c>
      <c r="M502" s="14">
        <f>VLOOKUP($C502,Rotation!$A$2:$J$10,4,FALSE)</f>
        <v>1</v>
      </c>
      <c r="N502" s="14">
        <f>VLOOKUP($C502,Rotation!$A$2:$J$10,5,FALSE)</f>
        <v>0</v>
      </c>
      <c r="O502" s="14">
        <f>VLOOKUP($C502,Rotation!$A$2:$J$10,6,FALSE)</f>
        <v>0</v>
      </c>
      <c r="P502" s="14">
        <f>VLOOKUP($C502,Rotation!$A$2:$J$10,7,FALSE)</f>
        <v>0</v>
      </c>
      <c r="Q502" s="14">
        <f>VLOOKUP($C502,Rotation!$A$2:$J$10,8,FALSE)</f>
        <v>0</v>
      </c>
      <c r="R502" s="14">
        <f>VLOOKUP($C502,Rotation!$A$2:$J$10,9,FALSE)</f>
        <v>0</v>
      </c>
      <c r="S502" s="14">
        <f>VLOOKUP($C502,Rotation!$A$2:$J$10,10,FALSE)</f>
        <v>0</v>
      </c>
    </row>
    <row r="503" spans="1:19" ht="18">
      <c r="A503" s="14">
        <v>501</v>
      </c>
      <c r="B503" s="14" t="s">
        <v>85</v>
      </c>
      <c r="C503" s="14" t="str">
        <f>VLOOKUP(B503,Family!B:C,2,FALSE)</f>
        <v>E</v>
      </c>
      <c r="D503" s="15">
        <v>19</v>
      </c>
      <c r="E503" s="14">
        <f>ROUND(VLOOKUP(C503,'Production Plan'!A:B,2,FALSE),2)</f>
        <v>333.66</v>
      </c>
      <c r="F503" s="16">
        <v>45761</v>
      </c>
      <c r="G503" s="17">
        <f>F503+6*7</f>
        <v>45803</v>
      </c>
      <c r="H503" s="14">
        <f>G503-F503</f>
        <v>42</v>
      </c>
      <c r="I503" s="14">
        <f>ROUND(D503/E503,3)</f>
        <v>5.7000000000000002E-2</v>
      </c>
      <c r="J503" s="14">
        <f>I503*24</f>
        <v>1.3680000000000001</v>
      </c>
      <c r="K503" s="14">
        <f>VLOOKUP($C503,Rotation!$A$2:$J$10,2,FALSE)</f>
        <v>1</v>
      </c>
      <c r="L503" s="14">
        <f>VLOOKUP($C503,Rotation!$A$2:$J$10,3,FALSE)</f>
        <v>0</v>
      </c>
      <c r="M503" s="14">
        <f>VLOOKUP($C503,Rotation!$A$2:$J$10,4,FALSE)</f>
        <v>0</v>
      </c>
      <c r="N503" s="14">
        <f>VLOOKUP($C503,Rotation!$A$2:$J$10,5,FALSE)</f>
        <v>0</v>
      </c>
      <c r="O503" s="14">
        <f>VLOOKUP($C503,Rotation!$A$2:$J$10,6,FALSE)</f>
        <v>0</v>
      </c>
      <c r="P503" s="14">
        <f>VLOOKUP($C503,Rotation!$A$2:$J$10,7,FALSE)</f>
        <v>1</v>
      </c>
      <c r="Q503" s="14">
        <f>VLOOKUP($C503,Rotation!$A$2:$J$10,8,FALSE)</f>
        <v>0</v>
      </c>
      <c r="R503" s="14">
        <f>VLOOKUP($C503,Rotation!$A$2:$J$10,9,FALSE)</f>
        <v>0</v>
      </c>
      <c r="S503" s="14">
        <f>VLOOKUP($C503,Rotation!$A$2:$J$10,10,FALSE)</f>
        <v>0</v>
      </c>
    </row>
    <row r="504" spans="1:19" ht="18">
      <c r="A504" s="14">
        <v>502</v>
      </c>
      <c r="B504" s="14" t="s">
        <v>64</v>
      </c>
      <c r="C504" s="14" t="str">
        <f>VLOOKUP(B504,Family!B:C,2,FALSE)</f>
        <v>A</v>
      </c>
      <c r="D504" s="15">
        <v>37</v>
      </c>
      <c r="E504" s="14">
        <f>ROUND(VLOOKUP(C504,'Production Plan'!A:B,2,FALSE),2)</f>
        <v>407.17</v>
      </c>
      <c r="F504" s="16">
        <v>45793</v>
      </c>
      <c r="G504" s="17">
        <f>F504+6*7</f>
        <v>45835</v>
      </c>
      <c r="H504" s="14">
        <f>G504-F504</f>
        <v>42</v>
      </c>
      <c r="I504" s="14">
        <f>ROUND(D504/E504,3)</f>
        <v>9.0999999999999998E-2</v>
      </c>
      <c r="J504" s="14">
        <f>I504*24</f>
        <v>2.1840000000000002</v>
      </c>
      <c r="K504" s="14">
        <f>VLOOKUP($C504,Rotation!$A$2:$J$10,2,FALSE)</f>
        <v>1</v>
      </c>
      <c r="L504" s="14">
        <f>VLOOKUP($C504,Rotation!$A$2:$J$10,3,FALSE)</f>
        <v>1</v>
      </c>
      <c r="M504" s="14">
        <f>VLOOKUP($C504,Rotation!$A$2:$J$10,4,FALSE)</f>
        <v>1</v>
      </c>
      <c r="N504" s="14">
        <f>VLOOKUP($C504,Rotation!$A$2:$J$10,5,FALSE)</f>
        <v>0</v>
      </c>
      <c r="O504" s="14">
        <f>VLOOKUP($C504,Rotation!$A$2:$J$10,6,FALSE)</f>
        <v>0</v>
      </c>
      <c r="P504" s="14">
        <f>VLOOKUP($C504,Rotation!$A$2:$J$10,7,FALSE)</f>
        <v>0</v>
      </c>
      <c r="Q504" s="14">
        <f>VLOOKUP($C504,Rotation!$A$2:$J$10,8,FALSE)</f>
        <v>0</v>
      </c>
      <c r="R504" s="14">
        <f>VLOOKUP($C504,Rotation!$A$2:$J$10,9,FALSE)</f>
        <v>0</v>
      </c>
      <c r="S504" s="14">
        <f>VLOOKUP($C504,Rotation!$A$2:$J$10,10,FALSE)</f>
        <v>0</v>
      </c>
    </row>
    <row r="505" spans="1:19" ht="18">
      <c r="A505" s="14">
        <v>503</v>
      </c>
      <c r="B505" s="14" t="s">
        <v>101</v>
      </c>
      <c r="C505" s="14" t="str">
        <f>VLOOKUP(B505,Family!B:C,2,FALSE)</f>
        <v>H</v>
      </c>
      <c r="D505" s="15">
        <v>198</v>
      </c>
      <c r="E505" s="14">
        <f>ROUND(VLOOKUP(C505,'Production Plan'!A:B,2,FALSE),2)</f>
        <v>402.02</v>
      </c>
      <c r="F505" s="16">
        <v>45723</v>
      </c>
      <c r="G505" s="17">
        <f>F505+6*7</f>
        <v>45765</v>
      </c>
      <c r="H505" s="14">
        <f>G505-F505</f>
        <v>42</v>
      </c>
      <c r="I505" s="14">
        <f>ROUND(D505/E505,3)</f>
        <v>0.49299999999999999</v>
      </c>
      <c r="J505" s="14">
        <f>I505*24</f>
        <v>11.832000000000001</v>
      </c>
      <c r="K505" s="14">
        <f>VLOOKUP($C505,Rotation!$A$2:$J$10,2,FALSE)</f>
        <v>0</v>
      </c>
      <c r="L505" s="14">
        <f>VLOOKUP($C505,Rotation!$A$2:$J$10,3,FALSE)</f>
        <v>0</v>
      </c>
      <c r="M505" s="14">
        <f>VLOOKUP($C505,Rotation!$A$2:$J$10,4,FALSE)</f>
        <v>1</v>
      </c>
      <c r="N505" s="14">
        <f>VLOOKUP($C505,Rotation!$A$2:$J$10,5,FALSE)</f>
        <v>1</v>
      </c>
      <c r="O505" s="14">
        <f>VLOOKUP($C505,Rotation!$A$2:$J$10,6,FALSE)</f>
        <v>0</v>
      </c>
      <c r="P505" s="14">
        <f>VLOOKUP($C505,Rotation!$A$2:$J$10,7,FALSE)</f>
        <v>0</v>
      </c>
      <c r="Q505" s="14">
        <f>VLOOKUP($C505,Rotation!$A$2:$J$10,8,FALSE)</f>
        <v>0</v>
      </c>
      <c r="R505" s="14">
        <f>VLOOKUP($C505,Rotation!$A$2:$J$10,9,FALSE)</f>
        <v>0</v>
      </c>
      <c r="S505" s="14">
        <f>VLOOKUP($C505,Rotation!$A$2:$J$10,10,FALSE)</f>
        <v>0</v>
      </c>
    </row>
    <row r="506" spans="1:19" ht="18">
      <c r="A506" s="14">
        <v>504</v>
      </c>
      <c r="B506" s="14" t="s">
        <v>99</v>
      </c>
      <c r="C506" s="14" t="str">
        <f>VLOOKUP(B506,Family!B:C,2,FALSE)</f>
        <v>N</v>
      </c>
      <c r="D506" s="15">
        <v>143</v>
      </c>
      <c r="E506" s="14">
        <f>ROUND(VLOOKUP(C506,'Production Plan'!A:B,2,FALSE),2)</f>
        <v>334.18</v>
      </c>
      <c r="F506" s="16">
        <v>45791</v>
      </c>
      <c r="G506" s="17">
        <f>F506+6*7</f>
        <v>45833</v>
      </c>
      <c r="H506" s="14">
        <f>G506-F506</f>
        <v>42</v>
      </c>
      <c r="I506" s="14">
        <f>ROUND(D506/E506,3)</f>
        <v>0.42799999999999999</v>
      </c>
      <c r="J506" s="14">
        <f>I506*24</f>
        <v>10.272</v>
      </c>
      <c r="K506" s="14">
        <f>VLOOKUP($C506,Rotation!$A$2:$J$10,2,FALSE)</f>
        <v>1</v>
      </c>
      <c r="L506" s="14">
        <f>VLOOKUP($C506,Rotation!$A$2:$J$10,3,FALSE)</f>
        <v>0</v>
      </c>
      <c r="M506" s="14">
        <f>VLOOKUP($C506,Rotation!$A$2:$J$10,4,FALSE)</f>
        <v>0</v>
      </c>
      <c r="N506" s="14">
        <f>VLOOKUP($C506,Rotation!$A$2:$J$10,5,FALSE)</f>
        <v>0</v>
      </c>
      <c r="O506" s="14">
        <f>VLOOKUP($C506,Rotation!$A$2:$J$10,6,FALSE)</f>
        <v>0</v>
      </c>
      <c r="P506" s="14">
        <f>VLOOKUP($C506,Rotation!$A$2:$J$10,7,FALSE)</f>
        <v>0</v>
      </c>
      <c r="Q506" s="14">
        <f>VLOOKUP($C506,Rotation!$A$2:$J$10,8,FALSE)</f>
        <v>1</v>
      </c>
      <c r="R506" s="14">
        <f>VLOOKUP($C506,Rotation!$A$2:$J$10,9,FALSE)</f>
        <v>0</v>
      </c>
      <c r="S506" s="14">
        <f>VLOOKUP($C506,Rotation!$A$2:$J$10,10,FALSE)</f>
        <v>0</v>
      </c>
    </row>
    <row r="507" spans="1:19" ht="18">
      <c r="A507" s="14">
        <v>505</v>
      </c>
      <c r="B507" s="14" t="s">
        <v>98</v>
      </c>
      <c r="C507" s="14" t="str">
        <f>VLOOKUP(B507,Family!B:C,2,FALSE)</f>
        <v>H</v>
      </c>
      <c r="D507" s="15">
        <v>19</v>
      </c>
      <c r="E507" s="14">
        <f>ROUND(VLOOKUP(C507,'Production Plan'!A:B,2,FALSE),2)</f>
        <v>402.02</v>
      </c>
      <c r="F507" s="16">
        <v>45706</v>
      </c>
      <c r="G507" s="17">
        <f>F507+6*7</f>
        <v>45748</v>
      </c>
      <c r="H507" s="14">
        <f>G507-F507</f>
        <v>42</v>
      </c>
      <c r="I507" s="14">
        <f>ROUND(D507/E507,3)</f>
        <v>4.7E-2</v>
      </c>
      <c r="J507" s="14">
        <f>I507*24</f>
        <v>1.1280000000000001</v>
      </c>
      <c r="K507" s="14">
        <f>VLOOKUP($C507,Rotation!$A$2:$J$10,2,FALSE)</f>
        <v>0</v>
      </c>
      <c r="L507" s="14">
        <f>VLOOKUP($C507,Rotation!$A$2:$J$10,3,FALSE)</f>
        <v>0</v>
      </c>
      <c r="M507" s="14">
        <f>VLOOKUP($C507,Rotation!$A$2:$J$10,4,FALSE)</f>
        <v>1</v>
      </c>
      <c r="N507" s="14">
        <f>VLOOKUP($C507,Rotation!$A$2:$J$10,5,FALSE)</f>
        <v>1</v>
      </c>
      <c r="O507" s="14">
        <f>VLOOKUP($C507,Rotation!$A$2:$J$10,6,FALSE)</f>
        <v>0</v>
      </c>
      <c r="P507" s="14">
        <f>VLOOKUP($C507,Rotation!$A$2:$J$10,7,FALSE)</f>
        <v>0</v>
      </c>
      <c r="Q507" s="14">
        <f>VLOOKUP($C507,Rotation!$A$2:$J$10,8,FALSE)</f>
        <v>0</v>
      </c>
      <c r="R507" s="14">
        <f>VLOOKUP($C507,Rotation!$A$2:$J$10,9,FALSE)</f>
        <v>0</v>
      </c>
      <c r="S507" s="14">
        <f>VLOOKUP($C507,Rotation!$A$2:$J$10,10,FALSE)</f>
        <v>0</v>
      </c>
    </row>
    <row r="508" spans="1:19" ht="18">
      <c r="A508" s="14">
        <v>506</v>
      </c>
      <c r="B508" s="14" t="s">
        <v>98</v>
      </c>
      <c r="C508" s="14" t="str">
        <f>VLOOKUP(B508,Family!B:C,2,FALSE)</f>
        <v>H</v>
      </c>
      <c r="D508" s="15">
        <v>19</v>
      </c>
      <c r="E508" s="14">
        <f>ROUND(VLOOKUP(C508,'Production Plan'!A:B,2,FALSE),2)</f>
        <v>402.02</v>
      </c>
      <c r="F508" s="16">
        <v>45706</v>
      </c>
      <c r="G508" s="17">
        <f>F508+6*7</f>
        <v>45748</v>
      </c>
      <c r="H508" s="14">
        <f>G508-F508</f>
        <v>42</v>
      </c>
      <c r="I508" s="14">
        <f>ROUND(D508/E508,3)</f>
        <v>4.7E-2</v>
      </c>
      <c r="J508" s="14">
        <f>I508*24</f>
        <v>1.1280000000000001</v>
      </c>
      <c r="K508" s="14">
        <f>VLOOKUP($C508,Rotation!$A$2:$J$10,2,FALSE)</f>
        <v>0</v>
      </c>
      <c r="L508" s="14">
        <f>VLOOKUP($C508,Rotation!$A$2:$J$10,3,FALSE)</f>
        <v>0</v>
      </c>
      <c r="M508" s="14">
        <f>VLOOKUP($C508,Rotation!$A$2:$J$10,4,FALSE)</f>
        <v>1</v>
      </c>
      <c r="N508" s="14">
        <f>VLOOKUP($C508,Rotation!$A$2:$J$10,5,FALSE)</f>
        <v>1</v>
      </c>
      <c r="O508" s="14">
        <f>VLOOKUP($C508,Rotation!$A$2:$J$10,6,FALSE)</f>
        <v>0</v>
      </c>
      <c r="P508" s="14">
        <f>VLOOKUP($C508,Rotation!$A$2:$J$10,7,FALSE)</f>
        <v>0</v>
      </c>
      <c r="Q508" s="14">
        <f>VLOOKUP($C508,Rotation!$A$2:$J$10,8,FALSE)</f>
        <v>0</v>
      </c>
      <c r="R508" s="14">
        <f>VLOOKUP($C508,Rotation!$A$2:$J$10,9,FALSE)</f>
        <v>0</v>
      </c>
      <c r="S508" s="14">
        <f>VLOOKUP($C508,Rotation!$A$2:$J$10,10,FALSE)</f>
        <v>0</v>
      </c>
    </row>
    <row r="509" spans="1:19" ht="18">
      <c r="A509" s="14">
        <v>507</v>
      </c>
      <c r="B509" s="14" t="s">
        <v>106</v>
      </c>
      <c r="C509" s="14" t="str">
        <f>VLOOKUP(B509,Family!B:C,2,FALSE)</f>
        <v>P</v>
      </c>
      <c r="D509" s="15">
        <v>19</v>
      </c>
      <c r="E509" s="14">
        <f>ROUND(VLOOKUP(C509,'Production Plan'!A:B,2,FALSE),2)</f>
        <v>409.15</v>
      </c>
      <c r="F509" s="16">
        <v>45743</v>
      </c>
      <c r="G509" s="17">
        <f>F509+6*7</f>
        <v>45785</v>
      </c>
      <c r="H509" s="14">
        <f>G509-F509</f>
        <v>42</v>
      </c>
      <c r="I509" s="14">
        <f>ROUND(D509/E509,3)</f>
        <v>4.5999999999999999E-2</v>
      </c>
      <c r="J509" s="14">
        <f>I509*24</f>
        <v>1.1040000000000001</v>
      </c>
      <c r="K509" s="14">
        <f>VLOOKUP($C509,Rotation!$A$2:$J$10,2,FALSE)</f>
        <v>1</v>
      </c>
      <c r="L509" s="14">
        <f>VLOOKUP($C509,Rotation!$A$2:$J$10,3,FALSE)</f>
        <v>1</v>
      </c>
      <c r="M509" s="14">
        <f>VLOOKUP($C509,Rotation!$A$2:$J$10,4,FALSE)</f>
        <v>0</v>
      </c>
      <c r="N509" s="14">
        <f>VLOOKUP($C509,Rotation!$A$2:$J$10,5,FALSE)</f>
        <v>0</v>
      </c>
      <c r="O509" s="14">
        <f>VLOOKUP($C509,Rotation!$A$2:$J$10,6,FALSE)</f>
        <v>0</v>
      </c>
      <c r="P509" s="14">
        <f>VLOOKUP($C509,Rotation!$A$2:$J$10,7,FALSE)</f>
        <v>0</v>
      </c>
      <c r="Q509" s="14">
        <f>VLOOKUP($C509,Rotation!$A$2:$J$10,8,FALSE)</f>
        <v>0</v>
      </c>
      <c r="R509" s="14">
        <f>VLOOKUP($C509,Rotation!$A$2:$J$10,9,FALSE)</f>
        <v>0</v>
      </c>
      <c r="S509" s="14">
        <f>VLOOKUP($C509,Rotation!$A$2:$J$10,10,FALSE)</f>
        <v>0</v>
      </c>
    </row>
    <row r="510" spans="1:19" ht="18">
      <c r="A510" s="14">
        <v>508</v>
      </c>
      <c r="B510" s="14" t="s">
        <v>106</v>
      </c>
      <c r="C510" s="14" t="str">
        <f>VLOOKUP(B510,Family!B:C,2,FALSE)</f>
        <v>P</v>
      </c>
      <c r="D510" s="15">
        <v>19</v>
      </c>
      <c r="E510" s="14">
        <f>ROUND(VLOOKUP(C510,'Production Plan'!A:B,2,FALSE),2)</f>
        <v>409.15</v>
      </c>
      <c r="F510" s="16">
        <v>45743</v>
      </c>
      <c r="G510" s="17">
        <f>F510+6*7</f>
        <v>45785</v>
      </c>
      <c r="H510" s="14">
        <f>G510-F510</f>
        <v>42</v>
      </c>
      <c r="I510" s="14">
        <f>ROUND(D510/E510,3)</f>
        <v>4.5999999999999999E-2</v>
      </c>
      <c r="J510" s="14">
        <f>I510*24</f>
        <v>1.1040000000000001</v>
      </c>
      <c r="K510" s="14">
        <f>VLOOKUP($C510,Rotation!$A$2:$J$10,2,FALSE)</f>
        <v>1</v>
      </c>
      <c r="L510" s="14">
        <f>VLOOKUP($C510,Rotation!$A$2:$J$10,3,FALSE)</f>
        <v>1</v>
      </c>
      <c r="M510" s="14">
        <f>VLOOKUP($C510,Rotation!$A$2:$J$10,4,FALSE)</f>
        <v>0</v>
      </c>
      <c r="N510" s="14">
        <f>VLOOKUP($C510,Rotation!$A$2:$J$10,5,FALSE)</f>
        <v>0</v>
      </c>
      <c r="O510" s="14">
        <f>VLOOKUP($C510,Rotation!$A$2:$J$10,6,FALSE)</f>
        <v>0</v>
      </c>
      <c r="P510" s="14">
        <f>VLOOKUP($C510,Rotation!$A$2:$J$10,7,FALSE)</f>
        <v>0</v>
      </c>
      <c r="Q510" s="14">
        <f>VLOOKUP($C510,Rotation!$A$2:$J$10,8,FALSE)</f>
        <v>0</v>
      </c>
      <c r="R510" s="14">
        <f>VLOOKUP($C510,Rotation!$A$2:$J$10,9,FALSE)</f>
        <v>0</v>
      </c>
      <c r="S510" s="14">
        <f>VLOOKUP($C510,Rotation!$A$2:$J$10,10,FALSE)</f>
        <v>0</v>
      </c>
    </row>
    <row r="511" spans="1:19" ht="18">
      <c r="A511" s="14">
        <v>509</v>
      </c>
      <c r="B511" s="14" t="s">
        <v>71</v>
      </c>
      <c r="C511" s="14" t="str">
        <f>VLOOKUP(B511,Family!B:C,2,FALSE)</f>
        <v>A</v>
      </c>
      <c r="D511" s="15">
        <v>391</v>
      </c>
      <c r="E511" s="14">
        <f>ROUND(VLOOKUP(C511,'Production Plan'!A:B,2,FALSE),2)</f>
        <v>407.17</v>
      </c>
      <c r="F511" s="16">
        <v>45722</v>
      </c>
      <c r="G511" s="17">
        <f>F511+6*7</f>
        <v>45764</v>
      </c>
      <c r="H511" s="14">
        <f>G511-F511</f>
        <v>42</v>
      </c>
      <c r="I511" s="14">
        <f>ROUND(D511/E511,3)</f>
        <v>0.96</v>
      </c>
      <c r="J511" s="14">
        <f>I511*24</f>
        <v>23.04</v>
      </c>
      <c r="K511" s="14">
        <f>VLOOKUP($C511,Rotation!$A$2:$J$10,2,FALSE)</f>
        <v>1</v>
      </c>
      <c r="L511" s="14">
        <f>VLOOKUP($C511,Rotation!$A$2:$J$10,3,FALSE)</f>
        <v>1</v>
      </c>
      <c r="M511" s="14">
        <f>VLOOKUP($C511,Rotation!$A$2:$J$10,4,FALSE)</f>
        <v>1</v>
      </c>
      <c r="N511" s="14">
        <f>VLOOKUP($C511,Rotation!$A$2:$J$10,5,FALSE)</f>
        <v>0</v>
      </c>
      <c r="O511" s="14">
        <f>VLOOKUP($C511,Rotation!$A$2:$J$10,6,FALSE)</f>
        <v>0</v>
      </c>
      <c r="P511" s="14">
        <f>VLOOKUP($C511,Rotation!$A$2:$J$10,7,FALSE)</f>
        <v>0</v>
      </c>
      <c r="Q511" s="14">
        <f>VLOOKUP($C511,Rotation!$A$2:$J$10,8,FALSE)</f>
        <v>0</v>
      </c>
      <c r="R511" s="14">
        <f>VLOOKUP($C511,Rotation!$A$2:$J$10,9,FALSE)</f>
        <v>0</v>
      </c>
      <c r="S511" s="14">
        <f>VLOOKUP($C511,Rotation!$A$2:$J$10,10,FALSE)</f>
        <v>0</v>
      </c>
    </row>
    <row r="512" spans="1:19" ht="18">
      <c r="A512" s="14">
        <v>510</v>
      </c>
      <c r="B512" s="14" t="s">
        <v>90</v>
      </c>
      <c r="C512" s="14" t="str">
        <f>VLOOKUP(B512,Family!B:C,2,FALSE)</f>
        <v>E</v>
      </c>
      <c r="D512" s="15">
        <v>18</v>
      </c>
      <c r="E512" s="14">
        <f>ROUND(VLOOKUP(C512,'Production Plan'!A:B,2,FALSE),2)</f>
        <v>333.66</v>
      </c>
      <c r="F512" s="16">
        <v>45722</v>
      </c>
      <c r="G512" s="17">
        <f>F512+6*7</f>
        <v>45764</v>
      </c>
      <c r="H512" s="14">
        <f>G512-F512</f>
        <v>42</v>
      </c>
      <c r="I512" s="14">
        <f>ROUND(D512/E512,3)</f>
        <v>5.3999999999999999E-2</v>
      </c>
      <c r="J512" s="14">
        <f>I512*24</f>
        <v>1.296</v>
      </c>
      <c r="K512" s="14">
        <f>VLOOKUP($C512,Rotation!$A$2:$J$10,2,FALSE)</f>
        <v>1</v>
      </c>
      <c r="L512" s="14">
        <f>VLOOKUP($C512,Rotation!$A$2:$J$10,3,FALSE)</f>
        <v>0</v>
      </c>
      <c r="M512" s="14">
        <f>VLOOKUP($C512,Rotation!$A$2:$J$10,4,FALSE)</f>
        <v>0</v>
      </c>
      <c r="N512" s="14">
        <f>VLOOKUP($C512,Rotation!$A$2:$J$10,5,FALSE)</f>
        <v>0</v>
      </c>
      <c r="O512" s="14">
        <f>VLOOKUP($C512,Rotation!$A$2:$J$10,6,FALSE)</f>
        <v>0</v>
      </c>
      <c r="P512" s="14">
        <f>VLOOKUP($C512,Rotation!$A$2:$J$10,7,FALSE)</f>
        <v>1</v>
      </c>
      <c r="Q512" s="14">
        <f>VLOOKUP($C512,Rotation!$A$2:$J$10,8,FALSE)</f>
        <v>0</v>
      </c>
      <c r="R512" s="14">
        <f>VLOOKUP($C512,Rotation!$A$2:$J$10,9,FALSE)</f>
        <v>0</v>
      </c>
      <c r="S512" s="14">
        <f>VLOOKUP($C512,Rotation!$A$2:$J$10,10,FALSE)</f>
        <v>0</v>
      </c>
    </row>
    <row r="513" spans="1:19" ht="18">
      <c r="A513" s="14">
        <v>511</v>
      </c>
      <c r="B513" s="14" t="s">
        <v>69</v>
      </c>
      <c r="C513" s="14" t="str">
        <f>VLOOKUP(B513,Family!B:C,2,FALSE)</f>
        <v>A</v>
      </c>
      <c r="D513" s="15">
        <v>19</v>
      </c>
      <c r="E513" s="14">
        <f>ROUND(VLOOKUP(C513,'Production Plan'!A:B,2,FALSE),2)</f>
        <v>407.17</v>
      </c>
      <c r="F513" s="16">
        <v>45730</v>
      </c>
      <c r="G513" s="17">
        <f>F513+6*7</f>
        <v>45772</v>
      </c>
      <c r="H513" s="14">
        <f>G513-F513</f>
        <v>42</v>
      </c>
      <c r="I513" s="14">
        <f>ROUND(D513/E513,3)</f>
        <v>4.7E-2</v>
      </c>
      <c r="J513" s="14">
        <f>I513*24</f>
        <v>1.1280000000000001</v>
      </c>
      <c r="K513" s="14">
        <f>VLOOKUP($C513,Rotation!$A$2:$J$10,2,FALSE)</f>
        <v>1</v>
      </c>
      <c r="L513" s="14">
        <f>VLOOKUP($C513,Rotation!$A$2:$J$10,3,FALSE)</f>
        <v>1</v>
      </c>
      <c r="M513" s="14">
        <f>VLOOKUP($C513,Rotation!$A$2:$J$10,4,FALSE)</f>
        <v>1</v>
      </c>
      <c r="N513" s="14">
        <f>VLOOKUP($C513,Rotation!$A$2:$J$10,5,FALSE)</f>
        <v>0</v>
      </c>
      <c r="O513" s="14">
        <f>VLOOKUP($C513,Rotation!$A$2:$J$10,6,FALSE)</f>
        <v>0</v>
      </c>
      <c r="P513" s="14">
        <f>VLOOKUP($C513,Rotation!$A$2:$J$10,7,FALSE)</f>
        <v>0</v>
      </c>
      <c r="Q513" s="14">
        <f>VLOOKUP($C513,Rotation!$A$2:$J$10,8,FALSE)</f>
        <v>0</v>
      </c>
      <c r="R513" s="14">
        <f>VLOOKUP($C513,Rotation!$A$2:$J$10,9,FALSE)</f>
        <v>0</v>
      </c>
      <c r="S513" s="14">
        <f>VLOOKUP($C513,Rotation!$A$2:$J$10,10,FALSE)</f>
        <v>0</v>
      </c>
    </row>
    <row r="514" spans="1:19" ht="18">
      <c r="A514" s="14">
        <v>512</v>
      </c>
      <c r="B514" s="14" t="s">
        <v>69</v>
      </c>
      <c r="C514" s="14" t="str">
        <f>VLOOKUP(B514,Family!B:C,2,FALSE)</f>
        <v>A</v>
      </c>
      <c r="D514" s="15">
        <v>19</v>
      </c>
      <c r="E514" s="14">
        <f>ROUND(VLOOKUP(C514,'Production Plan'!A:B,2,FALSE),2)</f>
        <v>407.17</v>
      </c>
      <c r="F514" s="16">
        <v>45730</v>
      </c>
      <c r="G514" s="17">
        <f>F514+6*7</f>
        <v>45772</v>
      </c>
      <c r="H514" s="14">
        <f>G514-F514</f>
        <v>42</v>
      </c>
      <c r="I514" s="14">
        <f>ROUND(D514/E514,3)</f>
        <v>4.7E-2</v>
      </c>
      <c r="J514" s="14">
        <f>I514*24</f>
        <v>1.1280000000000001</v>
      </c>
      <c r="K514" s="14">
        <f>VLOOKUP($C514,Rotation!$A$2:$J$10,2,FALSE)</f>
        <v>1</v>
      </c>
      <c r="L514" s="14">
        <f>VLOOKUP($C514,Rotation!$A$2:$J$10,3,FALSE)</f>
        <v>1</v>
      </c>
      <c r="M514" s="14">
        <f>VLOOKUP($C514,Rotation!$A$2:$J$10,4,FALSE)</f>
        <v>1</v>
      </c>
      <c r="N514" s="14">
        <f>VLOOKUP($C514,Rotation!$A$2:$J$10,5,FALSE)</f>
        <v>0</v>
      </c>
      <c r="O514" s="14">
        <f>VLOOKUP($C514,Rotation!$A$2:$J$10,6,FALSE)</f>
        <v>0</v>
      </c>
      <c r="P514" s="14">
        <f>VLOOKUP($C514,Rotation!$A$2:$J$10,7,FALSE)</f>
        <v>0</v>
      </c>
      <c r="Q514" s="14">
        <f>VLOOKUP($C514,Rotation!$A$2:$J$10,8,FALSE)</f>
        <v>0</v>
      </c>
      <c r="R514" s="14">
        <f>VLOOKUP($C514,Rotation!$A$2:$J$10,9,FALSE)</f>
        <v>0</v>
      </c>
      <c r="S514" s="14">
        <f>VLOOKUP($C514,Rotation!$A$2:$J$10,10,FALSE)</f>
        <v>0</v>
      </c>
    </row>
    <row r="515" spans="1:19" ht="18">
      <c r="A515" s="14">
        <v>513</v>
      </c>
      <c r="B515" s="14" t="s">
        <v>69</v>
      </c>
      <c r="C515" s="14" t="str">
        <f>VLOOKUP(B515,Family!B:C,2,FALSE)</f>
        <v>A</v>
      </c>
      <c r="D515" s="15">
        <v>19</v>
      </c>
      <c r="E515" s="14">
        <f>ROUND(VLOOKUP(C515,'Production Plan'!A:B,2,FALSE),2)</f>
        <v>407.17</v>
      </c>
      <c r="F515" s="16">
        <v>45730</v>
      </c>
      <c r="G515" s="17">
        <f>F515+6*7</f>
        <v>45772</v>
      </c>
      <c r="H515" s="14">
        <f>G515-F515</f>
        <v>42</v>
      </c>
      <c r="I515" s="14">
        <f>ROUND(D515/E515,3)</f>
        <v>4.7E-2</v>
      </c>
      <c r="J515" s="14">
        <f>I515*24</f>
        <v>1.1280000000000001</v>
      </c>
      <c r="K515" s="14">
        <f>VLOOKUP($C515,Rotation!$A$2:$J$10,2,FALSE)</f>
        <v>1</v>
      </c>
      <c r="L515" s="14">
        <f>VLOOKUP($C515,Rotation!$A$2:$J$10,3,FALSE)</f>
        <v>1</v>
      </c>
      <c r="M515" s="14">
        <f>VLOOKUP($C515,Rotation!$A$2:$J$10,4,FALSE)</f>
        <v>1</v>
      </c>
      <c r="N515" s="14">
        <f>VLOOKUP($C515,Rotation!$A$2:$J$10,5,FALSE)</f>
        <v>0</v>
      </c>
      <c r="O515" s="14">
        <f>VLOOKUP($C515,Rotation!$A$2:$J$10,6,FALSE)</f>
        <v>0</v>
      </c>
      <c r="P515" s="14">
        <f>VLOOKUP($C515,Rotation!$A$2:$J$10,7,FALSE)</f>
        <v>0</v>
      </c>
      <c r="Q515" s="14">
        <f>VLOOKUP($C515,Rotation!$A$2:$J$10,8,FALSE)</f>
        <v>0</v>
      </c>
      <c r="R515" s="14">
        <f>VLOOKUP($C515,Rotation!$A$2:$J$10,9,FALSE)</f>
        <v>0</v>
      </c>
      <c r="S515" s="14">
        <f>VLOOKUP($C515,Rotation!$A$2:$J$10,10,FALSE)</f>
        <v>0</v>
      </c>
    </row>
    <row r="516" spans="1:19" ht="18">
      <c r="A516" s="14">
        <v>514</v>
      </c>
      <c r="B516" s="14" t="s">
        <v>69</v>
      </c>
      <c r="C516" s="14" t="str">
        <f>VLOOKUP(B516,Family!B:C,2,FALSE)</f>
        <v>A</v>
      </c>
      <c r="D516" s="15">
        <v>19</v>
      </c>
      <c r="E516" s="14">
        <f>ROUND(VLOOKUP(C516,'Production Plan'!A:B,2,FALSE),2)</f>
        <v>407.17</v>
      </c>
      <c r="F516" s="16">
        <v>45751</v>
      </c>
      <c r="G516" s="17">
        <f>F516+6*7</f>
        <v>45793</v>
      </c>
      <c r="H516" s="14">
        <f>G516-F516</f>
        <v>42</v>
      </c>
      <c r="I516" s="14">
        <f>ROUND(D516/E516,3)</f>
        <v>4.7E-2</v>
      </c>
      <c r="J516" s="14">
        <f>I516*24</f>
        <v>1.1280000000000001</v>
      </c>
      <c r="K516" s="14">
        <f>VLOOKUP($C516,Rotation!$A$2:$J$10,2,FALSE)</f>
        <v>1</v>
      </c>
      <c r="L516" s="14">
        <f>VLOOKUP($C516,Rotation!$A$2:$J$10,3,FALSE)</f>
        <v>1</v>
      </c>
      <c r="M516" s="14">
        <f>VLOOKUP($C516,Rotation!$A$2:$J$10,4,FALSE)</f>
        <v>1</v>
      </c>
      <c r="N516" s="14">
        <f>VLOOKUP($C516,Rotation!$A$2:$J$10,5,FALSE)</f>
        <v>0</v>
      </c>
      <c r="O516" s="14">
        <f>VLOOKUP($C516,Rotation!$A$2:$J$10,6,FALSE)</f>
        <v>0</v>
      </c>
      <c r="P516" s="14">
        <f>VLOOKUP($C516,Rotation!$A$2:$J$10,7,FALSE)</f>
        <v>0</v>
      </c>
      <c r="Q516" s="14">
        <f>VLOOKUP($C516,Rotation!$A$2:$J$10,8,FALSE)</f>
        <v>0</v>
      </c>
      <c r="R516" s="14">
        <f>VLOOKUP($C516,Rotation!$A$2:$J$10,9,FALSE)</f>
        <v>0</v>
      </c>
      <c r="S516" s="14">
        <f>VLOOKUP($C516,Rotation!$A$2:$J$10,10,FALSE)</f>
        <v>0</v>
      </c>
    </row>
    <row r="517" spans="1:19" ht="18">
      <c r="A517" s="14">
        <v>515</v>
      </c>
      <c r="B517" s="14" t="s">
        <v>69</v>
      </c>
      <c r="C517" s="14" t="str">
        <f>VLOOKUP(B517,Family!B:C,2,FALSE)</f>
        <v>A</v>
      </c>
      <c r="D517" s="15">
        <v>19</v>
      </c>
      <c r="E517" s="14">
        <f>ROUND(VLOOKUP(C517,'Production Plan'!A:B,2,FALSE),2)</f>
        <v>407.17</v>
      </c>
      <c r="F517" s="16">
        <v>45751</v>
      </c>
      <c r="G517" s="17">
        <f>F517+6*7</f>
        <v>45793</v>
      </c>
      <c r="H517" s="14">
        <f>G517-F517</f>
        <v>42</v>
      </c>
      <c r="I517" s="14">
        <f>ROUND(D517/E517,3)</f>
        <v>4.7E-2</v>
      </c>
      <c r="J517" s="14">
        <f>I517*24</f>
        <v>1.1280000000000001</v>
      </c>
      <c r="K517" s="14">
        <f>VLOOKUP($C517,Rotation!$A$2:$J$10,2,FALSE)</f>
        <v>1</v>
      </c>
      <c r="L517" s="14">
        <f>VLOOKUP($C517,Rotation!$A$2:$J$10,3,FALSE)</f>
        <v>1</v>
      </c>
      <c r="M517" s="14">
        <f>VLOOKUP($C517,Rotation!$A$2:$J$10,4,FALSE)</f>
        <v>1</v>
      </c>
      <c r="N517" s="14">
        <f>VLOOKUP($C517,Rotation!$A$2:$J$10,5,FALSE)</f>
        <v>0</v>
      </c>
      <c r="O517" s="14">
        <f>VLOOKUP($C517,Rotation!$A$2:$J$10,6,FALSE)</f>
        <v>0</v>
      </c>
      <c r="P517" s="14">
        <f>VLOOKUP($C517,Rotation!$A$2:$J$10,7,FALSE)</f>
        <v>0</v>
      </c>
      <c r="Q517" s="14">
        <f>VLOOKUP($C517,Rotation!$A$2:$J$10,8,FALSE)</f>
        <v>0</v>
      </c>
      <c r="R517" s="14">
        <f>VLOOKUP($C517,Rotation!$A$2:$J$10,9,FALSE)</f>
        <v>0</v>
      </c>
      <c r="S517" s="14">
        <f>VLOOKUP($C517,Rotation!$A$2:$J$10,10,FALSE)</f>
        <v>0</v>
      </c>
    </row>
    <row r="518" spans="1:19" ht="18">
      <c r="A518" s="14">
        <v>516</v>
      </c>
      <c r="B518" s="14" t="s">
        <v>69</v>
      </c>
      <c r="C518" s="14" t="str">
        <f>VLOOKUP(B518,Family!B:C,2,FALSE)</f>
        <v>A</v>
      </c>
      <c r="D518" s="15">
        <v>19</v>
      </c>
      <c r="E518" s="14">
        <f>ROUND(VLOOKUP(C518,'Production Plan'!A:B,2,FALSE),2)</f>
        <v>407.17</v>
      </c>
      <c r="F518" s="16">
        <v>45751</v>
      </c>
      <c r="G518" s="17">
        <f>F518+6*7</f>
        <v>45793</v>
      </c>
      <c r="H518" s="14">
        <f>G518-F518</f>
        <v>42</v>
      </c>
      <c r="I518" s="14">
        <f>ROUND(D518/E518,3)</f>
        <v>4.7E-2</v>
      </c>
      <c r="J518" s="14">
        <f>I518*24</f>
        <v>1.1280000000000001</v>
      </c>
      <c r="K518" s="14">
        <f>VLOOKUP($C518,Rotation!$A$2:$J$10,2,FALSE)</f>
        <v>1</v>
      </c>
      <c r="L518" s="14">
        <f>VLOOKUP($C518,Rotation!$A$2:$J$10,3,FALSE)</f>
        <v>1</v>
      </c>
      <c r="M518" s="14">
        <f>VLOOKUP($C518,Rotation!$A$2:$J$10,4,FALSE)</f>
        <v>1</v>
      </c>
      <c r="N518" s="14">
        <f>VLOOKUP($C518,Rotation!$A$2:$J$10,5,FALSE)</f>
        <v>0</v>
      </c>
      <c r="O518" s="14">
        <f>VLOOKUP($C518,Rotation!$A$2:$J$10,6,FALSE)</f>
        <v>0</v>
      </c>
      <c r="P518" s="14">
        <f>VLOOKUP($C518,Rotation!$A$2:$J$10,7,FALSE)</f>
        <v>0</v>
      </c>
      <c r="Q518" s="14">
        <f>VLOOKUP($C518,Rotation!$A$2:$J$10,8,FALSE)</f>
        <v>0</v>
      </c>
      <c r="R518" s="14">
        <f>VLOOKUP($C518,Rotation!$A$2:$J$10,9,FALSE)</f>
        <v>0</v>
      </c>
      <c r="S518" s="14">
        <f>VLOOKUP($C518,Rotation!$A$2:$J$10,10,FALSE)</f>
        <v>0</v>
      </c>
    </row>
    <row r="519" spans="1:19" ht="18">
      <c r="A519" s="14">
        <v>517</v>
      </c>
      <c r="B519" s="14" t="s">
        <v>95</v>
      </c>
      <c r="C519" s="14" t="str">
        <f>VLOOKUP(B519,Family!B:C,2,FALSE)</f>
        <v>M</v>
      </c>
      <c r="D519" s="15">
        <v>17</v>
      </c>
      <c r="E519" s="14">
        <f>ROUND(VLOOKUP(C519,'Production Plan'!A:B,2,FALSE),2)</f>
        <v>334.18</v>
      </c>
      <c r="F519" s="16">
        <v>45769</v>
      </c>
      <c r="G519" s="17">
        <f>F519+6*7</f>
        <v>45811</v>
      </c>
      <c r="H519" s="14">
        <f>G519-F519</f>
        <v>42</v>
      </c>
      <c r="I519" s="14">
        <f>ROUND(D519/E519,3)</f>
        <v>5.0999999999999997E-2</v>
      </c>
      <c r="J519" s="14">
        <f>I519*24</f>
        <v>1.224</v>
      </c>
      <c r="K519" s="14">
        <f>VLOOKUP($C519,Rotation!$A$2:$J$10,2,FALSE)</f>
        <v>1</v>
      </c>
      <c r="L519" s="14">
        <f>VLOOKUP($C519,Rotation!$A$2:$J$10,3,FALSE)</f>
        <v>0</v>
      </c>
      <c r="M519" s="14">
        <f>VLOOKUP($C519,Rotation!$A$2:$J$10,4,FALSE)</f>
        <v>0</v>
      </c>
      <c r="N519" s="14">
        <f>VLOOKUP($C519,Rotation!$A$2:$J$10,5,FALSE)</f>
        <v>0</v>
      </c>
      <c r="O519" s="14">
        <f>VLOOKUP($C519,Rotation!$A$2:$J$10,6,FALSE)</f>
        <v>0</v>
      </c>
      <c r="P519" s="14">
        <f>VLOOKUP($C519,Rotation!$A$2:$J$10,7,FALSE)</f>
        <v>0</v>
      </c>
      <c r="Q519" s="14">
        <f>VLOOKUP($C519,Rotation!$A$2:$J$10,8,FALSE)</f>
        <v>0</v>
      </c>
      <c r="R519" s="14">
        <f>VLOOKUP($C519,Rotation!$A$2:$J$10,9,FALSE)</f>
        <v>1</v>
      </c>
      <c r="S519" s="14">
        <f>VLOOKUP($C519,Rotation!$A$2:$J$10,10,FALSE)</f>
        <v>0</v>
      </c>
    </row>
    <row r="520" spans="1:19" ht="18">
      <c r="A520" s="14">
        <v>518</v>
      </c>
      <c r="B520" s="14" t="s">
        <v>110</v>
      </c>
      <c r="C520" s="14" t="str">
        <f>VLOOKUP(B520,Family!B:C,2,FALSE)</f>
        <v>M</v>
      </c>
      <c r="D520" s="15">
        <v>36</v>
      </c>
      <c r="E520" s="14">
        <f>ROUND(VLOOKUP(C520,'Production Plan'!A:B,2,FALSE),2)</f>
        <v>334.18</v>
      </c>
      <c r="F520" s="16">
        <v>45805</v>
      </c>
      <c r="G520" s="17">
        <f>F520+6*7</f>
        <v>45847</v>
      </c>
      <c r="H520" s="14">
        <f>G520-F520</f>
        <v>42</v>
      </c>
      <c r="I520" s="14">
        <f>ROUND(D520/E520,3)</f>
        <v>0.108</v>
      </c>
      <c r="J520" s="14">
        <f>I520*24</f>
        <v>2.5920000000000001</v>
      </c>
      <c r="K520" s="14">
        <f>VLOOKUP($C520,Rotation!$A$2:$J$10,2,FALSE)</f>
        <v>1</v>
      </c>
      <c r="L520" s="14">
        <f>VLOOKUP($C520,Rotation!$A$2:$J$10,3,FALSE)</f>
        <v>0</v>
      </c>
      <c r="M520" s="14">
        <f>VLOOKUP($C520,Rotation!$A$2:$J$10,4,FALSE)</f>
        <v>0</v>
      </c>
      <c r="N520" s="14">
        <f>VLOOKUP($C520,Rotation!$A$2:$J$10,5,FALSE)</f>
        <v>0</v>
      </c>
      <c r="O520" s="14">
        <f>VLOOKUP($C520,Rotation!$A$2:$J$10,6,FALSE)</f>
        <v>0</v>
      </c>
      <c r="P520" s="14">
        <f>VLOOKUP($C520,Rotation!$A$2:$J$10,7,FALSE)</f>
        <v>0</v>
      </c>
      <c r="Q520" s="14">
        <f>VLOOKUP($C520,Rotation!$A$2:$J$10,8,FALSE)</f>
        <v>0</v>
      </c>
      <c r="R520" s="14">
        <f>VLOOKUP($C520,Rotation!$A$2:$J$10,9,FALSE)</f>
        <v>1</v>
      </c>
      <c r="S520" s="14">
        <f>VLOOKUP($C520,Rotation!$A$2:$J$10,10,FALSE)</f>
        <v>0</v>
      </c>
    </row>
    <row r="521" spans="1:19" ht="18">
      <c r="A521" s="14">
        <v>519</v>
      </c>
      <c r="B521" s="14" t="s">
        <v>65</v>
      </c>
      <c r="C521" s="14" t="str">
        <f>VLOOKUP(B521,Family!B:C,2,FALSE)</f>
        <v>A</v>
      </c>
      <c r="D521" s="15">
        <v>19</v>
      </c>
      <c r="E521" s="14">
        <f>ROUND(VLOOKUP(C521,'Production Plan'!A:B,2,FALSE),2)</f>
        <v>407.17</v>
      </c>
      <c r="F521" s="16">
        <v>45792</v>
      </c>
      <c r="G521" s="17">
        <f>F521+6*7</f>
        <v>45834</v>
      </c>
      <c r="H521" s="14">
        <f>G521-F521</f>
        <v>42</v>
      </c>
      <c r="I521" s="14">
        <f>ROUND(D521/E521,3)</f>
        <v>4.7E-2</v>
      </c>
      <c r="J521" s="14">
        <f>I521*24</f>
        <v>1.1280000000000001</v>
      </c>
      <c r="K521" s="14">
        <f>VLOOKUP($C521,Rotation!$A$2:$J$10,2,FALSE)</f>
        <v>1</v>
      </c>
      <c r="L521" s="14">
        <f>VLOOKUP($C521,Rotation!$A$2:$J$10,3,FALSE)</f>
        <v>1</v>
      </c>
      <c r="M521" s="14">
        <f>VLOOKUP($C521,Rotation!$A$2:$J$10,4,FALSE)</f>
        <v>1</v>
      </c>
      <c r="N521" s="14">
        <f>VLOOKUP($C521,Rotation!$A$2:$J$10,5,FALSE)</f>
        <v>0</v>
      </c>
      <c r="O521" s="14">
        <f>VLOOKUP($C521,Rotation!$A$2:$J$10,6,FALSE)</f>
        <v>0</v>
      </c>
      <c r="P521" s="14">
        <f>VLOOKUP($C521,Rotation!$A$2:$J$10,7,FALSE)</f>
        <v>0</v>
      </c>
      <c r="Q521" s="14">
        <f>VLOOKUP($C521,Rotation!$A$2:$J$10,8,FALSE)</f>
        <v>0</v>
      </c>
      <c r="R521" s="14">
        <f>VLOOKUP($C521,Rotation!$A$2:$J$10,9,FALSE)</f>
        <v>0</v>
      </c>
      <c r="S521" s="14">
        <f>VLOOKUP($C521,Rotation!$A$2:$J$10,10,FALSE)</f>
        <v>0</v>
      </c>
    </row>
    <row r="522" spans="1:19" ht="18">
      <c r="A522" s="14">
        <v>520</v>
      </c>
      <c r="B522" s="14" t="s">
        <v>64</v>
      </c>
      <c r="C522" s="14" t="str">
        <f>VLOOKUP(B522,Family!B:C,2,FALSE)</f>
        <v>A</v>
      </c>
      <c r="D522" s="15">
        <v>111</v>
      </c>
      <c r="E522" s="14">
        <f>ROUND(VLOOKUP(C522,'Production Plan'!A:B,2,FALSE),2)</f>
        <v>407.17</v>
      </c>
      <c r="F522" s="16">
        <v>45793</v>
      </c>
      <c r="G522" s="17">
        <f>F522+6*7</f>
        <v>45835</v>
      </c>
      <c r="H522" s="14">
        <f>G522-F522</f>
        <v>42</v>
      </c>
      <c r="I522" s="14">
        <f>ROUND(D522/E522,3)</f>
        <v>0.27300000000000002</v>
      </c>
      <c r="J522" s="14">
        <f>I522*24</f>
        <v>6.5520000000000005</v>
      </c>
      <c r="K522" s="14">
        <f>VLOOKUP($C522,Rotation!$A$2:$J$10,2,FALSE)</f>
        <v>1</v>
      </c>
      <c r="L522" s="14">
        <f>VLOOKUP($C522,Rotation!$A$2:$J$10,3,FALSE)</f>
        <v>1</v>
      </c>
      <c r="M522" s="14">
        <f>VLOOKUP($C522,Rotation!$A$2:$J$10,4,FALSE)</f>
        <v>1</v>
      </c>
      <c r="N522" s="14">
        <f>VLOOKUP($C522,Rotation!$A$2:$J$10,5,FALSE)</f>
        <v>0</v>
      </c>
      <c r="O522" s="14">
        <f>VLOOKUP($C522,Rotation!$A$2:$J$10,6,FALSE)</f>
        <v>0</v>
      </c>
      <c r="P522" s="14">
        <f>VLOOKUP($C522,Rotation!$A$2:$J$10,7,FALSE)</f>
        <v>0</v>
      </c>
      <c r="Q522" s="14">
        <f>VLOOKUP($C522,Rotation!$A$2:$J$10,8,FALSE)</f>
        <v>0</v>
      </c>
      <c r="R522" s="14">
        <f>VLOOKUP($C522,Rotation!$A$2:$J$10,9,FALSE)</f>
        <v>0</v>
      </c>
      <c r="S522" s="14">
        <f>VLOOKUP($C522,Rotation!$A$2:$J$10,10,FALSE)</f>
        <v>0</v>
      </c>
    </row>
    <row r="523" spans="1:19" ht="18">
      <c r="A523" s="14">
        <v>521</v>
      </c>
      <c r="B523" s="14" t="s">
        <v>64</v>
      </c>
      <c r="C523" s="14" t="str">
        <f>VLOOKUP(B523,Family!B:C,2,FALSE)</f>
        <v>A</v>
      </c>
      <c r="D523" s="15">
        <v>111</v>
      </c>
      <c r="E523" s="14">
        <f>ROUND(VLOOKUP(C523,'Production Plan'!A:B,2,FALSE),2)</f>
        <v>407.17</v>
      </c>
      <c r="F523" s="16">
        <v>45799</v>
      </c>
      <c r="G523" s="17">
        <f>F523+6*7</f>
        <v>45841</v>
      </c>
      <c r="H523" s="14">
        <f>G523-F523</f>
        <v>42</v>
      </c>
      <c r="I523" s="14">
        <f>ROUND(D523/E523,3)</f>
        <v>0.27300000000000002</v>
      </c>
      <c r="J523" s="14">
        <f>I523*24</f>
        <v>6.5520000000000005</v>
      </c>
      <c r="K523" s="14">
        <f>VLOOKUP($C523,Rotation!$A$2:$J$10,2,FALSE)</f>
        <v>1</v>
      </c>
      <c r="L523" s="14">
        <f>VLOOKUP($C523,Rotation!$A$2:$J$10,3,FALSE)</f>
        <v>1</v>
      </c>
      <c r="M523" s="14">
        <f>VLOOKUP($C523,Rotation!$A$2:$J$10,4,FALSE)</f>
        <v>1</v>
      </c>
      <c r="N523" s="14">
        <f>VLOOKUP($C523,Rotation!$A$2:$J$10,5,FALSE)</f>
        <v>0</v>
      </c>
      <c r="O523" s="14">
        <f>VLOOKUP($C523,Rotation!$A$2:$J$10,6,FALSE)</f>
        <v>0</v>
      </c>
      <c r="P523" s="14">
        <f>VLOOKUP($C523,Rotation!$A$2:$J$10,7,FALSE)</f>
        <v>0</v>
      </c>
      <c r="Q523" s="14">
        <f>VLOOKUP($C523,Rotation!$A$2:$J$10,8,FALSE)</f>
        <v>0</v>
      </c>
      <c r="R523" s="14">
        <f>VLOOKUP($C523,Rotation!$A$2:$J$10,9,FALSE)</f>
        <v>0</v>
      </c>
      <c r="S523" s="14">
        <f>VLOOKUP($C523,Rotation!$A$2:$J$10,10,FALSE)</f>
        <v>0</v>
      </c>
    </row>
    <row r="524" spans="1:19" ht="18">
      <c r="A524" s="14">
        <v>522</v>
      </c>
      <c r="B524" s="14" t="s">
        <v>112</v>
      </c>
      <c r="C524" s="14" t="str">
        <f>VLOOKUP(B524,Family!B:C,2,FALSE)</f>
        <v>N</v>
      </c>
      <c r="D524" s="15">
        <v>70</v>
      </c>
      <c r="E524" s="14">
        <f>ROUND(VLOOKUP(C524,'Production Plan'!A:B,2,FALSE),2)</f>
        <v>334.18</v>
      </c>
      <c r="F524" s="16">
        <v>45690</v>
      </c>
      <c r="G524" s="17">
        <f>F524+6*7</f>
        <v>45732</v>
      </c>
      <c r="H524" s="14">
        <f>G524-F524</f>
        <v>42</v>
      </c>
      <c r="I524" s="14">
        <f>ROUND(D524/E524,3)</f>
        <v>0.20899999999999999</v>
      </c>
      <c r="J524" s="14">
        <f>I524*24</f>
        <v>5.016</v>
      </c>
      <c r="K524" s="14">
        <f>VLOOKUP($C524,Rotation!$A$2:$J$10,2,FALSE)</f>
        <v>1</v>
      </c>
      <c r="L524" s="14">
        <f>VLOOKUP($C524,Rotation!$A$2:$J$10,3,FALSE)</f>
        <v>0</v>
      </c>
      <c r="M524" s="14">
        <f>VLOOKUP($C524,Rotation!$A$2:$J$10,4,FALSE)</f>
        <v>0</v>
      </c>
      <c r="N524" s="14">
        <f>VLOOKUP($C524,Rotation!$A$2:$J$10,5,FALSE)</f>
        <v>0</v>
      </c>
      <c r="O524" s="14">
        <f>VLOOKUP($C524,Rotation!$A$2:$J$10,6,FALSE)</f>
        <v>0</v>
      </c>
      <c r="P524" s="14">
        <f>VLOOKUP($C524,Rotation!$A$2:$J$10,7,FALSE)</f>
        <v>0</v>
      </c>
      <c r="Q524" s="14">
        <f>VLOOKUP($C524,Rotation!$A$2:$J$10,8,FALSE)</f>
        <v>1</v>
      </c>
      <c r="R524" s="14">
        <f>VLOOKUP($C524,Rotation!$A$2:$J$10,9,FALSE)</f>
        <v>0</v>
      </c>
      <c r="S524" s="14">
        <f>VLOOKUP($C524,Rotation!$A$2:$J$10,10,FALSE)</f>
        <v>0</v>
      </c>
    </row>
    <row r="525" spans="1:19" ht="18">
      <c r="A525" s="14">
        <v>523</v>
      </c>
      <c r="B525" s="14" t="s">
        <v>111</v>
      </c>
      <c r="C525" s="14" t="str">
        <f>VLOOKUP(B525,Family!B:C,2,FALSE)</f>
        <v>N</v>
      </c>
      <c r="D525" s="15">
        <v>67</v>
      </c>
      <c r="E525" s="14">
        <f>ROUND(VLOOKUP(C525,'Production Plan'!A:B,2,FALSE),2)</f>
        <v>334.18</v>
      </c>
      <c r="F525" s="16">
        <v>45699</v>
      </c>
      <c r="G525" s="17">
        <f>F525+6*7</f>
        <v>45741</v>
      </c>
      <c r="H525" s="14">
        <f>G525-F525</f>
        <v>42</v>
      </c>
      <c r="I525" s="14">
        <f>ROUND(D525/E525,3)</f>
        <v>0.2</v>
      </c>
      <c r="J525" s="14">
        <f>I525*24</f>
        <v>4.8000000000000007</v>
      </c>
      <c r="K525" s="14">
        <f>VLOOKUP($C525,Rotation!$A$2:$J$10,2,FALSE)</f>
        <v>1</v>
      </c>
      <c r="L525" s="14">
        <f>VLOOKUP($C525,Rotation!$A$2:$J$10,3,FALSE)</f>
        <v>0</v>
      </c>
      <c r="M525" s="14">
        <f>VLOOKUP($C525,Rotation!$A$2:$J$10,4,FALSE)</f>
        <v>0</v>
      </c>
      <c r="N525" s="14">
        <f>VLOOKUP($C525,Rotation!$A$2:$J$10,5,FALSE)</f>
        <v>0</v>
      </c>
      <c r="O525" s="14">
        <f>VLOOKUP($C525,Rotation!$A$2:$J$10,6,FALSE)</f>
        <v>0</v>
      </c>
      <c r="P525" s="14">
        <f>VLOOKUP($C525,Rotation!$A$2:$J$10,7,FALSE)</f>
        <v>0</v>
      </c>
      <c r="Q525" s="14">
        <f>VLOOKUP($C525,Rotation!$A$2:$J$10,8,FALSE)</f>
        <v>1</v>
      </c>
      <c r="R525" s="14">
        <f>VLOOKUP($C525,Rotation!$A$2:$J$10,9,FALSE)</f>
        <v>0</v>
      </c>
      <c r="S525" s="14">
        <f>VLOOKUP($C525,Rotation!$A$2:$J$10,10,FALSE)</f>
        <v>0</v>
      </c>
    </row>
    <row r="526" spans="1:19" ht="18">
      <c r="A526" s="14">
        <v>524</v>
      </c>
      <c r="B526" s="14" t="s">
        <v>106</v>
      </c>
      <c r="C526" s="14" t="str">
        <f>VLOOKUP(B526,Family!B:C,2,FALSE)</f>
        <v>P</v>
      </c>
      <c r="D526" s="15">
        <v>19</v>
      </c>
      <c r="E526" s="14">
        <f>ROUND(VLOOKUP(C526,'Production Plan'!A:B,2,FALSE),2)</f>
        <v>409.15</v>
      </c>
      <c r="F526" s="16">
        <v>45743</v>
      </c>
      <c r="G526" s="17">
        <f>F526+6*7</f>
        <v>45785</v>
      </c>
      <c r="H526" s="14">
        <f>G526-F526</f>
        <v>42</v>
      </c>
      <c r="I526" s="14">
        <f>ROUND(D526/E526,3)</f>
        <v>4.5999999999999999E-2</v>
      </c>
      <c r="J526" s="14">
        <f>I526*24</f>
        <v>1.1040000000000001</v>
      </c>
      <c r="K526" s="14">
        <f>VLOOKUP($C526,Rotation!$A$2:$J$10,2,FALSE)</f>
        <v>1</v>
      </c>
      <c r="L526" s="14">
        <f>VLOOKUP($C526,Rotation!$A$2:$J$10,3,FALSE)</f>
        <v>1</v>
      </c>
      <c r="M526" s="14">
        <f>VLOOKUP($C526,Rotation!$A$2:$J$10,4,FALSE)</f>
        <v>0</v>
      </c>
      <c r="N526" s="14">
        <f>VLOOKUP($C526,Rotation!$A$2:$J$10,5,FALSE)</f>
        <v>0</v>
      </c>
      <c r="O526" s="14">
        <f>VLOOKUP($C526,Rotation!$A$2:$J$10,6,FALSE)</f>
        <v>0</v>
      </c>
      <c r="P526" s="14">
        <f>VLOOKUP($C526,Rotation!$A$2:$J$10,7,FALSE)</f>
        <v>0</v>
      </c>
      <c r="Q526" s="14">
        <f>VLOOKUP($C526,Rotation!$A$2:$J$10,8,FALSE)</f>
        <v>0</v>
      </c>
      <c r="R526" s="14">
        <f>VLOOKUP($C526,Rotation!$A$2:$J$10,9,FALSE)</f>
        <v>0</v>
      </c>
      <c r="S526" s="14">
        <f>VLOOKUP($C526,Rotation!$A$2:$J$10,10,FALSE)</f>
        <v>0</v>
      </c>
    </row>
    <row r="527" spans="1:19" ht="18">
      <c r="A527" s="14">
        <v>525</v>
      </c>
      <c r="B527" s="14" t="s">
        <v>69</v>
      </c>
      <c r="C527" s="14" t="str">
        <f>VLOOKUP(B527,Family!B:C,2,FALSE)</f>
        <v>A</v>
      </c>
      <c r="D527" s="15">
        <v>19</v>
      </c>
      <c r="E527" s="14">
        <f>ROUND(VLOOKUP(C527,'Production Plan'!A:B,2,FALSE),2)</f>
        <v>407.17</v>
      </c>
      <c r="F527" s="16">
        <v>45730</v>
      </c>
      <c r="G527" s="17">
        <f>F527+6*7</f>
        <v>45772</v>
      </c>
      <c r="H527" s="14">
        <f>G527-F527</f>
        <v>42</v>
      </c>
      <c r="I527" s="14">
        <f>ROUND(D527/E527,3)</f>
        <v>4.7E-2</v>
      </c>
      <c r="J527" s="14">
        <f>I527*24</f>
        <v>1.1280000000000001</v>
      </c>
      <c r="K527" s="14">
        <f>VLOOKUP($C527,Rotation!$A$2:$J$10,2,FALSE)</f>
        <v>1</v>
      </c>
      <c r="L527" s="14">
        <f>VLOOKUP($C527,Rotation!$A$2:$J$10,3,FALSE)</f>
        <v>1</v>
      </c>
      <c r="M527" s="14">
        <f>VLOOKUP($C527,Rotation!$A$2:$J$10,4,FALSE)</f>
        <v>1</v>
      </c>
      <c r="N527" s="14">
        <f>VLOOKUP($C527,Rotation!$A$2:$J$10,5,FALSE)</f>
        <v>0</v>
      </c>
      <c r="O527" s="14">
        <f>VLOOKUP($C527,Rotation!$A$2:$J$10,6,FALSE)</f>
        <v>0</v>
      </c>
      <c r="P527" s="14">
        <f>VLOOKUP($C527,Rotation!$A$2:$J$10,7,FALSE)</f>
        <v>0</v>
      </c>
      <c r="Q527" s="14">
        <f>VLOOKUP($C527,Rotation!$A$2:$J$10,8,FALSE)</f>
        <v>0</v>
      </c>
      <c r="R527" s="14">
        <f>VLOOKUP($C527,Rotation!$A$2:$J$10,9,FALSE)</f>
        <v>0</v>
      </c>
      <c r="S527" s="14">
        <f>VLOOKUP($C527,Rotation!$A$2:$J$10,10,FALSE)</f>
        <v>0</v>
      </c>
    </row>
    <row r="528" spans="1:19" ht="18">
      <c r="A528" s="14">
        <v>526</v>
      </c>
      <c r="B528" s="14" t="s">
        <v>108</v>
      </c>
      <c r="C528" s="14" t="str">
        <f>VLOOKUP(B528,Family!B:C,2,FALSE)</f>
        <v>P</v>
      </c>
      <c r="D528" s="15">
        <v>108</v>
      </c>
      <c r="E528" s="14">
        <f>ROUND(VLOOKUP(C528,'Production Plan'!A:B,2,FALSE),2)</f>
        <v>409.15</v>
      </c>
      <c r="F528" s="16">
        <v>45748</v>
      </c>
      <c r="G528" s="17">
        <f>F528+6*7</f>
        <v>45790</v>
      </c>
      <c r="H528" s="14">
        <f>G528-F528</f>
        <v>42</v>
      </c>
      <c r="I528" s="14">
        <f>ROUND(D528/E528,3)</f>
        <v>0.26400000000000001</v>
      </c>
      <c r="J528" s="14">
        <f>I528*24</f>
        <v>6.3360000000000003</v>
      </c>
      <c r="K528" s="14">
        <f>VLOOKUP($C528,Rotation!$A$2:$J$10,2,FALSE)</f>
        <v>1</v>
      </c>
      <c r="L528" s="14">
        <f>VLOOKUP($C528,Rotation!$A$2:$J$10,3,FALSE)</f>
        <v>1</v>
      </c>
      <c r="M528" s="14">
        <f>VLOOKUP($C528,Rotation!$A$2:$J$10,4,FALSE)</f>
        <v>0</v>
      </c>
      <c r="N528" s="14">
        <f>VLOOKUP($C528,Rotation!$A$2:$J$10,5,FALSE)</f>
        <v>0</v>
      </c>
      <c r="O528" s="14">
        <f>VLOOKUP($C528,Rotation!$A$2:$J$10,6,FALSE)</f>
        <v>0</v>
      </c>
      <c r="P528" s="14">
        <f>VLOOKUP($C528,Rotation!$A$2:$J$10,7,FALSE)</f>
        <v>0</v>
      </c>
      <c r="Q528" s="14">
        <f>VLOOKUP($C528,Rotation!$A$2:$J$10,8,FALSE)</f>
        <v>0</v>
      </c>
      <c r="R528" s="14">
        <f>VLOOKUP($C528,Rotation!$A$2:$J$10,9,FALSE)</f>
        <v>0</v>
      </c>
      <c r="S528" s="14">
        <f>VLOOKUP($C528,Rotation!$A$2:$J$10,10,FALSE)</f>
        <v>0</v>
      </c>
    </row>
    <row r="529" spans="1:19" ht="18">
      <c r="A529" s="14">
        <v>527</v>
      </c>
      <c r="B529" s="14" t="s">
        <v>108</v>
      </c>
      <c r="C529" s="14" t="str">
        <f>VLOOKUP(B529,Family!B:C,2,FALSE)</f>
        <v>P</v>
      </c>
      <c r="D529" s="15">
        <v>108</v>
      </c>
      <c r="E529" s="14">
        <f>ROUND(VLOOKUP(C529,'Production Plan'!A:B,2,FALSE),2)</f>
        <v>409.15</v>
      </c>
      <c r="F529" s="16">
        <v>45748</v>
      </c>
      <c r="G529" s="17">
        <f>F529+6*7</f>
        <v>45790</v>
      </c>
      <c r="H529" s="14">
        <f>G529-F529</f>
        <v>42</v>
      </c>
      <c r="I529" s="14">
        <f>ROUND(D529/E529,3)</f>
        <v>0.26400000000000001</v>
      </c>
      <c r="J529" s="14">
        <f>I529*24</f>
        <v>6.3360000000000003</v>
      </c>
      <c r="K529" s="14">
        <f>VLOOKUP($C529,Rotation!$A$2:$J$10,2,FALSE)</f>
        <v>1</v>
      </c>
      <c r="L529" s="14">
        <f>VLOOKUP($C529,Rotation!$A$2:$J$10,3,FALSE)</f>
        <v>1</v>
      </c>
      <c r="M529" s="14">
        <f>VLOOKUP($C529,Rotation!$A$2:$J$10,4,FALSE)</f>
        <v>0</v>
      </c>
      <c r="N529" s="14">
        <f>VLOOKUP($C529,Rotation!$A$2:$J$10,5,FALSE)</f>
        <v>0</v>
      </c>
      <c r="O529" s="14">
        <f>VLOOKUP($C529,Rotation!$A$2:$J$10,6,FALSE)</f>
        <v>0</v>
      </c>
      <c r="P529" s="14">
        <f>VLOOKUP($C529,Rotation!$A$2:$J$10,7,FALSE)</f>
        <v>0</v>
      </c>
      <c r="Q529" s="14">
        <f>VLOOKUP($C529,Rotation!$A$2:$J$10,8,FALSE)</f>
        <v>0</v>
      </c>
      <c r="R529" s="14">
        <f>VLOOKUP($C529,Rotation!$A$2:$J$10,9,FALSE)</f>
        <v>0</v>
      </c>
      <c r="S529" s="14">
        <f>VLOOKUP($C529,Rotation!$A$2:$J$10,10,FALSE)</f>
        <v>0</v>
      </c>
    </row>
    <row r="530" spans="1:19" ht="18">
      <c r="A530" s="14">
        <v>528</v>
      </c>
      <c r="B530" s="14" t="s">
        <v>108</v>
      </c>
      <c r="C530" s="14" t="str">
        <f>VLOOKUP(B530,Family!B:C,2,FALSE)</f>
        <v>P</v>
      </c>
      <c r="D530" s="15">
        <v>108</v>
      </c>
      <c r="E530" s="14">
        <f>ROUND(VLOOKUP(C530,'Production Plan'!A:B,2,FALSE),2)</f>
        <v>409.15</v>
      </c>
      <c r="F530" s="16">
        <v>45748</v>
      </c>
      <c r="G530" s="17">
        <f>F530+6*7</f>
        <v>45790</v>
      </c>
      <c r="H530" s="14">
        <f>G530-F530</f>
        <v>42</v>
      </c>
      <c r="I530" s="14">
        <f>ROUND(D530/E530,3)</f>
        <v>0.26400000000000001</v>
      </c>
      <c r="J530" s="14">
        <f>I530*24</f>
        <v>6.3360000000000003</v>
      </c>
      <c r="K530" s="14">
        <f>VLOOKUP($C530,Rotation!$A$2:$J$10,2,FALSE)</f>
        <v>1</v>
      </c>
      <c r="L530" s="14">
        <f>VLOOKUP($C530,Rotation!$A$2:$J$10,3,FALSE)</f>
        <v>1</v>
      </c>
      <c r="M530" s="14">
        <f>VLOOKUP($C530,Rotation!$A$2:$J$10,4,FALSE)</f>
        <v>0</v>
      </c>
      <c r="N530" s="14">
        <f>VLOOKUP($C530,Rotation!$A$2:$J$10,5,FALSE)</f>
        <v>0</v>
      </c>
      <c r="O530" s="14">
        <f>VLOOKUP($C530,Rotation!$A$2:$J$10,6,FALSE)</f>
        <v>0</v>
      </c>
      <c r="P530" s="14">
        <f>VLOOKUP($C530,Rotation!$A$2:$J$10,7,FALSE)</f>
        <v>0</v>
      </c>
      <c r="Q530" s="14">
        <f>VLOOKUP($C530,Rotation!$A$2:$J$10,8,FALSE)</f>
        <v>0</v>
      </c>
      <c r="R530" s="14">
        <f>VLOOKUP($C530,Rotation!$A$2:$J$10,9,FALSE)</f>
        <v>0</v>
      </c>
      <c r="S530" s="14">
        <f>VLOOKUP($C530,Rotation!$A$2:$J$10,10,FALSE)</f>
        <v>0</v>
      </c>
    </row>
    <row r="531" spans="1:19" ht="18">
      <c r="A531" s="14">
        <v>529</v>
      </c>
      <c r="B531" s="14" t="s">
        <v>77</v>
      </c>
      <c r="C531" s="14" t="str">
        <f>VLOOKUP(B531,Family!B:C,2,FALSE)</f>
        <v>E</v>
      </c>
      <c r="D531" s="15">
        <v>18</v>
      </c>
      <c r="E531" s="14">
        <f>ROUND(VLOOKUP(C531,'Production Plan'!A:B,2,FALSE),2)</f>
        <v>333.66</v>
      </c>
      <c r="F531" s="16">
        <v>45754</v>
      </c>
      <c r="G531" s="17">
        <f>F531+6*7</f>
        <v>45796</v>
      </c>
      <c r="H531" s="14">
        <f>G531-F531</f>
        <v>42</v>
      </c>
      <c r="I531" s="14">
        <f>ROUND(D531/E531,3)</f>
        <v>5.3999999999999999E-2</v>
      </c>
      <c r="J531" s="14">
        <f>I531*24</f>
        <v>1.296</v>
      </c>
      <c r="K531" s="14">
        <f>VLOOKUP($C531,Rotation!$A$2:$J$10,2,FALSE)</f>
        <v>1</v>
      </c>
      <c r="L531" s="14">
        <f>VLOOKUP($C531,Rotation!$A$2:$J$10,3,FALSE)</f>
        <v>0</v>
      </c>
      <c r="M531" s="14">
        <f>VLOOKUP($C531,Rotation!$A$2:$J$10,4,FALSE)</f>
        <v>0</v>
      </c>
      <c r="N531" s="14">
        <f>VLOOKUP($C531,Rotation!$A$2:$J$10,5,FALSE)</f>
        <v>0</v>
      </c>
      <c r="O531" s="14">
        <f>VLOOKUP($C531,Rotation!$A$2:$J$10,6,FALSE)</f>
        <v>0</v>
      </c>
      <c r="P531" s="14">
        <f>VLOOKUP($C531,Rotation!$A$2:$J$10,7,FALSE)</f>
        <v>1</v>
      </c>
      <c r="Q531" s="14">
        <f>VLOOKUP($C531,Rotation!$A$2:$J$10,8,FALSE)</f>
        <v>0</v>
      </c>
      <c r="R531" s="14">
        <f>VLOOKUP($C531,Rotation!$A$2:$J$10,9,FALSE)</f>
        <v>0</v>
      </c>
      <c r="S531" s="14">
        <f>VLOOKUP($C531,Rotation!$A$2:$J$10,10,FALSE)</f>
        <v>0</v>
      </c>
    </row>
    <row r="532" spans="1:19" ht="18">
      <c r="A532" s="14">
        <v>530</v>
      </c>
      <c r="B532" s="14" t="s">
        <v>85</v>
      </c>
      <c r="C532" s="14" t="str">
        <f>VLOOKUP(B532,Family!B:C,2,FALSE)</f>
        <v>E</v>
      </c>
      <c r="D532" s="15">
        <v>19</v>
      </c>
      <c r="E532" s="14">
        <f>ROUND(VLOOKUP(C532,'Production Plan'!A:B,2,FALSE),2)</f>
        <v>333.66</v>
      </c>
      <c r="F532" s="16">
        <v>45761</v>
      </c>
      <c r="G532" s="17">
        <f>F532+6*7</f>
        <v>45803</v>
      </c>
      <c r="H532" s="14">
        <f>G532-F532</f>
        <v>42</v>
      </c>
      <c r="I532" s="14">
        <f>ROUND(D532/E532,3)</f>
        <v>5.7000000000000002E-2</v>
      </c>
      <c r="J532" s="14">
        <f>I532*24</f>
        <v>1.3680000000000001</v>
      </c>
      <c r="K532" s="14">
        <f>VLOOKUP($C532,Rotation!$A$2:$J$10,2,FALSE)</f>
        <v>1</v>
      </c>
      <c r="L532" s="14">
        <f>VLOOKUP($C532,Rotation!$A$2:$J$10,3,FALSE)</f>
        <v>0</v>
      </c>
      <c r="M532" s="14">
        <f>VLOOKUP($C532,Rotation!$A$2:$J$10,4,FALSE)</f>
        <v>0</v>
      </c>
      <c r="N532" s="14">
        <f>VLOOKUP($C532,Rotation!$A$2:$J$10,5,FALSE)</f>
        <v>0</v>
      </c>
      <c r="O532" s="14">
        <f>VLOOKUP($C532,Rotation!$A$2:$J$10,6,FALSE)</f>
        <v>0</v>
      </c>
      <c r="P532" s="14">
        <f>VLOOKUP($C532,Rotation!$A$2:$J$10,7,FALSE)</f>
        <v>1</v>
      </c>
      <c r="Q532" s="14">
        <f>VLOOKUP($C532,Rotation!$A$2:$J$10,8,FALSE)</f>
        <v>0</v>
      </c>
      <c r="R532" s="14">
        <f>VLOOKUP($C532,Rotation!$A$2:$J$10,9,FALSE)</f>
        <v>0</v>
      </c>
      <c r="S532" s="14">
        <f>VLOOKUP($C532,Rotation!$A$2:$J$10,10,FALSE)</f>
        <v>0</v>
      </c>
    </row>
    <row r="533" spans="1:19" ht="18">
      <c r="A533" s="14">
        <v>531</v>
      </c>
      <c r="B533" s="14" t="s">
        <v>85</v>
      </c>
      <c r="C533" s="14" t="str">
        <f>VLOOKUP(B533,Family!B:C,2,FALSE)</f>
        <v>E</v>
      </c>
      <c r="D533" s="15">
        <v>19</v>
      </c>
      <c r="E533" s="14">
        <f>ROUND(VLOOKUP(C533,'Production Plan'!A:B,2,FALSE),2)</f>
        <v>333.66</v>
      </c>
      <c r="F533" s="16">
        <v>45761</v>
      </c>
      <c r="G533" s="17">
        <f>F533+6*7</f>
        <v>45803</v>
      </c>
      <c r="H533" s="14">
        <f>G533-F533</f>
        <v>42</v>
      </c>
      <c r="I533" s="14">
        <f>ROUND(D533/E533,3)</f>
        <v>5.7000000000000002E-2</v>
      </c>
      <c r="J533" s="14">
        <f>I533*24</f>
        <v>1.3680000000000001</v>
      </c>
      <c r="K533" s="14">
        <f>VLOOKUP($C533,Rotation!$A$2:$J$10,2,FALSE)</f>
        <v>1</v>
      </c>
      <c r="L533" s="14">
        <f>VLOOKUP($C533,Rotation!$A$2:$J$10,3,FALSE)</f>
        <v>0</v>
      </c>
      <c r="M533" s="14">
        <f>VLOOKUP($C533,Rotation!$A$2:$J$10,4,FALSE)</f>
        <v>0</v>
      </c>
      <c r="N533" s="14">
        <f>VLOOKUP($C533,Rotation!$A$2:$J$10,5,FALSE)</f>
        <v>0</v>
      </c>
      <c r="O533" s="14">
        <f>VLOOKUP($C533,Rotation!$A$2:$J$10,6,FALSE)</f>
        <v>0</v>
      </c>
      <c r="P533" s="14">
        <f>VLOOKUP($C533,Rotation!$A$2:$J$10,7,FALSE)</f>
        <v>1</v>
      </c>
      <c r="Q533" s="14">
        <f>VLOOKUP($C533,Rotation!$A$2:$J$10,8,FALSE)</f>
        <v>0</v>
      </c>
      <c r="R533" s="14">
        <f>VLOOKUP($C533,Rotation!$A$2:$J$10,9,FALSE)</f>
        <v>0</v>
      </c>
      <c r="S533" s="14">
        <f>VLOOKUP($C533,Rotation!$A$2:$J$10,10,FALSE)</f>
        <v>0</v>
      </c>
    </row>
    <row r="534" spans="1:19" ht="18">
      <c r="A534" s="14">
        <v>532</v>
      </c>
      <c r="B534" s="14" t="s">
        <v>66</v>
      </c>
      <c r="C534" s="14" t="str">
        <f>VLOOKUP(B534,Family!B:C,2,FALSE)</f>
        <v>A</v>
      </c>
      <c r="D534" s="15">
        <v>54</v>
      </c>
      <c r="E534" s="14">
        <f>ROUND(VLOOKUP(C534,'Production Plan'!A:B,2,FALSE),2)</f>
        <v>407.17</v>
      </c>
      <c r="F534" s="16">
        <v>45807</v>
      </c>
      <c r="G534" s="17">
        <f>F534+6*7</f>
        <v>45849</v>
      </c>
      <c r="H534" s="14">
        <f>G534-F534</f>
        <v>42</v>
      </c>
      <c r="I534" s="14">
        <f>ROUND(D534/E534,3)</f>
        <v>0.13300000000000001</v>
      </c>
      <c r="J534" s="14">
        <f>I534*24</f>
        <v>3.1920000000000002</v>
      </c>
      <c r="K534" s="14">
        <f>VLOOKUP($C534,Rotation!$A$2:$J$10,2,FALSE)</f>
        <v>1</v>
      </c>
      <c r="L534" s="14">
        <f>VLOOKUP($C534,Rotation!$A$2:$J$10,3,FALSE)</f>
        <v>1</v>
      </c>
      <c r="M534" s="14">
        <f>VLOOKUP($C534,Rotation!$A$2:$J$10,4,FALSE)</f>
        <v>1</v>
      </c>
      <c r="N534" s="14">
        <f>VLOOKUP($C534,Rotation!$A$2:$J$10,5,FALSE)</f>
        <v>0</v>
      </c>
      <c r="O534" s="14">
        <f>VLOOKUP($C534,Rotation!$A$2:$J$10,6,FALSE)</f>
        <v>0</v>
      </c>
      <c r="P534" s="14">
        <f>VLOOKUP($C534,Rotation!$A$2:$J$10,7,FALSE)</f>
        <v>0</v>
      </c>
      <c r="Q534" s="14">
        <f>VLOOKUP($C534,Rotation!$A$2:$J$10,8,FALSE)</f>
        <v>0</v>
      </c>
      <c r="R534" s="14">
        <f>VLOOKUP($C534,Rotation!$A$2:$J$10,9,FALSE)</f>
        <v>0</v>
      </c>
      <c r="S534" s="14">
        <f>VLOOKUP($C534,Rotation!$A$2:$J$10,10,FALSE)</f>
        <v>0</v>
      </c>
    </row>
    <row r="535" spans="1:19" ht="18">
      <c r="A535" s="14">
        <v>533</v>
      </c>
      <c r="B535" s="14" t="s">
        <v>66</v>
      </c>
      <c r="C535" s="14" t="str">
        <f>VLOOKUP(B535,Family!B:C,2,FALSE)</f>
        <v>A</v>
      </c>
      <c r="D535" s="15">
        <v>54</v>
      </c>
      <c r="E535" s="14">
        <f>ROUND(VLOOKUP(C535,'Production Plan'!A:B,2,FALSE),2)</f>
        <v>407.17</v>
      </c>
      <c r="F535" s="16">
        <v>45811</v>
      </c>
      <c r="G535" s="17">
        <f>F535+6*7</f>
        <v>45853</v>
      </c>
      <c r="H535" s="14">
        <f>G535-F535</f>
        <v>42</v>
      </c>
      <c r="I535" s="14">
        <f>ROUND(D535/E535,3)</f>
        <v>0.13300000000000001</v>
      </c>
      <c r="J535" s="14">
        <f>I535*24</f>
        <v>3.1920000000000002</v>
      </c>
      <c r="K535" s="14">
        <f>VLOOKUP($C535,Rotation!$A$2:$J$10,2,FALSE)</f>
        <v>1</v>
      </c>
      <c r="L535" s="14">
        <f>VLOOKUP($C535,Rotation!$A$2:$J$10,3,FALSE)</f>
        <v>1</v>
      </c>
      <c r="M535" s="14">
        <f>VLOOKUP($C535,Rotation!$A$2:$J$10,4,FALSE)</f>
        <v>1</v>
      </c>
      <c r="N535" s="14">
        <f>VLOOKUP($C535,Rotation!$A$2:$J$10,5,FALSE)</f>
        <v>0</v>
      </c>
      <c r="O535" s="14">
        <f>VLOOKUP($C535,Rotation!$A$2:$J$10,6,FALSE)</f>
        <v>0</v>
      </c>
      <c r="P535" s="14">
        <f>VLOOKUP($C535,Rotation!$A$2:$J$10,7,FALSE)</f>
        <v>0</v>
      </c>
      <c r="Q535" s="14">
        <f>VLOOKUP($C535,Rotation!$A$2:$J$10,8,FALSE)</f>
        <v>0</v>
      </c>
      <c r="R535" s="14">
        <f>VLOOKUP($C535,Rotation!$A$2:$J$10,9,FALSE)</f>
        <v>0</v>
      </c>
      <c r="S535" s="14">
        <f>VLOOKUP($C535,Rotation!$A$2:$J$10,10,FALSE)</f>
        <v>0</v>
      </c>
    </row>
    <row r="536" spans="1:19" ht="18">
      <c r="A536" s="14">
        <v>534</v>
      </c>
      <c r="B536" s="14" t="s">
        <v>66</v>
      </c>
      <c r="C536" s="14" t="str">
        <f>VLOOKUP(B536,Family!B:C,2,FALSE)</f>
        <v>A</v>
      </c>
      <c r="D536" s="15">
        <v>54</v>
      </c>
      <c r="E536" s="14">
        <f>ROUND(VLOOKUP(C536,'Production Plan'!A:B,2,FALSE),2)</f>
        <v>407.17</v>
      </c>
      <c r="F536" s="16">
        <v>45807</v>
      </c>
      <c r="G536" s="17">
        <f>F536+6*7</f>
        <v>45849</v>
      </c>
      <c r="H536" s="14">
        <f>G536-F536</f>
        <v>42</v>
      </c>
      <c r="I536" s="14">
        <f>ROUND(D536/E536,3)</f>
        <v>0.13300000000000001</v>
      </c>
      <c r="J536" s="14">
        <f>I536*24</f>
        <v>3.1920000000000002</v>
      </c>
      <c r="K536" s="14">
        <f>VLOOKUP($C536,Rotation!$A$2:$J$10,2,FALSE)</f>
        <v>1</v>
      </c>
      <c r="L536" s="14">
        <f>VLOOKUP($C536,Rotation!$A$2:$J$10,3,FALSE)</f>
        <v>1</v>
      </c>
      <c r="M536" s="14">
        <f>VLOOKUP($C536,Rotation!$A$2:$J$10,4,FALSE)</f>
        <v>1</v>
      </c>
      <c r="N536" s="14">
        <f>VLOOKUP($C536,Rotation!$A$2:$J$10,5,FALSE)</f>
        <v>0</v>
      </c>
      <c r="O536" s="14">
        <f>VLOOKUP($C536,Rotation!$A$2:$J$10,6,FALSE)</f>
        <v>0</v>
      </c>
      <c r="P536" s="14">
        <f>VLOOKUP($C536,Rotation!$A$2:$J$10,7,FALSE)</f>
        <v>0</v>
      </c>
      <c r="Q536" s="14">
        <f>VLOOKUP($C536,Rotation!$A$2:$J$10,8,FALSE)</f>
        <v>0</v>
      </c>
      <c r="R536" s="14">
        <f>VLOOKUP($C536,Rotation!$A$2:$J$10,9,FALSE)</f>
        <v>0</v>
      </c>
      <c r="S536" s="14">
        <f>VLOOKUP($C536,Rotation!$A$2:$J$10,10,FALSE)</f>
        <v>0</v>
      </c>
    </row>
    <row r="537" spans="1:19" ht="18">
      <c r="A537" s="14">
        <v>535</v>
      </c>
      <c r="B537" s="14" t="s">
        <v>66</v>
      </c>
      <c r="C537" s="14" t="str">
        <f>VLOOKUP(B537,Family!B:C,2,FALSE)</f>
        <v>A</v>
      </c>
      <c r="D537" s="15">
        <v>54</v>
      </c>
      <c r="E537" s="14">
        <f>ROUND(VLOOKUP(C537,'Production Plan'!A:B,2,FALSE),2)</f>
        <v>407.17</v>
      </c>
      <c r="F537" s="16">
        <v>45807</v>
      </c>
      <c r="G537" s="17">
        <f>F537+6*7</f>
        <v>45849</v>
      </c>
      <c r="H537" s="14">
        <f>G537-F537</f>
        <v>42</v>
      </c>
      <c r="I537" s="14">
        <f>ROUND(D537/E537,3)</f>
        <v>0.13300000000000001</v>
      </c>
      <c r="J537" s="14">
        <f>I537*24</f>
        <v>3.1920000000000002</v>
      </c>
      <c r="K537" s="14">
        <f>VLOOKUP($C537,Rotation!$A$2:$J$10,2,FALSE)</f>
        <v>1</v>
      </c>
      <c r="L537" s="14">
        <f>VLOOKUP($C537,Rotation!$A$2:$J$10,3,FALSE)</f>
        <v>1</v>
      </c>
      <c r="M537" s="14">
        <f>VLOOKUP($C537,Rotation!$A$2:$J$10,4,FALSE)</f>
        <v>1</v>
      </c>
      <c r="N537" s="14">
        <f>VLOOKUP($C537,Rotation!$A$2:$J$10,5,FALSE)</f>
        <v>0</v>
      </c>
      <c r="O537" s="14">
        <f>VLOOKUP($C537,Rotation!$A$2:$J$10,6,FALSE)</f>
        <v>0</v>
      </c>
      <c r="P537" s="14">
        <f>VLOOKUP($C537,Rotation!$A$2:$J$10,7,FALSE)</f>
        <v>0</v>
      </c>
      <c r="Q537" s="14">
        <f>VLOOKUP($C537,Rotation!$A$2:$J$10,8,FALSE)</f>
        <v>0</v>
      </c>
      <c r="R537" s="14">
        <f>VLOOKUP($C537,Rotation!$A$2:$J$10,9,FALSE)</f>
        <v>0</v>
      </c>
      <c r="S537" s="14">
        <f>VLOOKUP($C537,Rotation!$A$2:$J$10,10,FALSE)</f>
        <v>0</v>
      </c>
    </row>
    <row r="538" spans="1:19" ht="18">
      <c r="A538" s="14">
        <v>536</v>
      </c>
      <c r="B538" s="14" t="s">
        <v>106</v>
      </c>
      <c r="C538" s="14" t="str">
        <f>VLOOKUP(B538,Family!B:C,2,FALSE)</f>
        <v>P</v>
      </c>
      <c r="D538" s="15">
        <v>19</v>
      </c>
      <c r="E538" s="14">
        <f>ROUND(VLOOKUP(C538,'Production Plan'!A:B,2,FALSE),2)</f>
        <v>409.15</v>
      </c>
      <c r="F538" s="16">
        <v>45743</v>
      </c>
      <c r="G538" s="17">
        <f>F538+6*7</f>
        <v>45785</v>
      </c>
      <c r="H538" s="14">
        <f>G538-F538</f>
        <v>42</v>
      </c>
      <c r="I538" s="14">
        <f>ROUND(D538/E538,3)</f>
        <v>4.5999999999999999E-2</v>
      </c>
      <c r="J538" s="14">
        <f>I538*24</f>
        <v>1.1040000000000001</v>
      </c>
      <c r="K538" s="14">
        <f>VLOOKUP($C538,Rotation!$A$2:$J$10,2,FALSE)</f>
        <v>1</v>
      </c>
      <c r="L538" s="14">
        <f>VLOOKUP($C538,Rotation!$A$2:$J$10,3,FALSE)</f>
        <v>1</v>
      </c>
      <c r="M538" s="14">
        <f>VLOOKUP($C538,Rotation!$A$2:$J$10,4,FALSE)</f>
        <v>0</v>
      </c>
      <c r="N538" s="14">
        <f>VLOOKUP($C538,Rotation!$A$2:$J$10,5,FALSE)</f>
        <v>0</v>
      </c>
      <c r="O538" s="14">
        <f>VLOOKUP($C538,Rotation!$A$2:$J$10,6,FALSE)</f>
        <v>0</v>
      </c>
      <c r="P538" s="14">
        <f>VLOOKUP($C538,Rotation!$A$2:$J$10,7,FALSE)</f>
        <v>0</v>
      </c>
      <c r="Q538" s="14">
        <f>VLOOKUP($C538,Rotation!$A$2:$J$10,8,FALSE)</f>
        <v>0</v>
      </c>
      <c r="R538" s="14">
        <f>VLOOKUP($C538,Rotation!$A$2:$J$10,9,FALSE)</f>
        <v>0</v>
      </c>
      <c r="S538" s="14">
        <f>VLOOKUP($C538,Rotation!$A$2:$J$10,10,FALSE)</f>
        <v>0</v>
      </c>
    </row>
    <row r="539" spans="1:19" ht="18">
      <c r="A539" s="14">
        <v>537</v>
      </c>
      <c r="B539" s="14" t="s">
        <v>106</v>
      </c>
      <c r="C539" s="14" t="str">
        <f>VLOOKUP(B539,Family!B:C,2,FALSE)</f>
        <v>P</v>
      </c>
      <c r="D539" s="15">
        <v>19</v>
      </c>
      <c r="E539" s="14">
        <f>ROUND(VLOOKUP(C539,'Production Plan'!A:B,2,FALSE),2)</f>
        <v>409.15</v>
      </c>
      <c r="F539" s="16">
        <v>45743</v>
      </c>
      <c r="G539" s="17">
        <f>F539+6*7</f>
        <v>45785</v>
      </c>
      <c r="H539" s="14">
        <f>G539-F539</f>
        <v>42</v>
      </c>
      <c r="I539" s="14">
        <f>ROUND(D539/E539,3)</f>
        <v>4.5999999999999999E-2</v>
      </c>
      <c r="J539" s="14">
        <f>I539*24</f>
        <v>1.1040000000000001</v>
      </c>
      <c r="K539" s="14">
        <f>VLOOKUP($C539,Rotation!$A$2:$J$10,2,FALSE)</f>
        <v>1</v>
      </c>
      <c r="L539" s="14">
        <f>VLOOKUP($C539,Rotation!$A$2:$J$10,3,FALSE)</f>
        <v>1</v>
      </c>
      <c r="M539" s="14">
        <f>VLOOKUP($C539,Rotation!$A$2:$J$10,4,FALSE)</f>
        <v>0</v>
      </c>
      <c r="N539" s="14">
        <f>VLOOKUP($C539,Rotation!$A$2:$J$10,5,FALSE)</f>
        <v>0</v>
      </c>
      <c r="O539" s="14">
        <f>VLOOKUP($C539,Rotation!$A$2:$J$10,6,FALSE)</f>
        <v>0</v>
      </c>
      <c r="P539" s="14">
        <f>VLOOKUP($C539,Rotation!$A$2:$J$10,7,FALSE)</f>
        <v>0</v>
      </c>
      <c r="Q539" s="14">
        <f>VLOOKUP($C539,Rotation!$A$2:$J$10,8,FALSE)</f>
        <v>0</v>
      </c>
      <c r="R539" s="14">
        <f>VLOOKUP($C539,Rotation!$A$2:$J$10,9,FALSE)</f>
        <v>0</v>
      </c>
      <c r="S539" s="14">
        <f>VLOOKUP($C539,Rotation!$A$2:$J$10,10,FALSE)</f>
        <v>0</v>
      </c>
    </row>
    <row r="540" spans="1:19" ht="18">
      <c r="A540" s="14">
        <v>538</v>
      </c>
      <c r="B540" s="14" t="s">
        <v>69</v>
      </c>
      <c r="C540" s="14" t="str">
        <f>VLOOKUP(B540,Family!B:C,2,FALSE)</f>
        <v>A</v>
      </c>
      <c r="D540" s="15">
        <v>19</v>
      </c>
      <c r="E540" s="14">
        <f>ROUND(VLOOKUP(C540,'Production Plan'!A:B,2,FALSE),2)</f>
        <v>407.17</v>
      </c>
      <c r="F540" s="16">
        <v>45730</v>
      </c>
      <c r="G540" s="17">
        <f>F540+6*7</f>
        <v>45772</v>
      </c>
      <c r="H540" s="14">
        <f>G540-F540</f>
        <v>42</v>
      </c>
      <c r="I540" s="14">
        <f>ROUND(D540/E540,3)</f>
        <v>4.7E-2</v>
      </c>
      <c r="J540" s="14">
        <f>I540*24</f>
        <v>1.1280000000000001</v>
      </c>
      <c r="K540" s="14">
        <f>VLOOKUP($C540,Rotation!$A$2:$J$10,2,FALSE)</f>
        <v>1</v>
      </c>
      <c r="L540" s="14">
        <f>VLOOKUP($C540,Rotation!$A$2:$J$10,3,FALSE)</f>
        <v>1</v>
      </c>
      <c r="M540" s="14">
        <f>VLOOKUP($C540,Rotation!$A$2:$J$10,4,FALSE)</f>
        <v>1</v>
      </c>
      <c r="N540" s="14">
        <f>VLOOKUP($C540,Rotation!$A$2:$J$10,5,FALSE)</f>
        <v>0</v>
      </c>
      <c r="O540" s="14">
        <f>VLOOKUP($C540,Rotation!$A$2:$J$10,6,FALSE)</f>
        <v>0</v>
      </c>
      <c r="P540" s="14">
        <f>VLOOKUP($C540,Rotation!$A$2:$J$10,7,FALSE)</f>
        <v>0</v>
      </c>
      <c r="Q540" s="14">
        <f>VLOOKUP($C540,Rotation!$A$2:$J$10,8,FALSE)</f>
        <v>0</v>
      </c>
      <c r="R540" s="14">
        <f>VLOOKUP($C540,Rotation!$A$2:$J$10,9,FALSE)</f>
        <v>0</v>
      </c>
      <c r="S540" s="14">
        <f>VLOOKUP($C540,Rotation!$A$2:$J$10,10,FALSE)</f>
        <v>0</v>
      </c>
    </row>
    <row r="541" spans="1:19" ht="18">
      <c r="A541" s="14">
        <v>539</v>
      </c>
      <c r="B541" s="14" t="s">
        <v>69</v>
      </c>
      <c r="C541" s="14" t="str">
        <f>VLOOKUP(B541,Family!B:C,2,FALSE)</f>
        <v>A</v>
      </c>
      <c r="D541" s="15">
        <v>19</v>
      </c>
      <c r="E541" s="14">
        <f>ROUND(VLOOKUP(C541,'Production Plan'!A:B,2,FALSE),2)</f>
        <v>407.17</v>
      </c>
      <c r="F541" s="16">
        <v>45730</v>
      </c>
      <c r="G541" s="17">
        <f>F541+6*7</f>
        <v>45772</v>
      </c>
      <c r="H541" s="14">
        <f>G541-F541</f>
        <v>42</v>
      </c>
      <c r="I541" s="14">
        <f>ROUND(D541/E541,3)</f>
        <v>4.7E-2</v>
      </c>
      <c r="J541" s="14">
        <f>I541*24</f>
        <v>1.1280000000000001</v>
      </c>
      <c r="K541" s="14">
        <f>VLOOKUP($C541,Rotation!$A$2:$J$10,2,FALSE)</f>
        <v>1</v>
      </c>
      <c r="L541" s="14">
        <f>VLOOKUP($C541,Rotation!$A$2:$J$10,3,FALSE)</f>
        <v>1</v>
      </c>
      <c r="M541" s="14">
        <f>VLOOKUP($C541,Rotation!$A$2:$J$10,4,FALSE)</f>
        <v>1</v>
      </c>
      <c r="N541" s="14">
        <f>VLOOKUP($C541,Rotation!$A$2:$J$10,5,FALSE)</f>
        <v>0</v>
      </c>
      <c r="O541" s="14">
        <f>VLOOKUP($C541,Rotation!$A$2:$J$10,6,FALSE)</f>
        <v>0</v>
      </c>
      <c r="P541" s="14">
        <f>VLOOKUP($C541,Rotation!$A$2:$J$10,7,FALSE)</f>
        <v>0</v>
      </c>
      <c r="Q541" s="14">
        <f>VLOOKUP($C541,Rotation!$A$2:$J$10,8,FALSE)</f>
        <v>0</v>
      </c>
      <c r="R541" s="14">
        <f>VLOOKUP($C541,Rotation!$A$2:$J$10,9,FALSE)</f>
        <v>0</v>
      </c>
      <c r="S541" s="14">
        <f>VLOOKUP($C541,Rotation!$A$2:$J$10,10,FALSE)</f>
        <v>0</v>
      </c>
    </row>
    <row r="542" spans="1:19" ht="18">
      <c r="A542" s="14">
        <v>540</v>
      </c>
      <c r="B542" s="14" t="s">
        <v>65</v>
      </c>
      <c r="C542" s="14" t="str">
        <f>VLOOKUP(B542,Family!B:C,2,FALSE)</f>
        <v>A</v>
      </c>
      <c r="D542" s="15">
        <v>19</v>
      </c>
      <c r="E542" s="14">
        <f>ROUND(VLOOKUP(C542,'Production Plan'!A:B,2,FALSE),2)</f>
        <v>407.17</v>
      </c>
      <c r="F542" s="16">
        <v>45755</v>
      </c>
      <c r="G542" s="17">
        <f>F542+6*7</f>
        <v>45797</v>
      </c>
      <c r="H542" s="14">
        <f>G542-F542</f>
        <v>42</v>
      </c>
      <c r="I542" s="14">
        <f>ROUND(D542/E542,3)</f>
        <v>4.7E-2</v>
      </c>
      <c r="J542" s="14">
        <f>I542*24</f>
        <v>1.1280000000000001</v>
      </c>
      <c r="K542" s="14">
        <f>VLOOKUP($C542,Rotation!$A$2:$J$10,2,FALSE)</f>
        <v>1</v>
      </c>
      <c r="L542" s="14">
        <f>VLOOKUP($C542,Rotation!$A$2:$J$10,3,FALSE)</f>
        <v>1</v>
      </c>
      <c r="M542" s="14">
        <f>VLOOKUP($C542,Rotation!$A$2:$J$10,4,FALSE)</f>
        <v>1</v>
      </c>
      <c r="N542" s="14">
        <f>VLOOKUP($C542,Rotation!$A$2:$J$10,5,FALSE)</f>
        <v>0</v>
      </c>
      <c r="O542" s="14">
        <f>VLOOKUP($C542,Rotation!$A$2:$J$10,6,FALSE)</f>
        <v>0</v>
      </c>
      <c r="P542" s="14">
        <f>VLOOKUP($C542,Rotation!$A$2:$J$10,7,FALSE)</f>
        <v>0</v>
      </c>
      <c r="Q542" s="14">
        <f>VLOOKUP($C542,Rotation!$A$2:$J$10,8,FALSE)</f>
        <v>0</v>
      </c>
      <c r="R542" s="14">
        <f>VLOOKUP($C542,Rotation!$A$2:$J$10,9,FALSE)</f>
        <v>0</v>
      </c>
      <c r="S542" s="14">
        <f>VLOOKUP($C542,Rotation!$A$2:$J$10,10,FALSE)</f>
        <v>0</v>
      </c>
    </row>
    <row r="543" spans="1:19" ht="18">
      <c r="A543" s="14">
        <v>541</v>
      </c>
      <c r="B543" s="14" t="s">
        <v>65</v>
      </c>
      <c r="C543" s="14" t="str">
        <f>VLOOKUP(B543,Family!B:C,2,FALSE)</f>
        <v>A</v>
      </c>
      <c r="D543" s="15">
        <v>19</v>
      </c>
      <c r="E543" s="14">
        <f>ROUND(VLOOKUP(C543,'Production Plan'!A:B,2,FALSE),2)</f>
        <v>407.17</v>
      </c>
      <c r="F543" s="16">
        <v>45792</v>
      </c>
      <c r="G543" s="17">
        <f>F543+6*7</f>
        <v>45834</v>
      </c>
      <c r="H543" s="14">
        <f>G543-F543</f>
        <v>42</v>
      </c>
      <c r="I543" s="14">
        <f>ROUND(D543/E543,3)</f>
        <v>4.7E-2</v>
      </c>
      <c r="J543" s="14">
        <f>I543*24</f>
        <v>1.1280000000000001</v>
      </c>
      <c r="K543" s="14">
        <f>VLOOKUP($C543,Rotation!$A$2:$J$10,2,FALSE)</f>
        <v>1</v>
      </c>
      <c r="L543" s="14">
        <f>VLOOKUP($C543,Rotation!$A$2:$J$10,3,FALSE)</f>
        <v>1</v>
      </c>
      <c r="M543" s="14">
        <f>VLOOKUP($C543,Rotation!$A$2:$J$10,4,FALSE)</f>
        <v>1</v>
      </c>
      <c r="N543" s="14">
        <f>VLOOKUP($C543,Rotation!$A$2:$J$10,5,FALSE)</f>
        <v>0</v>
      </c>
      <c r="O543" s="14">
        <f>VLOOKUP($C543,Rotation!$A$2:$J$10,6,FALSE)</f>
        <v>0</v>
      </c>
      <c r="P543" s="14">
        <f>VLOOKUP($C543,Rotation!$A$2:$J$10,7,FALSE)</f>
        <v>0</v>
      </c>
      <c r="Q543" s="14">
        <f>VLOOKUP($C543,Rotation!$A$2:$J$10,8,FALSE)</f>
        <v>0</v>
      </c>
      <c r="R543" s="14">
        <f>VLOOKUP($C543,Rotation!$A$2:$J$10,9,FALSE)</f>
        <v>0</v>
      </c>
      <c r="S543" s="14">
        <f>VLOOKUP($C543,Rotation!$A$2:$J$10,10,FALSE)</f>
        <v>0</v>
      </c>
    </row>
    <row r="544" spans="1:19" ht="18">
      <c r="A544" s="14">
        <v>542</v>
      </c>
      <c r="B544" s="14" t="s">
        <v>64</v>
      </c>
      <c r="C544" s="14" t="str">
        <f>VLOOKUP(B544,Family!B:C,2,FALSE)</f>
        <v>A</v>
      </c>
      <c r="D544" s="15">
        <v>111</v>
      </c>
      <c r="E544" s="14">
        <f>ROUND(VLOOKUP(C544,'Production Plan'!A:B,2,FALSE),2)</f>
        <v>407.17</v>
      </c>
      <c r="F544" s="16">
        <v>45799</v>
      </c>
      <c r="G544" s="17">
        <f>F544+6*7</f>
        <v>45841</v>
      </c>
      <c r="H544" s="14">
        <f>G544-F544</f>
        <v>42</v>
      </c>
      <c r="I544" s="14">
        <f>ROUND(D544/E544,3)</f>
        <v>0.27300000000000002</v>
      </c>
      <c r="J544" s="14">
        <f>I544*24</f>
        <v>6.5520000000000005</v>
      </c>
      <c r="K544" s="14">
        <f>VLOOKUP($C544,Rotation!$A$2:$J$10,2,FALSE)</f>
        <v>1</v>
      </c>
      <c r="L544" s="14">
        <f>VLOOKUP($C544,Rotation!$A$2:$J$10,3,FALSE)</f>
        <v>1</v>
      </c>
      <c r="M544" s="14">
        <f>VLOOKUP($C544,Rotation!$A$2:$J$10,4,FALSE)</f>
        <v>1</v>
      </c>
      <c r="N544" s="14">
        <f>VLOOKUP($C544,Rotation!$A$2:$J$10,5,FALSE)</f>
        <v>0</v>
      </c>
      <c r="O544" s="14">
        <f>VLOOKUP($C544,Rotation!$A$2:$J$10,6,FALSE)</f>
        <v>0</v>
      </c>
      <c r="P544" s="14">
        <f>VLOOKUP($C544,Rotation!$A$2:$J$10,7,FALSE)</f>
        <v>0</v>
      </c>
      <c r="Q544" s="14">
        <f>VLOOKUP($C544,Rotation!$A$2:$J$10,8,FALSE)</f>
        <v>0</v>
      </c>
      <c r="R544" s="14">
        <f>VLOOKUP($C544,Rotation!$A$2:$J$10,9,FALSE)</f>
        <v>0</v>
      </c>
      <c r="S544" s="14">
        <f>VLOOKUP($C544,Rotation!$A$2:$J$10,10,FALSE)</f>
        <v>0</v>
      </c>
    </row>
    <row r="545" spans="1:19" ht="18">
      <c r="A545" s="14">
        <v>543</v>
      </c>
      <c r="B545" s="14" t="s">
        <v>70</v>
      </c>
      <c r="C545" s="14" t="str">
        <f>VLOOKUP(B545,Family!B:C,2,FALSE)</f>
        <v>A</v>
      </c>
      <c r="D545" s="15">
        <v>19</v>
      </c>
      <c r="E545" s="14">
        <f>ROUND(VLOOKUP(C545,'Production Plan'!A:B,2,FALSE),2)</f>
        <v>407.17</v>
      </c>
      <c r="F545" s="16">
        <v>45772</v>
      </c>
      <c r="G545" s="17">
        <f>F545+6*7</f>
        <v>45814</v>
      </c>
      <c r="H545" s="14">
        <f>G545-F545</f>
        <v>42</v>
      </c>
      <c r="I545" s="14">
        <f>ROUND(D545/E545,3)</f>
        <v>4.7E-2</v>
      </c>
      <c r="J545" s="14">
        <f>I545*24</f>
        <v>1.1280000000000001</v>
      </c>
      <c r="K545" s="14">
        <f>VLOOKUP($C545,Rotation!$A$2:$J$10,2,FALSE)</f>
        <v>1</v>
      </c>
      <c r="L545" s="14">
        <f>VLOOKUP($C545,Rotation!$A$2:$J$10,3,FALSE)</f>
        <v>1</v>
      </c>
      <c r="M545" s="14">
        <f>VLOOKUP($C545,Rotation!$A$2:$J$10,4,FALSE)</f>
        <v>1</v>
      </c>
      <c r="N545" s="14">
        <f>VLOOKUP($C545,Rotation!$A$2:$J$10,5,FALSE)</f>
        <v>0</v>
      </c>
      <c r="O545" s="14">
        <f>VLOOKUP($C545,Rotation!$A$2:$J$10,6,FALSE)</f>
        <v>0</v>
      </c>
      <c r="P545" s="14">
        <f>VLOOKUP($C545,Rotation!$A$2:$J$10,7,FALSE)</f>
        <v>0</v>
      </c>
      <c r="Q545" s="14">
        <f>VLOOKUP($C545,Rotation!$A$2:$J$10,8,FALSE)</f>
        <v>0</v>
      </c>
      <c r="R545" s="14">
        <f>VLOOKUP($C545,Rotation!$A$2:$J$10,9,FALSE)</f>
        <v>0</v>
      </c>
      <c r="S545" s="14">
        <f>VLOOKUP($C545,Rotation!$A$2:$J$10,10,FALSE)</f>
        <v>0</v>
      </c>
    </row>
    <row r="546" spans="1:19" ht="18">
      <c r="A546" s="14">
        <v>544</v>
      </c>
      <c r="B546" s="14" t="s">
        <v>70</v>
      </c>
      <c r="C546" s="14" t="str">
        <f>VLOOKUP(B546,Family!B:C,2,FALSE)</f>
        <v>A</v>
      </c>
      <c r="D546" s="15">
        <v>198</v>
      </c>
      <c r="E546" s="14">
        <f>ROUND(VLOOKUP(C546,'Production Plan'!A:B,2,FALSE),2)</f>
        <v>407.17</v>
      </c>
      <c r="F546" s="16">
        <v>45718</v>
      </c>
      <c r="G546" s="17">
        <f>F546+6*7</f>
        <v>45760</v>
      </c>
      <c r="H546" s="14">
        <f>G546-F546</f>
        <v>42</v>
      </c>
      <c r="I546" s="14">
        <f>ROUND(D546/E546,3)</f>
        <v>0.48599999999999999</v>
      </c>
      <c r="J546" s="14">
        <f>I546*24</f>
        <v>11.664</v>
      </c>
      <c r="K546" s="14">
        <f>VLOOKUP($C546,Rotation!$A$2:$J$10,2,FALSE)</f>
        <v>1</v>
      </c>
      <c r="L546" s="14">
        <f>VLOOKUP($C546,Rotation!$A$2:$J$10,3,FALSE)</f>
        <v>1</v>
      </c>
      <c r="M546" s="14">
        <f>VLOOKUP($C546,Rotation!$A$2:$J$10,4,FALSE)</f>
        <v>1</v>
      </c>
      <c r="N546" s="14">
        <f>VLOOKUP($C546,Rotation!$A$2:$J$10,5,FALSE)</f>
        <v>0</v>
      </c>
      <c r="O546" s="14">
        <f>VLOOKUP($C546,Rotation!$A$2:$J$10,6,FALSE)</f>
        <v>0</v>
      </c>
      <c r="P546" s="14">
        <f>VLOOKUP($C546,Rotation!$A$2:$J$10,7,FALSE)</f>
        <v>0</v>
      </c>
      <c r="Q546" s="14">
        <f>VLOOKUP($C546,Rotation!$A$2:$J$10,8,FALSE)</f>
        <v>0</v>
      </c>
      <c r="R546" s="14">
        <f>VLOOKUP($C546,Rotation!$A$2:$J$10,9,FALSE)</f>
        <v>0</v>
      </c>
      <c r="S546" s="14">
        <f>VLOOKUP($C546,Rotation!$A$2:$J$10,10,FALSE)</f>
        <v>0</v>
      </c>
    </row>
    <row r="547" spans="1:19" ht="18">
      <c r="A547" s="14">
        <v>545</v>
      </c>
      <c r="B547" s="14" t="s">
        <v>71</v>
      </c>
      <c r="C547" s="14" t="str">
        <f>VLOOKUP(B547,Family!B:C,2,FALSE)</f>
        <v>A</v>
      </c>
      <c r="D547" s="15">
        <v>391</v>
      </c>
      <c r="E547" s="14">
        <f>ROUND(VLOOKUP(C547,'Production Plan'!A:B,2,FALSE),2)</f>
        <v>407.17</v>
      </c>
      <c r="F547" s="16">
        <v>45722</v>
      </c>
      <c r="G547" s="17">
        <f>F547+6*7</f>
        <v>45764</v>
      </c>
      <c r="H547" s="14">
        <f>G547-F547</f>
        <v>42</v>
      </c>
      <c r="I547" s="14">
        <f>ROUND(D547/E547,3)</f>
        <v>0.96</v>
      </c>
      <c r="J547" s="14">
        <f>I547*24</f>
        <v>23.04</v>
      </c>
      <c r="K547" s="14">
        <f>VLOOKUP($C547,Rotation!$A$2:$J$10,2,FALSE)</f>
        <v>1</v>
      </c>
      <c r="L547" s="14">
        <f>VLOOKUP($C547,Rotation!$A$2:$J$10,3,FALSE)</f>
        <v>1</v>
      </c>
      <c r="M547" s="14">
        <f>VLOOKUP($C547,Rotation!$A$2:$J$10,4,FALSE)</f>
        <v>1</v>
      </c>
      <c r="N547" s="14">
        <f>VLOOKUP($C547,Rotation!$A$2:$J$10,5,FALSE)</f>
        <v>0</v>
      </c>
      <c r="O547" s="14">
        <f>VLOOKUP($C547,Rotation!$A$2:$J$10,6,FALSE)</f>
        <v>0</v>
      </c>
      <c r="P547" s="14">
        <f>VLOOKUP($C547,Rotation!$A$2:$J$10,7,FALSE)</f>
        <v>0</v>
      </c>
      <c r="Q547" s="14">
        <f>VLOOKUP($C547,Rotation!$A$2:$J$10,8,FALSE)</f>
        <v>0</v>
      </c>
      <c r="R547" s="14">
        <f>VLOOKUP($C547,Rotation!$A$2:$J$10,9,FALSE)</f>
        <v>0</v>
      </c>
      <c r="S547" s="14">
        <f>VLOOKUP($C547,Rotation!$A$2:$J$10,10,FALSE)</f>
        <v>0</v>
      </c>
    </row>
    <row r="548" spans="1:19" ht="18">
      <c r="A548" s="14">
        <v>546</v>
      </c>
      <c r="B548" s="14" t="s">
        <v>65</v>
      </c>
      <c r="C548" s="14" t="str">
        <f>VLOOKUP(B548,Family!B:C,2,FALSE)</f>
        <v>A</v>
      </c>
      <c r="D548" s="15">
        <v>19</v>
      </c>
      <c r="E548" s="14">
        <f>ROUND(VLOOKUP(C548,'Production Plan'!A:B,2,FALSE),2)</f>
        <v>407.17</v>
      </c>
      <c r="F548" s="16">
        <v>45792</v>
      </c>
      <c r="G548" s="17">
        <f>F548+6*7</f>
        <v>45834</v>
      </c>
      <c r="H548" s="14">
        <f>G548-F548</f>
        <v>42</v>
      </c>
      <c r="I548" s="14">
        <f>ROUND(D548/E548,3)</f>
        <v>4.7E-2</v>
      </c>
      <c r="J548" s="14">
        <f>I548*24</f>
        <v>1.1280000000000001</v>
      </c>
      <c r="K548" s="14">
        <f>VLOOKUP($C548,Rotation!$A$2:$J$10,2,FALSE)</f>
        <v>1</v>
      </c>
      <c r="L548" s="14">
        <f>VLOOKUP($C548,Rotation!$A$2:$J$10,3,FALSE)</f>
        <v>1</v>
      </c>
      <c r="M548" s="14">
        <f>VLOOKUP($C548,Rotation!$A$2:$J$10,4,FALSE)</f>
        <v>1</v>
      </c>
      <c r="N548" s="14">
        <f>VLOOKUP($C548,Rotation!$A$2:$J$10,5,FALSE)</f>
        <v>0</v>
      </c>
      <c r="O548" s="14">
        <f>VLOOKUP($C548,Rotation!$A$2:$J$10,6,FALSE)</f>
        <v>0</v>
      </c>
      <c r="P548" s="14">
        <f>VLOOKUP($C548,Rotation!$A$2:$J$10,7,FALSE)</f>
        <v>0</v>
      </c>
      <c r="Q548" s="14">
        <f>VLOOKUP($C548,Rotation!$A$2:$J$10,8,FALSE)</f>
        <v>0</v>
      </c>
      <c r="R548" s="14">
        <f>VLOOKUP($C548,Rotation!$A$2:$J$10,9,FALSE)</f>
        <v>0</v>
      </c>
      <c r="S548" s="14">
        <f>VLOOKUP($C548,Rotation!$A$2:$J$10,10,FALSE)</f>
        <v>0</v>
      </c>
    </row>
    <row r="549" spans="1:19" ht="18">
      <c r="A549" s="14">
        <v>547</v>
      </c>
      <c r="B549" s="14" t="s">
        <v>65</v>
      </c>
      <c r="C549" s="14" t="str">
        <f>VLOOKUP(B549,Family!B:C,2,FALSE)</f>
        <v>A</v>
      </c>
      <c r="D549" s="15">
        <v>19</v>
      </c>
      <c r="E549" s="14">
        <f>ROUND(VLOOKUP(C549,'Production Plan'!A:B,2,FALSE),2)</f>
        <v>407.17</v>
      </c>
      <c r="F549" s="16">
        <v>45792</v>
      </c>
      <c r="G549" s="17">
        <f>F549+6*7</f>
        <v>45834</v>
      </c>
      <c r="H549" s="14">
        <f>G549-F549</f>
        <v>42</v>
      </c>
      <c r="I549" s="14">
        <f>ROUND(D549/E549,3)</f>
        <v>4.7E-2</v>
      </c>
      <c r="J549" s="14">
        <f>I549*24</f>
        <v>1.1280000000000001</v>
      </c>
      <c r="K549" s="14">
        <f>VLOOKUP($C549,Rotation!$A$2:$J$10,2,FALSE)</f>
        <v>1</v>
      </c>
      <c r="L549" s="14">
        <f>VLOOKUP($C549,Rotation!$A$2:$J$10,3,FALSE)</f>
        <v>1</v>
      </c>
      <c r="M549" s="14">
        <f>VLOOKUP($C549,Rotation!$A$2:$J$10,4,FALSE)</f>
        <v>1</v>
      </c>
      <c r="N549" s="14">
        <f>VLOOKUP($C549,Rotation!$A$2:$J$10,5,FALSE)</f>
        <v>0</v>
      </c>
      <c r="O549" s="14">
        <f>VLOOKUP($C549,Rotation!$A$2:$J$10,6,FALSE)</f>
        <v>0</v>
      </c>
      <c r="P549" s="14">
        <f>VLOOKUP($C549,Rotation!$A$2:$J$10,7,FALSE)</f>
        <v>0</v>
      </c>
      <c r="Q549" s="14">
        <f>VLOOKUP($C549,Rotation!$A$2:$J$10,8,FALSE)</f>
        <v>0</v>
      </c>
      <c r="R549" s="14">
        <f>VLOOKUP($C549,Rotation!$A$2:$J$10,9,FALSE)</f>
        <v>0</v>
      </c>
      <c r="S549" s="14">
        <f>VLOOKUP($C549,Rotation!$A$2:$J$10,10,FALSE)</f>
        <v>0</v>
      </c>
    </row>
    <row r="550" spans="1:19" ht="18">
      <c r="A550" s="14">
        <v>548</v>
      </c>
      <c r="B550" s="14" t="s">
        <v>64</v>
      </c>
      <c r="C550" s="14" t="str">
        <f>VLOOKUP(B550,Family!B:C,2,FALSE)</f>
        <v>A</v>
      </c>
      <c r="D550" s="15">
        <v>111</v>
      </c>
      <c r="E550" s="14">
        <f>ROUND(VLOOKUP(C550,'Production Plan'!A:B,2,FALSE),2)</f>
        <v>407.17</v>
      </c>
      <c r="F550" s="16">
        <v>45799</v>
      </c>
      <c r="G550" s="17">
        <f>F550+6*7</f>
        <v>45841</v>
      </c>
      <c r="H550" s="14">
        <f>G550-F550</f>
        <v>42</v>
      </c>
      <c r="I550" s="14">
        <f>ROUND(D550/E550,3)</f>
        <v>0.27300000000000002</v>
      </c>
      <c r="J550" s="14">
        <f>I550*24</f>
        <v>6.5520000000000005</v>
      </c>
      <c r="K550" s="14">
        <f>VLOOKUP($C550,Rotation!$A$2:$J$10,2,FALSE)</f>
        <v>1</v>
      </c>
      <c r="L550" s="14">
        <f>VLOOKUP($C550,Rotation!$A$2:$J$10,3,FALSE)</f>
        <v>1</v>
      </c>
      <c r="M550" s="14">
        <f>VLOOKUP($C550,Rotation!$A$2:$J$10,4,FALSE)</f>
        <v>1</v>
      </c>
      <c r="N550" s="14">
        <f>VLOOKUP($C550,Rotation!$A$2:$J$10,5,FALSE)</f>
        <v>0</v>
      </c>
      <c r="O550" s="14">
        <f>VLOOKUP($C550,Rotation!$A$2:$J$10,6,FALSE)</f>
        <v>0</v>
      </c>
      <c r="P550" s="14">
        <f>VLOOKUP($C550,Rotation!$A$2:$J$10,7,FALSE)</f>
        <v>0</v>
      </c>
      <c r="Q550" s="14">
        <f>VLOOKUP($C550,Rotation!$A$2:$J$10,8,FALSE)</f>
        <v>0</v>
      </c>
      <c r="R550" s="14">
        <f>VLOOKUP($C550,Rotation!$A$2:$J$10,9,FALSE)</f>
        <v>0</v>
      </c>
      <c r="S550" s="14">
        <f>VLOOKUP($C550,Rotation!$A$2:$J$10,10,FALSE)</f>
        <v>0</v>
      </c>
    </row>
    <row r="551" spans="1:19" ht="18">
      <c r="A551" s="14">
        <v>549</v>
      </c>
      <c r="B551" s="14" t="s">
        <v>106</v>
      </c>
      <c r="C551" s="14" t="str">
        <f>VLOOKUP(B551,Family!B:C,2,FALSE)</f>
        <v>P</v>
      </c>
      <c r="D551" s="15">
        <v>19</v>
      </c>
      <c r="E551" s="14">
        <f>ROUND(VLOOKUP(C551,'Production Plan'!A:B,2,FALSE),2)</f>
        <v>409.15</v>
      </c>
      <c r="F551" s="16">
        <v>45743</v>
      </c>
      <c r="G551" s="17">
        <f>F551+6*7</f>
        <v>45785</v>
      </c>
      <c r="H551" s="14">
        <f>G551-F551</f>
        <v>42</v>
      </c>
      <c r="I551" s="14">
        <f>ROUND(D551/E551,3)</f>
        <v>4.5999999999999999E-2</v>
      </c>
      <c r="J551" s="14">
        <f>I551*24</f>
        <v>1.1040000000000001</v>
      </c>
      <c r="K551" s="14">
        <f>VLOOKUP($C551,Rotation!$A$2:$J$10,2,FALSE)</f>
        <v>1</v>
      </c>
      <c r="L551" s="14">
        <f>VLOOKUP($C551,Rotation!$A$2:$J$10,3,FALSE)</f>
        <v>1</v>
      </c>
      <c r="M551" s="14">
        <f>VLOOKUP($C551,Rotation!$A$2:$J$10,4,FALSE)</f>
        <v>0</v>
      </c>
      <c r="N551" s="14">
        <f>VLOOKUP($C551,Rotation!$A$2:$J$10,5,FALSE)</f>
        <v>0</v>
      </c>
      <c r="O551" s="14">
        <f>VLOOKUP($C551,Rotation!$A$2:$J$10,6,FALSE)</f>
        <v>0</v>
      </c>
      <c r="P551" s="14">
        <f>VLOOKUP($C551,Rotation!$A$2:$J$10,7,FALSE)</f>
        <v>0</v>
      </c>
      <c r="Q551" s="14">
        <f>VLOOKUP($C551,Rotation!$A$2:$J$10,8,FALSE)</f>
        <v>0</v>
      </c>
      <c r="R551" s="14">
        <f>VLOOKUP($C551,Rotation!$A$2:$J$10,9,FALSE)</f>
        <v>0</v>
      </c>
      <c r="S551" s="14">
        <f>VLOOKUP($C551,Rotation!$A$2:$J$10,10,FALSE)</f>
        <v>0</v>
      </c>
    </row>
    <row r="552" spans="1:19" ht="18">
      <c r="A552" s="14">
        <v>550</v>
      </c>
      <c r="B552" s="14" t="s">
        <v>77</v>
      </c>
      <c r="C552" s="14" t="str">
        <f>VLOOKUP(B552,Family!B:C,2,FALSE)</f>
        <v>E</v>
      </c>
      <c r="D552" s="15">
        <v>18</v>
      </c>
      <c r="E552" s="14">
        <f>ROUND(VLOOKUP(C552,'Production Plan'!A:B,2,FALSE),2)</f>
        <v>333.66</v>
      </c>
      <c r="F552" s="16">
        <v>45743</v>
      </c>
      <c r="G552" s="17">
        <f>F552+6*7</f>
        <v>45785</v>
      </c>
      <c r="H552" s="14">
        <f>G552-F552</f>
        <v>42</v>
      </c>
      <c r="I552" s="14">
        <f>ROUND(D552/E552,3)</f>
        <v>5.3999999999999999E-2</v>
      </c>
      <c r="J552" s="14">
        <f>I552*24</f>
        <v>1.296</v>
      </c>
      <c r="K552" s="14">
        <f>VLOOKUP($C552,Rotation!$A$2:$J$10,2,FALSE)</f>
        <v>1</v>
      </c>
      <c r="L552" s="14">
        <f>VLOOKUP($C552,Rotation!$A$2:$J$10,3,FALSE)</f>
        <v>0</v>
      </c>
      <c r="M552" s="14">
        <f>VLOOKUP($C552,Rotation!$A$2:$J$10,4,FALSE)</f>
        <v>0</v>
      </c>
      <c r="N552" s="14">
        <f>VLOOKUP($C552,Rotation!$A$2:$J$10,5,FALSE)</f>
        <v>0</v>
      </c>
      <c r="O552" s="14">
        <f>VLOOKUP($C552,Rotation!$A$2:$J$10,6,FALSE)</f>
        <v>0</v>
      </c>
      <c r="P552" s="14">
        <f>VLOOKUP($C552,Rotation!$A$2:$J$10,7,FALSE)</f>
        <v>1</v>
      </c>
      <c r="Q552" s="14">
        <f>VLOOKUP($C552,Rotation!$A$2:$J$10,8,FALSE)</f>
        <v>0</v>
      </c>
      <c r="R552" s="14">
        <f>VLOOKUP($C552,Rotation!$A$2:$J$10,9,FALSE)</f>
        <v>0</v>
      </c>
      <c r="S552" s="14">
        <f>VLOOKUP($C552,Rotation!$A$2:$J$10,10,FALSE)</f>
        <v>0</v>
      </c>
    </row>
    <row r="553" spans="1:19" ht="18">
      <c r="A553" s="14">
        <v>551</v>
      </c>
      <c r="B553" s="14" t="s">
        <v>77</v>
      </c>
      <c r="C553" s="14" t="str">
        <f>VLOOKUP(B553,Family!B:C,2,FALSE)</f>
        <v>E</v>
      </c>
      <c r="D553" s="15">
        <v>18</v>
      </c>
      <c r="E553" s="14">
        <f>ROUND(VLOOKUP(C553,'Production Plan'!A:B,2,FALSE),2)</f>
        <v>333.66</v>
      </c>
      <c r="F553" s="16">
        <v>45754</v>
      </c>
      <c r="G553" s="17">
        <f>F553+6*7</f>
        <v>45796</v>
      </c>
      <c r="H553" s="14">
        <f>G553-F553</f>
        <v>42</v>
      </c>
      <c r="I553" s="14">
        <f>ROUND(D553/E553,3)</f>
        <v>5.3999999999999999E-2</v>
      </c>
      <c r="J553" s="14">
        <f>I553*24</f>
        <v>1.296</v>
      </c>
      <c r="K553" s="14">
        <f>VLOOKUP($C553,Rotation!$A$2:$J$10,2,FALSE)</f>
        <v>1</v>
      </c>
      <c r="L553" s="14">
        <f>VLOOKUP($C553,Rotation!$A$2:$J$10,3,FALSE)</f>
        <v>0</v>
      </c>
      <c r="M553" s="14">
        <f>VLOOKUP($C553,Rotation!$A$2:$J$10,4,FALSE)</f>
        <v>0</v>
      </c>
      <c r="N553" s="14">
        <f>VLOOKUP($C553,Rotation!$A$2:$J$10,5,FALSE)</f>
        <v>0</v>
      </c>
      <c r="O553" s="14">
        <f>VLOOKUP($C553,Rotation!$A$2:$J$10,6,FALSE)</f>
        <v>0</v>
      </c>
      <c r="P553" s="14">
        <f>VLOOKUP($C553,Rotation!$A$2:$J$10,7,FALSE)</f>
        <v>1</v>
      </c>
      <c r="Q553" s="14">
        <f>VLOOKUP($C553,Rotation!$A$2:$J$10,8,FALSE)</f>
        <v>0</v>
      </c>
      <c r="R553" s="14">
        <f>VLOOKUP($C553,Rotation!$A$2:$J$10,9,FALSE)</f>
        <v>0</v>
      </c>
      <c r="S553" s="14">
        <f>VLOOKUP($C553,Rotation!$A$2:$J$10,10,FALSE)</f>
        <v>0</v>
      </c>
    </row>
    <row r="554" spans="1:19" ht="18">
      <c r="A554" s="14">
        <v>552</v>
      </c>
      <c r="B554" s="14" t="s">
        <v>91</v>
      </c>
      <c r="C554" s="14" t="str">
        <f>VLOOKUP(B554,Family!B:C,2,FALSE)</f>
        <v>E</v>
      </c>
      <c r="D554" s="15">
        <v>18</v>
      </c>
      <c r="E554" s="14">
        <f>ROUND(VLOOKUP(C554,'Production Plan'!A:B,2,FALSE),2)</f>
        <v>333.66</v>
      </c>
      <c r="F554" s="16">
        <v>45754</v>
      </c>
      <c r="G554" s="17">
        <f>F554+6*7</f>
        <v>45796</v>
      </c>
      <c r="H554" s="14">
        <f>G554-F554</f>
        <v>42</v>
      </c>
      <c r="I554" s="14">
        <f>ROUND(D554/E554,3)</f>
        <v>5.3999999999999999E-2</v>
      </c>
      <c r="J554" s="14">
        <f>I554*24</f>
        <v>1.296</v>
      </c>
      <c r="K554" s="14">
        <f>VLOOKUP($C554,Rotation!$A$2:$J$10,2,FALSE)</f>
        <v>1</v>
      </c>
      <c r="L554" s="14">
        <f>VLOOKUP($C554,Rotation!$A$2:$J$10,3,FALSE)</f>
        <v>0</v>
      </c>
      <c r="M554" s="14">
        <f>VLOOKUP($C554,Rotation!$A$2:$J$10,4,FALSE)</f>
        <v>0</v>
      </c>
      <c r="N554" s="14">
        <f>VLOOKUP($C554,Rotation!$A$2:$J$10,5,FALSE)</f>
        <v>0</v>
      </c>
      <c r="O554" s="14">
        <f>VLOOKUP($C554,Rotation!$A$2:$J$10,6,FALSE)</f>
        <v>0</v>
      </c>
      <c r="P554" s="14">
        <f>VLOOKUP($C554,Rotation!$A$2:$J$10,7,FALSE)</f>
        <v>1</v>
      </c>
      <c r="Q554" s="14">
        <f>VLOOKUP($C554,Rotation!$A$2:$J$10,8,FALSE)</f>
        <v>0</v>
      </c>
      <c r="R554" s="14">
        <f>VLOOKUP($C554,Rotation!$A$2:$J$10,9,FALSE)</f>
        <v>0</v>
      </c>
      <c r="S554" s="14">
        <f>VLOOKUP($C554,Rotation!$A$2:$J$10,10,FALSE)</f>
        <v>0</v>
      </c>
    </row>
    <row r="555" spans="1:19" ht="18">
      <c r="A555" s="14">
        <v>553</v>
      </c>
      <c r="B555" s="14" t="s">
        <v>80</v>
      </c>
      <c r="C555" s="14" t="str">
        <f>VLOOKUP(B555,Family!B:C,2,FALSE)</f>
        <v>C</v>
      </c>
      <c r="D555" s="15">
        <v>19</v>
      </c>
      <c r="E555" s="14">
        <f>ROUND(VLOOKUP(C555,'Production Plan'!A:B,2,FALSE),2)</f>
        <v>411.11</v>
      </c>
      <c r="F555" s="16">
        <v>45754</v>
      </c>
      <c r="G555" s="17">
        <f>F555+6*7</f>
        <v>45796</v>
      </c>
      <c r="H555" s="14">
        <f>G555-F555</f>
        <v>42</v>
      </c>
      <c r="I555" s="14">
        <f>ROUND(D555/E555,3)</f>
        <v>4.5999999999999999E-2</v>
      </c>
      <c r="J555" s="14">
        <f>I555*24</f>
        <v>1.1040000000000001</v>
      </c>
      <c r="K555" s="14">
        <f>VLOOKUP($C555,Rotation!$A$2:$J$10,2,FALSE)</f>
        <v>1</v>
      </c>
      <c r="L555" s="14">
        <f>VLOOKUP($C555,Rotation!$A$2:$J$10,3,FALSE)</f>
        <v>0</v>
      </c>
      <c r="M555" s="14">
        <f>VLOOKUP($C555,Rotation!$A$2:$J$10,4,FALSE)</f>
        <v>0</v>
      </c>
      <c r="N555" s="14">
        <f>VLOOKUP($C555,Rotation!$A$2:$J$10,5,FALSE)</f>
        <v>0</v>
      </c>
      <c r="O555" s="14">
        <f>VLOOKUP($C555,Rotation!$A$2:$J$10,6,FALSE)</f>
        <v>1</v>
      </c>
      <c r="P555" s="14">
        <f>VLOOKUP($C555,Rotation!$A$2:$J$10,7,FALSE)</f>
        <v>0</v>
      </c>
      <c r="Q555" s="14">
        <f>VLOOKUP($C555,Rotation!$A$2:$J$10,8,FALSE)</f>
        <v>0</v>
      </c>
      <c r="R555" s="14">
        <f>VLOOKUP($C555,Rotation!$A$2:$J$10,9,FALSE)</f>
        <v>0</v>
      </c>
      <c r="S555" s="14">
        <f>VLOOKUP($C555,Rotation!$A$2:$J$10,10,FALSE)</f>
        <v>0</v>
      </c>
    </row>
    <row r="556" spans="1:19" ht="18">
      <c r="A556" s="14">
        <v>554</v>
      </c>
      <c r="B556" s="14" t="s">
        <v>80</v>
      </c>
      <c r="C556" s="14" t="str">
        <f>VLOOKUP(B556,Family!B:C,2,FALSE)</f>
        <v>C</v>
      </c>
      <c r="D556" s="15">
        <v>19</v>
      </c>
      <c r="E556" s="14">
        <f>ROUND(VLOOKUP(C556,'Production Plan'!A:B,2,FALSE),2)</f>
        <v>411.11</v>
      </c>
      <c r="F556" s="16">
        <v>45754</v>
      </c>
      <c r="G556" s="17">
        <f>F556+6*7</f>
        <v>45796</v>
      </c>
      <c r="H556" s="14">
        <f>G556-F556</f>
        <v>42</v>
      </c>
      <c r="I556" s="14">
        <f>ROUND(D556/E556,3)</f>
        <v>4.5999999999999999E-2</v>
      </c>
      <c r="J556" s="14">
        <f>I556*24</f>
        <v>1.1040000000000001</v>
      </c>
      <c r="K556" s="14">
        <f>VLOOKUP($C556,Rotation!$A$2:$J$10,2,FALSE)</f>
        <v>1</v>
      </c>
      <c r="L556" s="14">
        <f>VLOOKUP($C556,Rotation!$A$2:$J$10,3,FALSE)</f>
        <v>0</v>
      </c>
      <c r="M556" s="14">
        <f>VLOOKUP($C556,Rotation!$A$2:$J$10,4,FALSE)</f>
        <v>0</v>
      </c>
      <c r="N556" s="14">
        <f>VLOOKUP($C556,Rotation!$A$2:$J$10,5,FALSE)</f>
        <v>0</v>
      </c>
      <c r="O556" s="14">
        <f>VLOOKUP($C556,Rotation!$A$2:$J$10,6,FALSE)</f>
        <v>1</v>
      </c>
      <c r="P556" s="14">
        <f>VLOOKUP($C556,Rotation!$A$2:$J$10,7,FALSE)</f>
        <v>0</v>
      </c>
      <c r="Q556" s="14">
        <f>VLOOKUP($C556,Rotation!$A$2:$J$10,8,FALSE)</f>
        <v>0</v>
      </c>
      <c r="R556" s="14">
        <f>VLOOKUP($C556,Rotation!$A$2:$J$10,9,FALSE)</f>
        <v>0</v>
      </c>
      <c r="S556" s="14">
        <f>VLOOKUP($C556,Rotation!$A$2:$J$10,10,FALSE)</f>
        <v>0</v>
      </c>
    </row>
    <row r="557" spans="1:19" ht="18">
      <c r="A557" s="14">
        <v>555</v>
      </c>
      <c r="B557" s="14" t="s">
        <v>80</v>
      </c>
      <c r="C557" s="14" t="str">
        <f>VLOOKUP(B557,Family!B:C,2,FALSE)</f>
        <v>C</v>
      </c>
      <c r="D557" s="15">
        <v>19</v>
      </c>
      <c r="E557" s="14">
        <f>ROUND(VLOOKUP(C557,'Production Plan'!A:B,2,FALSE),2)</f>
        <v>411.11</v>
      </c>
      <c r="F557" s="16">
        <v>45754</v>
      </c>
      <c r="G557" s="17">
        <f>F557+6*7</f>
        <v>45796</v>
      </c>
      <c r="H557" s="14">
        <f>G557-F557</f>
        <v>42</v>
      </c>
      <c r="I557" s="14">
        <f>ROUND(D557/E557,3)</f>
        <v>4.5999999999999999E-2</v>
      </c>
      <c r="J557" s="14">
        <f>I557*24</f>
        <v>1.1040000000000001</v>
      </c>
      <c r="K557" s="14">
        <f>VLOOKUP($C557,Rotation!$A$2:$J$10,2,FALSE)</f>
        <v>1</v>
      </c>
      <c r="L557" s="14">
        <f>VLOOKUP($C557,Rotation!$A$2:$J$10,3,FALSE)</f>
        <v>0</v>
      </c>
      <c r="M557" s="14">
        <f>VLOOKUP($C557,Rotation!$A$2:$J$10,4,FALSE)</f>
        <v>0</v>
      </c>
      <c r="N557" s="14">
        <f>VLOOKUP($C557,Rotation!$A$2:$J$10,5,FALSE)</f>
        <v>0</v>
      </c>
      <c r="O557" s="14">
        <f>VLOOKUP($C557,Rotation!$A$2:$J$10,6,FALSE)</f>
        <v>1</v>
      </c>
      <c r="P557" s="14">
        <f>VLOOKUP($C557,Rotation!$A$2:$J$10,7,FALSE)</f>
        <v>0</v>
      </c>
      <c r="Q557" s="14">
        <f>VLOOKUP($C557,Rotation!$A$2:$J$10,8,FALSE)</f>
        <v>0</v>
      </c>
      <c r="R557" s="14">
        <f>VLOOKUP($C557,Rotation!$A$2:$J$10,9,FALSE)</f>
        <v>0</v>
      </c>
      <c r="S557" s="14">
        <f>VLOOKUP($C557,Rotation!$A$2:$J$10,10,FALSE)</f>
        <v>0</v>
      </c>
    </row>
    <row r="558" spans="1:19" ht="18">
      <c r="A558" s="14">
        <v>556</v>
      </c>
      <c r="B558" s="14" t="s">
        <v>100</v>
      </c>
      <c r="C558" s="14" t="str">
        <f>VLOOKUP(B558,Family!B:C,2,FALSE)</f>
        <v>H</v>
      </c>
      <c r="D558" s="15">
        <v>23</v>
      </c>
      <c r="E558" s="14">
        <f>ROUND(VLOOKUP(C558,'Production Plan'!A:B,2,FALSE),2)</f>
        <v>402.02</v>
      </c>
      <c r="F558" s="16">
        <v>45764</v>
      </c>
      <c r="G558" s="17">
        <f>F558+6*7</f>
        <v>45806</v>
      </c>
      <c r="H558" s="14">
        <f>G558-F558</f>
        <v>42</v>
      </c>
      <c r="I558" s="14">
        <f>ROUND(D558/E558,3)</f>
        <v>5.7000000000000002E-2</v>
      </c>
      <c r="J558" s="14">
        <f>I558*24</f>
        <v>1.3680000000000001</v>
      </c>
      <c r="K558" s="14">
        <f>VLOOKUP($C558,Rotation!$A$2:$J$10,2,FALSE)</f>
        <v>0</v>
      </c>
      <c r="L558" s="14">
        <f>VLOOKUP($C558,Rotation!$A$2:$J$10,3,FALSE)</f>
        <v>0</v>
      </c>
      <c r="M558" s="14">
        <f>VLOOKUP($C558,Rotation!$A$2:$J$10,4,FALSE)</f>
        <v>1</v>
      </c>
      <c r="N558" s="14">
        <f>VLOOKUP($C558,Rotation!$A$2:$J$10,5,FALSE)</f>
        <v>1</v>
      </c>
      <c r="O558" s="14">
        <f>VLOOKUP($C558,Rotation!$A$2:$J$10,6,FALSE)</f>
        <v>0</v>
      </c>
      <c r="P558" s="14">
        <f>VLOOKUP($C558,Rotation!$A$2:$J$10,7,FALSE)</f>
        <v>0</v>
      </c>
      <c r="Q558" s="14">
        <f>VLOOKUP($C558,Rotation!$A$2:$J$10,8,FALSE)</f>
        <v>0</v>
      </c>
      <c r="R558" s="14">
        <f>VLOOKUP($C558,Rotation!$A$2:$J$10,9,FALSE)</f>
        <v>0</v>
      </c>
      <c r="S558" s="14">
        <f>VLOOKUP($C558,Rotation!$A$2:$J$10,10,FALSE)</f>
        <v>0</v>
      </c>
    </row>
    <row r="559" spans="1:19" ht="18">
      <c r="A559" s="14">
        <v>557</v>
      </c>
      <c r="B559" s="14" t="s">
        <v>99</v>
      </c>
      <c r="C559" s="14" t="str">
        <f>VLOOKUP(B559,Family!B:C,2,FALSE)</f>
        <v>N</v>
      </c>
      <c r="D559" s="15">
        <v>238</v>
      </c>
      <c r="E559" s="14">
        <f>ROUND(VLOOKUP(C559,'Production Plan'!A:B,2,FALSE),2)</f>
        <v>334.18</v>
      </c>
      <c r="F559" s="16">
        <v>45791</v>
      </c>
      <c r="G559" s="17">
        <f>F559+6*7</f>
        <v>45833</v>
      </c>
      <c r="H559" s="14">
        <f>G559-F559</f>
        <v>42</v>
      </c>
      <c r="I559" s="14">
        <f>ROUND(D559/E559,3)</f>
        <v>0.71199999999999997</v>
      </c>
      <c r="J559" s="14">
        <f>I559*24</f>
        <v>17.088000000000001</v>
      </c>
      <c r="K559" s="14">
        <f>VLOOKUP($C559,Rotation!$A$2:$J$10,2,FALSE)</f>
        <v>1</v>
      </c>
      <c r="L559" s="14">
        <f>VLOOKUP($C559,Rotation!$A$2:$J$10,3,FALSE)</f>
        <v>0</v>
      </c>
      <c r="M559" s="14">
        <f>VLOOKUP($C559,Rotation!$A$2:$J$10,4,FALSE)</f>
        <v>0</v>
      </c>
      <c r="N559" s="14">
        <f>VLOOKUP($C559,Rotation!$A$2:$J$10,5,FALSE)</f>
        <v>0</v>
      </c>
      <c r="O559" s="14">
        <f>VLOOKUP($C559,Rotation!$A$2:$J$10,6,FALSE)</f>
        <v>0</v>
      </c>
      <c r="P559" s="14">
        <f>VLOOKUP($C559,Rotation!$A$2:$J$10,7,FALSE)</f>
        <v>0</v>
      </c>
      <c r="Q559" s="14">
        <f>VLOOKUP($C559,Rotation!$A$2:$J$10,8,FALSE)</f>
        <v>1</v>
      </c>
      <c r="R559" s="14">
        <f>VLOOKUP($C559,Rotation!$A$2:$J$10,9,FALSE)</f>
        <v>0</v>
      </c>
      <c r="S559" s="14">
        <f>VLOOKUP($C559,Rotation!$A$2:$J$10,10,FALSE)</f>
        <v>0</v>
      </c>
    </row>
    <row r="560" spans="1:19" ht="18">
      <c r="A560" s="14">
        <v>558</v>
      </c>
      <c r="B560" s="14" t="s">
        <v>100</v>
      </c>
      <c r="C560" s="14" t="str">
        <f>VLOOKUP(B560,Family!B:C,2,FALSE)</f>
        <v>H</v>
      </c>
      <c r="D560" s="15">
        <v>398</v>
      </c>
      <c r="E560" s="14">
        <f>ROUND(VLOOKUP(C560,'Production Plan'!A:B,2,FALSE),2)</f>
        <v>402.02</v>
      </c>
      <c r="F560" s="16">
        <v>45803</v>
      </c>
      <c r="G560" s="17">
        <f>F560+6*7</f>
        <v>45845</v>
      </c>
      <c r="H560" s="14">
        <f>G560-F560</f>
        <v>42</v>
      </c>
      <c r="I560" s="14">
        <f>ROUND(D560/E560,3)</f>
        <v>0.99</v>
      </c>
      <c r="J560" s="14">
        <f>I560*24</f>
        <v>23.759999999999998</v>
      </c>
      <c r="K560" s="14">
        <f>VLOOKUP($C560,Rotation!$A$2:$J$10,2,FALSE)</f>
        <v>0</v>
      </c>
      <c r="L560" s="14">
        <f>VLOOKUP($C560,Rotation!$A$2:$J$10,3,FALSE)</f>
        <v>0</v>
      </c>
      <c r="M560" s="14">
        <f>VLOOKUP($C560,Rotation!$A$2:$J$10,4,FALSE)</f>
        <v>1</v>
      </c>
      <c r="N560" s="14">
        <f>VLOOKUP($C560,Rotation!$A$2:$J$10,5,FALSE)</f>
        <v>1</v>
      </c>
      <c r="O560" s="14">
        <f>VLOOKUP($C560,Rotation!$A$2:$J$10,6,FALSE)</f>
        <v>0</v>
      </c>
      <c r="P560" s="14">
        <f>VLOOKUP($C560,Rotation!$A$2:$J$10,7,FALSE)</f>
        <v>0</v>
      </c>
      <c r="Q560" s="14">
        <f>VLOOKUP($C560,Rotation!$A$2:$J$10,8,FALSE)</f>
        <v>0</v>
      </c>
      <c r="R560" s="14">
        <f>VLOOKUP($C560,Rotation!$A$2:$J$10,9,FALSE)</f>
        <v>0</v>
      </c>
      <c r="S560" s="14">
        <f>VLOOKUP($C560,Rotation!$A$2:$J$10,10,FALSE)</f>
        <v>0</v>
      </c>
    </row>
    <row r="561" spans="1:19" ht="18">
      <c r="A561" s="14">
        <v>559</v>
      </c>
      <c r="B561" s="14" t="s">
        <v>98</v>
      </c>
      <c r="C561" s="14" t="str">
        <f>VLOOKUP(B561,Family!B:C,2,FALSE)</f>
        <v>H</v>
      </c>
      <c r="D561" s="15">
        <v>19</v>
      </c>
      <c r="E561" s="14">
        <f>ROUND(VLOOKUP(C561,'Production Plan'!A:B,2,FALSE),2)</f>
        <v>402.02</v>
      </c>
      <c r="F561" s="16">
        <v>45706</v>
      </c>
      <c r="G561" s="17">
        <f>F561+6*7</f>
        <v>45748</v>
      </c>
      <c r="H561" s="14">
        <f>G561-F561</f>
        <v>42</v>
      </c>
      <c r="I561" s="14">
        <f>ROUND(D561/E561,3)</f>
        <v>4.7E-2</v>
      </c>
      <c r="J561" s="14">
        <f>I561*24</f>
        <v>1.1280000000000001</v>
      </c>
      <c r="K561" s="14">
        <f>VLOOKUP($C561,Rotation!$A$2:$J$10,2,FALSE)</f>
        <v>0</v>
      </c>
      <c r="L561" s="14">
        <f>VLOOKUP($C561,Rotation!$A$2:$J$10,3,FALSE)</f>
        <v>0</v>
      </c>
      <c r="M561" s="14">
        <f>VLOOKUP($C561,Rotation!$A$2:$J$10,4,FALSE)</f>
        <v>1</v>
      </c>
      <c r="N561" s="14">
        <f>VLOOKUP($C561,Rotation!$A$2:$J$10,5,FALSE)</f>
        <v>1</v>
      </c>
      <c r="O561" s="14">
        <f>VLOOKUP($C561,Rotation!$A$2:$J$10,6,FALSE)</f>
        <v>0</v>
      </c>
      <c r="P561" s="14">
        <f>VLOOKUP($C561,Rotation!$A$2:$J$10,7,FALSE)</f>
        <v>0</v>
      </c>
      <c r="Q561" s="14">
        <f>VLOOKUP($C561,Rotation!$A$2:$J$10,8,FALSE)</f>
        <v>0</v>
      </c>
      <c r="R561" s="14">
        <f>VLOOKUP($C561,Rotation!$A$2:$J$10,9,FALSE)</f>
        <v>0</v>
      </c>
      <c r="S561" s="14">
        <f>VLOOKUP($C561,Rotation!$A$2:$J$10,10,FALSE)</f>
        <v>0</v>
      </c>
    </row>
    <row r="562" spans="1:19" ht="18">
      <c r="A562" s="14">
        <v>560</v>
      </c>
      <c r="B562" s="14" t="s">
        <v>106</v>
      </c>
      <c r="C562" s="14" t="str">
        <f>VLOOKUP(B562,Family!B:C,2,FALSE)</f>
        <v>P</v>
      </c>
      <c r="D562" s="15">
        <v>19</v>
      </c>
      <c r="E562" s="14">
        <f>ROUND(VLOOKUP(C562,'Production Plan'!A:B,2,FALSE),2)</f>
        <v>409.15</v>
      </c>
      <c r="F562" s="16">
        <v>45743</v>
      </c>
      <c r="G562" s="17">
        <f>F562+6*7</f>
        <v>45785</v>
      </c>
      <c r="H562" s="14">
        <f>G562-F562</f>
        <v>42</v>
      </c>
      <c r="I562" s="14">
        <f>ROUND(D562/E562,3)</f>
        <v>4.5999999999999999E-2</v>
      </c>
      <c r="J562" s="14">
        <f>I562*24</f>
        <v>1.1040000000000001</v>
      </c>
      <c r="K562" s="14">
        <f>VLOOKUP($C562,Rotation!$A$2:$J$10,2,FALSE)</f>
        <v>1</v>
      </c>
      <c r="L562" s="14">
        <f>VLOOKUP($C562,Rotation!$A$2:$J$10,3,FALSE)</f>
        <v>1</v>
      </c>
      <c r="M562" s="14">
        <f>VLOOKUP($C562,Rotation!$A$2:$J$10,4,FALSE)</f>
        <v>0</v>
      </c>
      <c r="N562" s="14">
        <f>VLOOKUP($C562,Rotation!$A$2:$J$10,5,FALSE)</f>
        <v>0</v>
      </c>
      <c r="O562" s="14">
        <f>VLOOKUP($C562,Rotation!$A$2:$J$10,6,FALSE)</f>
        <v>0</v>
      </c>
      <c r="P562" s="14">
        <f>VLOOKUP($C562,Rotation!$A$2:$J$10,7,FALSE)</f>
        <v>0</v>
      </c>
      <c r="Q562" s="14">
        <f>VLOOKUP($C562,Rotation!$A$2:$J$10,8,FALSE)</f>
        <v>0</v>
      </c>
      <c r="R562" s="14">
        <f>VLOOKUP($C562,Rotation!$A$2:$J$10,9,FALSE)</f>
        <v>0</v>
      </c>
      <c r="S562" s="14">
        <f>VLOOKUP($C562,Rotation!$A$2:$J$10,10,FALSE)</f>
        <v>0</v>
      </c>
    </row>
    <row r="563" spans="1:19" ht="18">
      <c r="A563" s="14">
        <v>561</v>
      </c>
      <c r="B563" s="14" t="s">
        <v>65</v>
      </c>
      <c r="C563" s="14" t="str">
        <f>VLOOKUP(B563,Family!B:C,2,FALSE)</f>
        <v>A</v>
      </c>
      <c r="D563" s="15">
        <v>19</v>
      </c>
      <c r="E563" s="14">
        <f>ROUND(VLOOKUP(C563,'Production Plan'!A:B,2,FALSE),2)</f>
        <v>407.17</v>
      </c>
      <c r="F563" s="16">
        <v>45792</v>
      </c>
      <c r="G563" s="17">
        <f>F563+6*7</f>
        <v>45834</v>
      </c>
      <c r="H563" s="14">
        <f>G563-F563</f>
        <v>42</v>
      </c>
      <c r="I563" s="14">
        <f>ROUND(D563/E563,3)</f>
        <v>4.7E-2</v>
      </c>
      <c r="J563" s="14">
        <f>I563*24</f>
        <v>1.1280000000000001</v>
      </c>
      <c r="K563" s="14">
        <f>VLOOKUP($C563,Rotation!$A$2:$J$10,2,FALSE)</f>
        <v>1</v>
      </c>
      <c r="L563" s="14">
        <f>VLOOKUP($C563,Rotation!$A$2:$J$10,3,FALSE)</f>
        <v>1</v>
      </c>
      <c r="M563" s="14">
        <f>VLOOKUP($C563,Rotation!$A$2:$J$10,4,FALSE)</f>
        <v>1</v>
      </c>
      <c r="N563" s="14">
        <f>VLOOKUP($C563,Rotation!$A$2:$J$10,5,FALSE)</f>
        <v>0</v>
      </c>
      <c r="O563" s="14">
        <f>VLOOKUP($C563,Rotation!$A$2:$J$10,6,FALSE)</f>
        <v>0</v>
      </c>
      <c r="P563" s="14">
        <f>VLOOKUP($C563,Rotation!$A$2:$J$10,7,FALSE)</f>
        <v>0</v>
      </c>
      <c r="Q563" s="14">
        <f>VLOOKUP($C563,Rotation!$A$2:$J$10,8,FALSE)</f>
        <v>0</v>
      </c>
      <c r="R563" s="14">
        <f>VLOOKUP($C563,Rotation!$A$2:$J$10,9,FALSE)</f>
        <v>0</v>
      </c>
      <c r="S563" s="14">
        <f>VLOOKUP($C563,Rotation!$A$2:$J$10,10,FALSE)</f>
        <v>0</v>
      </c>
    </row>
    <row r="564" spans="1:19" ht="18">
      <c r="A564" s="14">
        <v>562</v>
      </c>
      <c r="B564" s="14" t="s">
        <v>65</v>
      </c>
      <c r="C564" s="14" t="str">
        <f>VLOOKUP(B564,Family!B:C,2,FALSE)</f>
        <v>A</v>
      </c>
      <c r="D564" s="15">
        <v>19</v>
      </c>
      <c r="E564" s="14">
        <f>ROUND(VLOOKUP(C564,'Production Plan'!A:B,2,FALSE),2)</f>
        <v>407.17</v>
      </c>
      <c r="F564" s="16">
        <v>45792</v>
      </c>
      <c r="G564" s="17">
        <f>F564+6*7</f>
        <v>45834</v>
      </c>
      <c r="H564" s="14">
        <f>G564-F564</f>
        <v>42</v>
      </c>
      <c r="I564" s="14">
        <f>ROUND(D564/E564,3)</f>
        <v>4.7E-2</v>
      </c>
      <c r="J564" s="14">
        <f>I564*24</f>
        <v>1.1280000000000001</v>
      </c>
      <c r="K564" s="14">
        <f>VLOOKUP($C564,Rotation!$A$2:$J$10,2,FALSE)</f>
        <v>1</v>
      </c>
      <c r="L564" s="14">
        <f>VLOOKUP($C564,Rotation!$A$2:$J$10,3,FALSE)</f>
        <v>1</v>
      </c>
      <c r="M564" s="14">
        <f>VLOOKUP($C564,Rotation!$A$2:$J$10,4,FALSE)</f>
        <v>1</v>
      </c>
      <c r="N564" s="14">
        <f>VLOOKUP($C564,Rotation!$A$2:$J$10,5,FALSE)</f>
        <v>0</v>
      </c>
      <c r="O564" s="14">
        <f>VLOOKUP($C564,Rotation!$A$2:$J$10,6,FALSE)</f>
        <v>0</v>
      </c>
      <c r="P564" s="14">
        <f>VLOOKUP($C564,Rotation!$A$2:$J$10,7,FALSE)</f>
        <v>0</v>
      </c>
      <c r="Q564" s="14">
        <f>VLOOKUP($C564,Rotation!$A$2:$J$10,8,FALSE)</f>
        <v>0</v>
      </c>
      <c r="R564" s="14">
        <f>VLOOKUP($C564,Rotation!$A$2:$J$10,9,FALSE)</f>
        <v>0</v>
      </c>
      <c r="S564" s="14">
        <f>VLOOKUP($C564,Rotation!$A$2:$J$10,10,FALSE)</f>
        <v>0</v>
      </c>
    </row>
    <row r="565" spans="1:19" ht="18">
      <c r="A565" s="14">
        <v>563</v>
      </c>
      <c r="B565" s="14" t="s">
        <v>87</v>
      </c>
      <c r="C565" s="14" t="str">
        <f>VLOOKUP(B565,Family!B:C,2,FALSE)</f>
        <v>E</v>
      </c>
      <c r="D565" s="15">
        <v>18</v>
      </c>
      <c r="E565" s="14">
        <f>ROUND(VLOOKUP(C565,'Production Plan'!A:B,2,FALSE),2)</f>
        <v>333.66</v>
      </c>
      <c r="F565" s="16">
        <v>45785</v>
      </c>
      <c r="G565" s="17">
        <f>F565+6*7</f>
        <v>45827</v>
      </c>
      <c r="H565" s="14">
        <f>G565-F565</f>
        <v>42</v>
      </c>
      <c r="I565" s="14">
        <f>ROUND(D565/E565,3)</f>
        <v>5.3999999999999999E-2</v>
      </c>
      <c r="J565" s="14">
        <f>I565*24</f>
        <v>1.296</v>
      </c>
      <c r="K565" s="14">
        <f>VLOOKUP($C565,Rotation!$A$2:$J$10,2,FALSE)</f>
        <v>1</v>
      </c>
      <c r="L565" s="14">
        <f>VLOOKUP($C565,Rotation!$A$2:$J$10,3,FALSE)</f>
        <v>0</v>
      </c>
      <c r="M565" s="14">
        <f>VLOOKUP($C565,Rotation!$A$2:$J$10,4,FALSE)</f>
        <v>0</v>
      </c>
      <c r="N565" s="14">
        <f>VLOOKUP($C565,Rotation!$A$2:$J$10,5,FALSE)</f>
        <v>0</v>
      </c>
      <c r="O565" s="14">
        <f>VLOOKUP($C565,Rotation!$A$2:$J$10,6,FALSE)</f>
        <v>0</v>
      </c>
      <c r="P565" s="14">
        <f>VLOOKUP($C565,Rotation!$A$2:$J$10,7,FALSE)</f>
        <v>1</v>
      </c>
      <c r="Q565" s="14">
        <f>VLOOKUP($C565,Rotation!$A$2:$J$10,8,FALSE)</f>
        <v>0</v>
      </c>
      <c r="R565" s="14">
        <f>VLOOKUP($C565,Rotation!$A$2:$J$10,9,FALSE)</f>
        <v>0</v>
      </c>
      <c r="S565" s="14">
        <f>VLOOKUP($C565,Rotation!$A$2:$J$10,10,FALSE)</f>
        <v>0</v>
      </c>
    </row>
    <row r="566" spans="1:19" ht="18">
      <c r="A566" s="14">
        <v>564</v>
      </c>
      <c r="B566" s="14" t="s">
        <v>64</v>
      </c>
      <c r="C566" s="14" t="str">
        <f>VLOOKUP(B566,Family!B:C,2,FALSE)</f>
        <v>A</v>
      </c>
      <c r="D566" s="15">
        <v>111</v>
      </c>
      <c r="E566" s="14">
        <f>ROUND(VLOOKUP(C566,'Production Plan'!A:B,2,FALSE),2)</f>
        <v>407.17</v>
      </c>
      <c r="F566" s="16">
        <v>45799</v>
      </c>
      <c r="G566" s="17">
        <f>F566+6*7</f>
        <v>45841</v>
      </c>
      <c r="H566" s="14">
        <f>G566-F566</f>
        <v>42</v>
      </c>
      <c r="I566" s="14">
        <f>ROUND(D566/E566,3)</f>
        <v>0.27300000000000002</v>
      </c>
      <c r="J566" s="14">
        <f>I566*24</f>
        <v>6.5520000000000005</v>
      </c>
      <c r="K566" s="14">
        <f>VLOOKUP($C566,Rotation!$A$2:$J$10,2,FALSE)</f>
        <v>1</v>
      </c>
      <c r="L566" s="14">
        <f>VLOOKUP($C566,Rotation!$A$2:$J$10,3,FALSE)</f>
        <v>1</v>
      </c>
      <c r="M566" s="14">
        <f>VLOOKUP($C566,Rotation!$A$2:$J$10,4,FALSE)</f>
        <v>1</v>
      </c>
      <c r="N566" s="14">
        <f>VLOOKUP($C566,Rotation!$A$2:$J$10,5,FALSE)</f>
        <v>0</v>
      </c>
      <c r="O566" s="14">
        <f>VLOOKUP($C566,Rotation!$A$2:$J$10,6,FALSE)</f>
        <v>0</v>
      </c>
      <c r="P566" s="14">
        <f>VLOOKUP($C566,Rotation!$A$2:$J$10,7,FALSE)</f>
        <v>0</v>
      </c>
      <c r="Q566" s="14">
        <f>VLOOKUP($C566,Rotation!$A$2:$J$10,8,FALSE)</f>
        <v>0</v>
      </c>
      <c r="R566" s="14">
        <f>VLOOKUP($C566,Rotation!$A$2:$J$10,9,FALSE)</f>
        <v>0</v>
      </c>
      <c r="S566" s="14">
        <f>VLOOKUP($C566,Rotation!$A$2:$J$10,10,FALSE)</f>
        <v>0</v>
      </c>
    </row>
    <row r="567" spans="1:19" ht="18">
      <c r="A567" s="14">
        <v>565</v>
      </c>
      <c r="B567" s="14" t="s">
        <v>106</v>
      </c>
      <c r="C567" s="14" t="str">
        <f>VLOOKUP(B567,Family!B:C,2,FALSE)</f>
        <v>P</v>
      </c>
      <c r="D567" s="15">
        <v>19</v>
      </c>
      <c r="E567" s="14">
        <f>ROUND(VLOOKUP(C567,'Production Plan'!A:B,2,FALSE),2)</f>
        <v>409.15</v>
      </c>
      <c r="F567" s="16">
        <v>45743</v>
      </c>
      <c r="G567" s="17">
        <f>F567+6*7</f>
        <v>45785</v>
      </c>
      <c r="H567" s="14">
        <f>G567-F567</f>
        <v>42</v>
      </c>
      <c r="I567" s="14">
        <f>ROUND(D567/E567,3)</f>
        <v>4.5999999999999999E-2</v>
      </c>
      <c r="J567" s="14">
        <f>I567*24</f>
        <v>1.1040000000000001</v>
      </c>
      <c r="K567" s="14">
        <f>VLOOKUP($C567,Rotation!$A$2:$J$10,2,FALSE)</f>
        <v>1</v>
      </c>
      <c r="L567" s="14">
        <f>VLOOKUP($C567,Rotation!$A$2:$J$10,3,FALSE)</f>
        <v>1</v>
      </c>
      <c r="M567" s="14">
        <f>VLOOKUP($C567,Rotation!$A$2:$J$10,4,FALSE)</f>
        <v>0</v>
      </c>
      <c r="N567" s="14">
        <f>VLOOKUP($C567,Rotation!$A$2:$J$10,5,FALSE)</f>
        <v>0</v>
      </c>
      <c r="O567" s="14">
        <f>VLOOKUP($C567,Rotation!$A$2:$J$10,6,FALSE)</f>
        <v>0</v>
      </c>
      <c r="P567" s="14">
        <f>VLOOKUP($C567,Rotation!$A$2:$J$10,7,FALSE)</f>
        <v>0</v>
      </c>
      <c r="Q567" s="14">
        <f>VLOOKUP($C567,Rotation!$A$2:$J$10,8,FALSE)</f>
        <v>0</v>
      </c>
      <c r="R567" s="14">
        <f>VLOOKUP($C567,Rotation!$A$2:$J$10,9,FALSE)</f>
        <v>0</v>
      </c>
      <c r="S567" s="14">
        <f>VLOOKUP($C567,Rotation!$A$2:$J$10,10,FALSE)</f>
        <v>0</v>
      </c>
    </row>
    <row r="568" spans="1:19" ht="18">
      <c r="A568" s="14">
        <v>566</v>
      </c>
      <c r="B568" s="14" t="s">
        <v>77</v>
      </c>
      <c r="C568" s="14" t="str">
        <f>VLOOKUP(B568,Family!B:C,2,FALSE)</f>
        <v>E</v>
      </c>
      <c r="D568" s="15">
        <v>18</v>
      </c>
      <c r="E568" s="14">
        <f>ROUND(VLOOKUP(C568,'Production Plan'!A:B,2,FALSE),2)</f>
        <v>333.66</v>
      </c>
      <c r="F568" s="16">
        <v>45743</v>
      </c>
      <c r="G568" s="17">
        <f>F568+6*7</f>
        <v>45785</v>
      </c>
      <c r="H568" s="14">
        <f>G568-F568</f>
        <v>42</v>
      </c>
      <c r="I568" s="14">
        <f>ROUND(D568/E568,3)</f>
        <v>5.3999999999999999E-2</v>
      </c>
      <c r="J568" s="14">
        <f>I568*24</f>
        <v>1.296</v>
      </c>
      <c r="K568" s="14">
        <f>VLOOKUP($C568,Rotation!$A$2:$J$10,2,FALSE)</f>
        <v>1</v>
      </c>
      <c r="L568" s="14">
        <f>VLOOKUP($C568,Rotation!$A$2:$J$10,3,FALSE)</f>
        <v>0</v>
      </c>
      <c r="M568" s="14">
        <f>VLOOKUP($C568,Rotation!$A$2:$J$10,4,FALSE)</f>
        <v>0</v>
      </c>
      <c r="N568" s="14">
        <f>VLOOKUP($C568,Rotation!$A$2:$J$10,5,FALSE)</f>
        <v>0</v>
      </c>
      <c r="O568" s="14">
        <f>VLOOKUP($C568,Rotation!$A$2:$J$10,6,FALSE)</f>
        <v>0</v>
      </c>
      <c r="P568" s="14">
        <f>VLOOKUP($C568,Rotation!$A$2:$J$10,7,FALSE)</f>
        <v>1</v>
      </c>
      <c r="Q568" s="14">
        <f>VLOOKUP($C568,Rotation!$A$2:$J$10,8,FALSE)</f>
        <v>0</v>
      </c>
      <c r="R568" s="14">
        <f>VLOOKUP($C568,Rotation!$A$2:$J$10,9,FALSE)</f>
        <v>0</v>
      </c>
      <c r="S568" s="14">
        <f>VLOOKUP($C568,Rotation!$A$2:$J$10,10,FALSE)</f>
        <v>0</v>
      </c>
    </row>
    <row r="569" spans="1:19" ht="18">
      <c r="A569" s="14">
        <v>567</v>
      </c>
      <c r="B569" s="14" t="s">
        <v>65</v>
      </c>
      <c r="C569" s="14" t="str">
        <f>VLOOKUP(B569,Family!B:C,2,FALSE)</f>
        <v>A</v>
      </c>
      <c r="D569" s="15">
        <v>19</v>
      </c>
      <c r="E569" s="14">
        <f>ROUND(VLOOKUP(C569,'Production Plan'!A:B,2,FALSE),2)</f>
        <v>407.17</v>
      </c>
      <c r="F569" s="16">
        <v>45792</v>
      </c>
      <c r="G569" s="17">
        <f>F569+6*7</f>
        <v>45834</v>
      </c>
      <c r="H569" s="14">
        <f>G569-F569</f>
        <v>42</v>
      </c>
      <c r="I569" s="14">
        <f>ROUND(D569/E569,3)</f>
        <v>4.7E-2</v>
      </c>
      <c r="J569" s="14">
        <f>I569*24</f>
        <v>1.1280000000000001</v>
      </c>
      <c r="K569" s="14">
        <f>VLOOKUP($C569,Rotation!$A$2:$J$10,2,FALSE)</f>
        <v>1</v>
      </c>
      <c r="L569" s="14">
        <f>VLOOKUP($C569,Rotation!$A$2:$J$10,3,FALSE)</f>
        <v>1</v>
      </c>
      <c r="M569" s="14">
        <f>VLOOKUP($C569,Rotation!$A$2:$J$10,4,FALSE)</f>
        <v>1</v>
      </c>
      <c r="N569" s="14">
        <f>VLOOKUP($C569,Rotation!$A$2:$J$10,5,FALSE)</f>
        <v>0</v>
      </c>
      <c r="O569" s="14">
        <f>VLOOKUP($C569,Rotation!$A$2:$J$10,6,FALSE)</f>
        <v>0</v>
      </c>
      <c r="P569" s="14">
        <f>VLOOKUP($C569,Rotation!$A$2:$J$10,7,FALSE)</f>
        <v>0</v>
      </c>
      <c r="Q569" s="14">
        <f>VLOOKUP($C569,Rotation!$A$2:$J$10,8,FALSE)</f>
        <v>0</v>
      </c>
      <c r="R569" s="14">
        <f>VLOOKUP($C569,Rotation!$A$2:$J$10,9,FALSE)</f>
        <v>0</v>
      </c>
      <c r="S569" s="14">
        <f>VLOOKUP($C569,Rotation!$A$2:$J$10,10,FALSE)</f>
        <v>0</v>
      </c>
    </row>
    <row r="570" spans="1:19" ht="18">
      <c r="A570" s="14">
        <v>568</v>
      </c>
      <c r="B570" s="14" t="s">
        <v>65</v>
      </c>
      <c r="C570" s="14" t="str">
        <f>VLOOKUP(B570,Family!B:C,2,FALSE)</f>
        <v>A</v>
      </c>
      <c r="D570" s="15">
        <v>19</v>
      </c>
      <c r="E570" s="14">
        <f>ROUND(VLOOKUP(C570,'Production Plan'!A:B,2,FALSE),2)</f>
        <v>407.17</v>
      </c>
      <c r="F570" s="16">
        <v>45792</v>
      </c>
      <c r="G570" s="17">
        <f>F570+6*7</f>
        <v>45834</v>
      </c>
      <c r="H570" s="14">
        <f>G570-F570</f>
        <v>42</v>
      </c>
      <c r="I570" s="14">
        <f>ROUND(D570/E570,3)</f>
        <v>4.7E-2</v>
      </c>
      <c r="J570" s="14">
        <f>I570*24</f>
        <v>1.1280000000000001</v>
      </c>
      <c r="K570" s="14">
        <f>VLOOKUP($C570,Rotation!$A$2:$J$10,2,FALSE)</f>
        <v>1</v>
      </c>
      <c r="L570" s="14">
        <f>VLOOKUP($C570,Rotation!$A$2:$J$10,3,FALSE)</f>
        <v>1</v>
      </c>
      <c r="M570" s="14">
        <f>VLOOKUP($C570,Rotation!$A$2:$J$10,4,FALSE)</f>
        <v>1</v>
      </c>
      <c r="N570" s="14">
        <f>VLOOKUP($C570,Rotation!$A$2:$J$10,5,FALSE)</f>
        <v>0</v>
      </c>
      <c r="O570" s="14">
        <f>VLOOKUP($C570,Rotation!$A$2:$J$10,6,FALSE)</f>
        <v>0</v>
      </c>
      <c r="P570" s="14">
        <f>VLOOKUP($C570,Rotation!$A$2:$J$10,7,FALSE)</f>
        <v>0</v>
      </c>
      <c r="Q570" s="14">
        <f>VLOOKUP($C570,Rotation!$A$2:$J$10,8,FALSE)</f>
        <v>0</v>
      </c>
      <c r="R570" s="14">
        <f>VLOOKUP($C570,Rotation!$A$2:$J$10,9,FALSE)</f>
        <v>0</v>
      </c>
      <c r="S570" s="14">
        <f>VLOOKUP($C570,Rotation!$A$2:$J$10,10,FALSE)</f>
        <v>0</v>
      </c>
    </row>
    <row r="571" spans="1:19" ht="18">
      <c r="A571" s="14">
        <v>569</v>
      </c>
      <c r="B571" s="14" t="s">
        <v>106</v>
      </c>
      <c r="C571" s="14" t="str">
        <f>VLOOKUP(B571,Family!B:C,2,FALSE)</f>
        <v>P</v>
      </c>
      <c r="D571" s="15">
        <v>19</v>
      </c>
      <c r="E571" s="14">
        <f>ROUND(VLOOKUP(C571,'Production Plan'!A:B,2,FALSE),2)</f>
        <v>409.15</v>
      </c>
      <c r="F571" s="16">
        <v>45743</v>
      </c>
      <c r="G571" s="17">
        <f>F571+6*7</f>
        <v>45785</v>
      </c>
      <c r="H571" s="14">
        <f>G571-F571</f>
        <v>42</v>
      </c>
      <c r="I571" s="14">
        <f>ROUND(D571/E571,3)</f>
        <v>4.5999999999999999E-2</v>
      </c>
      <c r="J571" s="14">
        <f>I571*24</f>
        <v>1.1040000000000001</v>
      </c>
      <c r="K571" s="14">
        <f>VLOOKUP($C571,Rotation!$A$2:$J$10,2,FALSE)</f>
        <v>1</v>
      </c>
      <c r="L571" s="14">
        <f>VLOOKUP($C571,Rotation!$A$2:$J$10,3,FALSE)</f>
        <v>1</v>
      </c>
      <c r="M571" s="14">
        <f>VLOOKUP($C571,Rotation!$A$2:$J$10,4,FALSE)</f>
        <v>0</v>
      </c>
      <c r="N571" s="14">
        <f>VLOOKUP($C571,Rotation!$A$2:$J$10,5,FALSE)</f>
        <v>0</v>
      </c>
      <c r="O571" s="14">
        <f>VLOOKUP($C571,Rotation!$A$2:$J$10,6,FALSE)</f>
        <v>0</v>
      </c>
      <c r="P571" s="14">
        <f>VLOOKUP($C571,Rotation!$A$2:$J$10,7,FALSE)</f>
        <v>0</v>
      </c>
      <c r="Q571" s="14">
        <f>VLOOKUP($C571,Rotation!$A$2:$J$10,8,FALSE)</f>
        <v>0</v>
      </c>
      <c r="R571" s="14">
        <f>VLOOKUP($C571,Rotation!$A$2:$J$10,9,FALSE)</f>
        <v>0</v>
      </c>
      <c r="S571" s="14">
        <f>VLOOKUP($C571,Rotation!$A$2:$J$10,10,FALSE)</f>
        <v>0</v>
      </c>
    </row>
    <row r="572" spans="1:19" ht="18">
      <c r="A572" s="14">
        <v>570</v>
      </c>
      <c r="B572" s="14" t="s">
        <v>106</v>
      </c>
      <c r="C572" s="14" t="str">
        <f>VLOOKUP(B572,Family!B:C,2,FALSE)</f>
        <v>P</v>
      </c>
      <c r="D572" s="15">
        <v>19</v>
      </c>
      <c r="E572" s="14">
        <f>ROUND(VLOOKUP(C572,'Production Plan'!A:B,2,FALSE),2)</f>
        <v>409.15</v>
      </c>
      <c r="F572" s="16">
        <v>45743</v>
      </c>
      <c r="G572" s="17">
        <f>F572+6*7</f>
        <v>45785</v>
      </c>
      <c r="H572" s="14">
        <f>G572-F572</f>
        <v>42</v>
      </c>
      <c r="I572" s="14">
        <f>ROUND(D572/E572,3)</f>
        <v>4.5999999999999999E-2</v>
      </c>
      <c r="J572" s="14">
        <f>I572*24</f>
        <v>1.1040000000000001</v>
      </c>
      <c r="K572" s="14">
        <f>VLOOKUP($C572,Rotation!$A$2:$J$10,2,FALSE)</f>
        <v>1</v>
      </c>
      <c r="L572" s="14">
        <f>VLOOKUP($C572,Rotation!$A$2:$J$10,3,FALSE)</f>
        <v>1</v>
      </c>
      <c r="M572" s="14">
        <f>VLOOKUP($C572,Rotation!$A$2:$J$10,4,FALSE)</f>
        <v>0</v>
      </c>
      <c r="N572" s="14">
        <f>VLOOKUP($C572,Rotation!$A$2:$J$10,5,FALSE)</f>
        <v>0</v>
      </c>
      <c r="O572" s="14">
        <f>VLOOKUP($C572,Rotation!$A$2:$J$10,6,FALSE)</f>
        <v>0</v>
      </c>
      <c r="P572" s="14">
        <f>VLOOKUP($C572,Rotation!$A$2:$J$10,7,FALSE)</f>
        <v>0</v>
      </c>
      <c r="Q572" s="14">
        <f>VLOOKUP($C572,Rotation!$A$2:$J$10,8,FALSE)</f>
        <v>0</v>
      </c>
      <c r="R572" s="14">
        <f>VLOOKUP($C572,Rotation!$A$2:$J$10,9,FALSE)</f>
        <v>0</v>
      </c>
      <c r="S572" s="14">
        <f>VLOOKUP($C572,Rotation!$A$2:$J$10,10,FALSE)</f>
        <v>0</v>
      </c>
    </row>
    <row r="573" spans="1:19" ht="18">
      <c r="A573" s="14">
        <v>571</v>
      </c>
      <c r="B573" s="14" t="s">
        <v>65</v>
      </c>
      <c r="C573" s="14" t="str">
        <f>VLOOKUP(B573,Family!B:C,2,FALSE)</f>
        <v>A</v>
      </c>
      <c r="D573" s="15">
        <v>19</v>
      </c>
      <c r="E573" s="14">
        <f>ROUND(VLOOKUP(C573,'Production Plan'!A:B,2,FALSE),2)</f>
        <v>407.17</v>
      </c>
      <c r="F573" s="16">
        <v>45792</v>
      </c>
      <c r="G573" s="17">
        <f>F573+6*7</f>
        <v>45834</v>
      </c>
      <c r="H573" s="14">
        <f>G573-F573</f>
        <v>42</v>
      </c>
      <c r="I573" s="14">
        <f>ROUND(D573/E573,3)</f>
        <v>4.7E-2</v>
      </c>
      <c r="J573" s="14">
        <f>I573*24</f>
        <v>1.1280000000000001</v>
      </c>
      <c r="K573" s="14">
        <f>VLOOKUP($C573,Rotation!$A$2:$J$10,2,FALSE)</f>
        <v>1</v>
      </c>
      <c r="L573" s="14">
        <f>VLOOKUP($C573,Rotation!$A$2:$J$10,3,FALSE)</f>
        <v>1</v>
      </c>
      <c r="M573" s="14">
        <f>VLOOKUP($C573,Rotation!$A$2:$J$10,4,FALSE)</f>
        <v>1</v>
      </c>
      <c r="N573" s="14">
        <f>VLOOKUP($C573,Rotation!$A$2:$J$10,5,FALSE)</f>
        <v>0</v>
      </c>
      <c r="O573" s="14">
        <f>VLOOKUP($C573,Rotation!$A$2:$J$10,6,FALSE)</f>
        <v>0</v>
      </c>
      <c r="P573" s="14">
        <f>VLOOKUP($C573,Rotation!$A$2:$J$10,7,FALSE)</f>
        <v>0</v>
      </c>
      <c r="Q573" s="14">
        <f>VLOOKUP($C573,Rotation!$A$2:$J$10,8,FALSE)</f>
        <v>0</v>
      </c>
      <c r="R573" s="14">
        <f>VLOOKUP($C573,Rotation!$A$2:$J$10,9,FALSE)</f>
        <v>0</v>
      </c>
      <c r="S573" s="14">
        <f>VLOOKUP($C573,Rotation!$A$2:$J$10,10,FALSE)</f>
        <v>0</v>
      </c>
    </row>
    <row r="574" spans="1:19" ht="18">
      <c r="A574" s="14">
        <v>572</v>
      </c>
      <c r="B574" s="14" t="s">
        <v>94</v>
      </c>
      <c r="C574" s="14" t="str">
        <f>VLOOKUP(B574,Family!B:C,2,FALSE)</f>
        <v>H</v>
      </c>
      <c r="D574" s="15">
        <v>1</v>
      </c>
      <c r="E574" s="14">
        <f>ROUND(VLOOKUP(C574,'Production Plan'!A:B,2,FALSE),2)</f>
        <v>402.02</v>
      </c>
      <c r="F574" s="16">
        <v>45819</v>
      </c>
      <c r="G574" s="17">
        <f>F574+6*7</f>
        <v>45861</v>
      </c>
      <c r="H574" s="14">
        <f>G574-F574</f>
        <v>42</v>
      </c>
      <c r="I574" s="14">
        <f>ROUND(D574/E574,3)</f>
        <v>2E-3</v>
      </c>
      <c r="J574" s="14">
        <f>I574*24</f>
        <v>4.8000000000000001E-2</v>
      </c>
      <c r="K574" s="14">
        <f>VLOOKUP($C574,Rotation!$A$2:$J$10,2,FALSE)</f>
        <v>0</v>
      </c>
      <c r="L574" s="14">
        <f>VLOOKUP($C574,Rotation!$A$2:$J$10,3,FALSE)</f>
        <v>0</v>
      </c>
      <c r="M574" s="14">
        <f>VLOOKUP($C574,Rotation!$A$2:$J$10,4,FALSE)</f>
        <v>1</v>
      </c>
      <c r="N574" s="14">
        <f>VLOOKUP($C574,Rotation!$A$2:$J$10,5,FALSE)</f>
        <v>1</v>
      </c>
      <c r="O574" s="14">
        <f>VLOOKUP($C574,Rotation!$A$2:$J$10,6,FALSE)</f>
        <v>0</v>
      </c>
      <c r="P574" s="14">
        <f>VLOOKUP($C574,Rotation!$A$2:$J$10,7,FALSE)</f>
        <v>0</v>
      </c>
      <c r="Q574" s="14">
        <f>VLOOKUP($C574,Rotation!$A$2:$J$10,8,FALSE)</f>
        <v>0</v>
      </c>
      <c r="R574" s="14">
        <f>VLOOKUP($C574,Rotation!$A$2:$J$10,9,FALSE)</f>
        <v>0</v>
      </c>
      <c r="S574" s="14">
        <f>VLOOKUP($C574,Rotation!$A$2:$J$10,10,FALSE)</f>
        <v>0</v>
      </c>
    </row>
    <row r="575" spans="1:19" ht="18">
      <c r="A575" s="14">
        <v>573</v>
      </c>
      <c r="B575" s="14" t="s">
        <v>65</v>
      </c>
      <c r="C575" s="14" t="str">
        <f>VLOOKUP(B575,Family!B:C,2,FALSE)</f>
        <v>A</v>
      </c>
      <c r="D575" s="15">
        <v>19</v>
      </c>
      <c r="E575" s="14">
        <f>ROUND(VLOOKUP(C575,'Production Plan'!A:B,2,FALSE),2)</f>
        <v>407.17</v>
      </c>
      <c r="F575" s="16">
        <v>45792</v>
      </c>
      <c r="G575" s="17">
        <f>F575+6*7</f>
        <v>45834</v>
      </c>
      <c r="H575" s="14">
        <f>G575-F575</f>
        <v>42</v>
      </c>
      <c r="I575" s="14">
        <f>ROUND(D575/E575,3)</f>
        <v>4.7E-2</v>
      </c>
      <c r="J575" s="14">
        <f>I575*24</f>
        <v>1.1280000000000001</v>
      </c>
      <c r="K575" s="14">
        <f>VLOOKUP($C575,Rotation!$A$2:$J$10,2,FALSE)</f>
        <v>1</v>
      </c>
      <c r="L575" s="14">
        <f>VLOOKUP($C575,Rotation!$A$2:$J$10,3,FALSE)</f>
        <v>1</v>
      </c>
      <c r="M575" s="14">
        <f>VLOOKUP($C575,Rotation!$A$2:$J$10,4,FALSE)</f>
        <v>1</v>
      </c>
      <c r="N575" s="14">
        <f>VLOOKUP($C575,Rotation!$A$2:$J$10,5,FALSE)</f>
        <v>0</v>
      </c>
      <c r="O575" s="14">
        <f>VLOOKUP($C575,Rotation!$A$2:$J$10,6,FALSE)</f>
        <v>0</v>
      </c>
      <c r="P575" s="14">
        <f>VLOOKUP($C575,Rotation!$A$2:$J$10,7,FALSE)</f>
        <v>0</v>
      </c>
      <c r="Q575" s="14">
        <f>VLOOKUP($C575,Rotation!$A$2:$J$10,8,FALSE)</f>
        <v>0</v>
      </c>
      <c r="R575" s="14">
        <f>VLOOKUP($C575,Rotation!$A$2:$J$10,9,FALSE)</f>
        <v>0</v>
      </c>
      <c r="S575" s="14">
        <f>VLOOKUP($C575,Rotation!$A$2:$J$10,10,FALSE)</f>
        <v>0</v>
      </c>
    </row>
    <row r="576" spans="1:19" ht="18">
      <c r="A576" s="14">
        <v>574</v>
      </c>
      <c r="B576" s="14" t="s">
        <v>108</v>
      </c>
      <c r="C576" s="14" t="str">
        <f>VLOOKUP(B576,Family!B:C,2,FALSE)</f>
        <v>P</v>
      </c>
      <c r="D576" s="15">
        <v>130</v>
      </c>
      <c r="E576" s="14">
        <f>ROUND(VLOOKUP(C576,'Production Plan'!A:B,2,FALSE),2)</f>
        <v>409.15</v>
      </c>
      <c r="F576" s="16">
        <v>45786</v>
      </c>
      <c r="G576" s="17">
        <f>F576+6*7</f>
        <v>45828</v>
      </c>
      <c r="H576" s="14">
        <f>G576-F576</f>
        <v>42</v>
      </c>
      <c r="I576" s="14">
        <f>ROUND(D576/E576,3)</f>
        <v>0.318</v>
      </c>
      <c r="J576" s="14">
        <f>I576*24</f>
        <v>7.6319999999999997</v>
      </c>
      <c r="K576" s="14">
        <f>VLOOKUP($C576,Rotation!$A$2:$J$10,2,FALSE)</f>
        <v>1</v>
      </c>
      <c r="L576" s="14">
        <f>VLOOKUP($C576,Rotation!$A$2:$J$10,3,FALSE)</f>
        <v>1</v>
      </c>
      <c r="M576" s="14">
        <f>VLOOKUP($C576,Rotation!$A$2:$J$10,4,FALSE)</f>
        <v>0</v>
      </c>
      <c r="N576" s="14">
        <f>VLOOKUP($C576,Rotation!$A$2:$J$10,5,FALSE)</f>
        <v>0</v>
      </c>
      <c r="O576" s="14">
        <f>VLOOKUP($C576,Rotation!$A$2:$J$10,6,FALSE)</f>
        <v>0</v>
      </c>
      <c r="P576" s="14">
        <f>VLOOKUP($C576,Rotation!$A$2:$J$10,7,FALSE)</f>
        <v>0</v>
      </c>
      <c r="Q576" s="14">
        <f>VLOOKUP($C576,Rotation!$A$2:$J$10,8,FALSE)</f>
        <v>0</v>
      </c>
      <c r="R576" s="14">
        <f>VLOOKUP($C576,Rotation!$A$2:$J$10,9,FALSE)</f>
        <v>0</v>
      </c>
      <c r="S576" s="14">
        <f>VLOOKUP($C576,Rotation!$A$2:$J$10,10,FALSE)</f>
        <v>0</v>
      </c>
    </row>
    <row r="577" spans="1:19" ht="18">
      <c r="A577" s="14">
        <v>575</v>
      </c>
      <c r="B577" s="14" t="s">
        <v>108</v>
      </c>
      <c r="C577" s="14" t="str">
        <f>VLOOKUP(B577,Family!B:C,2,FALSE)</f>
        <v>P</v>
      </c>
      <c r="D577" s="15">
        <v>130</v>
      </c>
      <c r="E577" s="14">
        <f>ROUND(VLOOKUP(C577,'Production Plan'!A:B,2,FALSE),2)</f>
        <v>409.15</v>
      </c>
      <c r="F577" s="16">
        <v>45786</v>
      </c>
      <c r="G577" s="17">
        <f>F577+6*7</f>
        <v>45828</v>
      </c>
      <c r="H577" s="14">
        <f>G577-F577</f>
        <v>42</v>
      </c>
      <c r="I577" s="14">
        <f>ROUND(D577/E577,3)</f>
        <v>0.318</v>
      </c>
      <c r="J577" s="14">
        <f>I577*24</f>
        <v>7.6319999999999997</v>
      </c>
      <c r="K577" s="14">
        <f>VLOOKUP($C577,Rotation!$A$2:$J$10,2,FALSE)</f>
        <v>1</v>
      </c>
      <c r="L577" s="14">
        <f>VLOOKUP($C577,Rotation!$A$2:$J$10,3,FALSE)</f>
        <v>1</v>
      </c>
      <c r="M577" s="14">
        <f>VLOOKUP($C577,Rotation!$A$2:$J$10,4,FALSE)</f>
        <v>0</v>
      </c>
      <c r="N577" s="14">
        <f>VLOOKUP($C577,Rotation!$A$2:$J$10,5,FALSE)</f>
        <v>0</v>
      </c>
      <c r="O577" s="14">
        <f>VLOOKUP($C577,Rotation!$A$2:$J$10,6,FALSE)</f>
        <v>0</v>
      </c>
      <c r="P577" s="14">
        <f>VLOOKUP($C577,Rotation!$A$2:$J$10,7,FALSE)</f>
        <v>0</v>
      </c>
      <c r="Q577" s="14">
        <f>VLOOKUP($C577,Rotation!$A$2:$J$10,8,FALSE)</f>
        <v>0</v>
      </c>
      <c r="R577" s="14">
        <f>VLOOKUP($C577,Rotation!$A$2:$J$10,9,FALSE)</f>
        <v>0</v>
      </c>
      <c r="S577" s="14">
        <f>VLOOKUP($C577,Rotation!$A$2:$J$10,10,FALSE)</f>
        <v>0</v>
      </c>
    </row>
    <row r="578" spans="1:19" ht="18">
      <c r="A578" s="14">
        <v>576</v>
      </c>
      <c r="B578" s="14" t="s">
        <v>108</v>
      </c>
      <c r="C578" s="14" t="str">
        <f>VLOOKUP(B578,Family!B:C,2,FALSE)</f>
        <v>P</v>
      </c>
      <c r="D578" s="15">
        <v>65</v>
      </c>
      <c r="E578" s="14">
        <f>ROUND(VLOOKUP(C578,'Production Plan'!A:B,2,FALSE),2)</f>
        <v>409.15</v>
      </c>
      <c r="F578" s="16">
        <v>45786</v>
      </c>
      <c r="G578" s="17">
        <f>F578+6*7</f>
        <v>45828</v>
      </c>
      <c r="H578" s="14">
        <f>G578-F578</f>
        <v>42</v>
      </c>
      <c r="I578" s="14">
        <f>ROUND(D578/E578,3)</f>
        <v>0.159</v>
      </c>
      <c r="J578" s="14">
        <f>I578*24</f>
        <v>3.8159999999999998</v>
      </c>
      <c r="K578" s="14">
        <f>VLOOKUP($C578,Rotation!$A$2:$J$10,2,FALSE)</f>
        <v>1</v>
      </c>
      <c r="L578" s="14">
        <f>VLOOKUP($C578,Rotation!$A$2:$J$10,3,FALSE)</f>
        <v>1</v>
      </c>
      <c r="M578" s="14">
        <f>VLOOKUP($C578,Rotation!$A$2:$J$10,4,FALSE)</f>
        <v>0</v>
      </c>
      <c r="N578" s="14">
        <f>VLOOKUP($C578,Rotation!$A$2:$J$10,5,FALSE)</f>
        <v>0</v>
      </c>
      <c r="O578" s="14">
        <f>VLOOKUP($C578,Rotation!$A$2:$J$10,6,FALSE)</f>
        <v>0</v>
      </c>
      <c r="P578" s="14">
        <f>VLOOKUP($C578,Rotation!$A$2:$J$10,7,FALSE)</f>
        <v>0</v>
      </c>
      <c r="Q578" s="14">
        <f>VLOOKUP($C578,Rotation!$A$2:$J$10,8,FALSE)</f>
        <v>0</v>
      </c>
      <c r="R578" s="14">
        <f>VLOOKUP($C578,Rotation!$A$2:$J$10,9,FALSE)</f>
        <v>0</v>
      </c>
      <c r="S578" s="14">
        <f>VLOOKUP($C578,Rotation!$A$2:$J$10,10,FALSE)</f>
        <v>0</v>
      </c>
    </row>
    <row r="579" spans="1:19" ht="18">
      <c r="A579" s="14">
        <v>577</v>
      </c>
      <c r="B579" s="14" t="s">
        <v>64</v>
      </c>
      <c r="C579" s="14" t="str">
        <f>VLOOKUP(B579,Family!B:C,2,FALSE)</f>
        <v>A</v>
      </c>
      <c r="D579" s="15">
        <v>111</v>
      </c>
      <c r="E579" s="14">
        <f>ROUND(VLOOKUP(C579,'Production Plan'!A:B,2,FALSE),2)</f>
        <v>407.17</v>
      </c>
      <c r="F579" s="16">
        <v>45812</v>
      </c>
      <c r="G579" s="17">
        <f>F579+6*7</f>
        <v>45854</v>
      </c>
      <c r="H579" s="14">
        <f>G579-F579</f>
        <v>42</v>
      </c>
      <c r="I579" s="14">
        <f>ROUND(D579/E579,3)</f>
        <v>0.27300000000000002</v>
      </c>
      <c r="J579" s="14">
        <f>I579*24</f>
        <v>6.5520000000000005</v>
      </c>
      <c r="K579" s="14">
        <f>VLOOKUP($C579,Rotation!$A$2:$J$10,2,FALSE)</f>
        <v>1</v>
      </c>
      <c r="L579" s="14">
        <f>VLOOKUP($C579,Rotation!$A$2:$J$10,3,FALSE)</f>
        <v>1</v>
      </c>
      <c r="M579" s="14">
        <f>VLOOKUP($C579,Rotation!$A$2:$J$10,4,FALSE)</f>
        <v>1</v>
      </c>
      <c r="N579" s="14">
        <f>VLOOKUP($C579,Rotation!$A$2:$J$10,5,FALSE)</f>
        <v>0</v>
      </c>
      <c r="O579" s="14">
        <f>VLOOKUP($C579,Rotation!$A$2:$J$10,6,FALSE)</f>
        <v>0</v>
      </c>
      <c r="P579" s="14">
        <f>VLOOKUP($C579,Rotation!$A$2:$J$10,7,FALSE)</f>
        <v>0</v>
      </c>
      <c r="Q579" s="14">
        <f>VLOOKUP($C579,Rotation!$A$2:$J$10,8,FALSE)</f>
        <v>0</v>
      </c>
      <c r="R579" s="14">
        <f>VLOOKUP($C579,Rotation!$A$2:$J$10,9,FALSE)</f>
        <v>0</v>
      </c>
      <c r="S579" s="14">
        <f>VLOOKUP($C579,Rotation!$A$2:$J$10,10,FALSE)</f>
        <v>0</v>
      </c>
    </row>
    <row r="580" spans="1:19" ht="18">
      <c r="A580" s="14">
        <v>578</v>
      </c>
      <c r="B580" s="14" t="s">
        <v>66</v>
      </c>
      <c r="C580" s="14" t="str">
        <f>VLOOKUP(B580,Family!B:C,2,FALSE)</f>
        <v>A</v>
      </c>
      <c r="D580" s="15">
        <v>65</v>
      </c>
      <c r="E580" s="14">
        <f>ROUND(VLOOKUP(C580,'Production Plan'!A:B,2,FALSE),2)</f>
        <v>407.17</v>
      </c>
      <c r="F580" s="16">
        <v>45807</v>
      </c>
      <c r="G580" s="17">
        <f>F580+6*7</f>
        <v>45849</v>
      </c>
      <c r="H580" s="14">
        <f>G580-F580</f>
        <v>42</v>
      </c>
      <c r="I580" s="14">
        <f>ROUND(D580/E580,3)</f>
        <v>0.16</v>
      </c>
      <c r="J580" s="14">
        <f>I580*24</f>
        <v>3.84</v>
      </c>
      <c r="K580" s="14">
        <f>VLOOKUP($C580,Rotation!$A$2:$J$10,2,FALSE)</f>
        <v>1</v>
      </c>
      <c r="L580" s="14">
        <f>VLOOKUP($C580,Rotation!$A$2:$J$10,3,FALSE)</f>
        <v>1</v>
      </c>
      <c r="M580" s="14">
        <f>VLOOKUP($C580,Rotation!$A$2:$J$10,4,FALSE)</f>
        <v>1</v>
      </c>
      <c r="N580" s="14">
        <f>VLOOKUP($C580,Rotation!$A$2:$J$10,5,FALSE)</f>
        <v>0</v>
      </c>
      <c r="O580" s="14">
        <f>VLOOKUP($C580,Rotation!$A$2:$J$10,6,FALSE)</f>
        <v>0</v>
      </c>
      <c r="P580" s="14">
        <f>VLOOKUP($C580,Rotation!$A$2:$J$10,7,FALSE)</f>
        <v>0</v>
      </c>
      <c r="Q580" s="14">
        <f>VLOOKUP($C580,Rotation!$A$2:$J$10,8,FALSE)</f>
        <v>0</v>
      </c>
      <c r="R580" s="14">
        <f>VLOOKUP($C580,Rotation!$A$2:$J$10,9,FALSE)</f>
        <v>0</v>
      </c>
      <c r="S580" s="14">
        <f>VLOOKUP($C580,Rotation!$A$2:$J$10,10,FALSE)</f>
        <v>0</v>
      </c>
    </row>
    <row r="581" spans="1:19" ht="18">
      <c r="A581" s="14">
        <v>579</v>
      </c>
      <c r="B581" s="14" t="s">
        <v>66</v>
      </c>
      <c r="C581" s="14" t="str">
        <f>VLOOKUP(B581,Family!B:C,2,FALSE)</f>
        <v>A</v>
      </c>
      <c r="D581" s="15">
        <v>65</v>
      </c>
      <c r="E581" s="14">
        <f>ROUND(VLOOKUP(C581,'Production Plan'!A:B,2,FALSE),2)</f>
        <v>407.17</v>
      </c>
      <c r="F581" s="16">
        <v>45807</v>
      </c>
      <c r="G581" s="17">
        <f>F581+6*7</f>
        <v>45849</v>
      </c>
      <c r="H581" s="14">
        <f>G581-F581</f>
        <v>42</v>
      </c>
      <c r="I581" s="14">
        <f>ROUND(D581/E581,3)</f>
        <v>0.16</v>
      </c>
      <c r="J581" s="14">
        <f>I581*24</f>
        <v>3.84</v>
      </c>
      <c r="K581" s="14">
        <f>VLOOKUP($C581,Rotation!$A$2:$J$10,2,FALSE)</f>
        <v>1</v>
      </c>
      <c r="L581" s="14">
        <f>VLOOKUP($C581,Rotation!$A$2:$J$10,3,FALSE)</f>
        <v>1</v>
      </c>
      <c r="M581" s="14">
        <f>VLOOKUP($C581,Rotation!$A$2:$J$10,4,FALSE)</f>
        <v>1</v>
      </c>
      <c r="N581" s="14">
        <f>VLOOKUP($C581,Rotation!$A$2:$J$10,5,FALSE)</f>
        <v>0</v>
      </c>
      <c r="O581" s="14">
        <f>VLOOKUP($C581,Rotation!$A$2:$J$10,6,FALSE)</f>
        <v>0</v>
      </c>
      <c r="P581" s="14">
        <f>VLOOKUP($C581,Rotation!$A$2:$J$10,7,FALSE)</f>
        <v>0</v>
      </c>
      <c r="Q581" s="14">
        <f>VLOOKUP($C581,Rotation!$A$2:$J$10,8,FALSE)</f>
        <v>0</v>
      </c>
      <c r="R581" s="14">
        <f>VLOOKUP($C581,Rotation!$A$2:$J$10,9,FALSE)</f>
        <v>0</v>
      </c>
      <c r="S581" s="14">
        <f>VLOOKUP($C581,Rotation!$A$2:$J$10,10,FALSE)</f>
        <v>0</v>
      </c>
    </row>
    <row r="582" spans="1:19" ht="18">
      <c r="A582" s="14">
        <v>580</v>
      </c>
      <c r="B582" s="14" t="s">
        <v>106</v>
      </c>
      <c r="C582" s="14" t="str">
        <f>VLOOKUP(B582,Family!B:C,2,FALSE)</f>
        <v>P</v>
      </c>
      <c r="D582" s="15">
        <v>19</v>
      </c>
      <c r="E582" s="14">
        <f>ROUND(VLOOKUP(C582,'Production Plan'!A:B,2,FALSE),2)</f>
        <v>409.15</v>
      </c>
      <c r="F582" s="16">
        <v>45743</v>
      </c>
      <c r="G582" s="17">
        <f>F582+6*7</f>
        <v>45785</v>
      </c>
      <c r="H582" s="14">
        <f>G582-F582</f>
        <v>42</v>
      </c>
      <c r="I582" s="14">
        <f>ROUND(D582/E582,3)</f>
        <v>4.5999999999999999E-2</v>
      </c>
      <c r="J582" s="14">
        <f>I582*24</f>
        <v>1.1040000000000001</v>
      </c>
      <c r="K582" s="14">
        <f>VLOOKUP($C582,Rotation!$A$2:$J$10,2,FALSE)</f>
        <v>1</v>
      </c>
      <c r="L582" s="14">
        <f>VLOOKUP($C582,Rotation!$A$2:$J$10,3,FALSE)</f>
        <v>1</v>
      </c>
      <c r="M582" s="14">
        <f>VLOOKUP($C582,Rotation!$A$2:$J$10,4,FALSE)</f>
        <v>0</v>
      </c>
      <c r="N582" s="14">
        <f>VLOOKUP($C582,Rotation!$A$2:$J$10,5,FALSE)</f>
        <v>0</v>
      </c>
      <c r="O582" s="14">
        <f>VLOOKUP($C582,Rotation!$A$2:$J$10,6,FALSE)</f>
        <v>0</v>
      </c>
      <c r="P582" s="14">
        <f>VLOOKUP($C582,Rotation!$A$2:$J$10,7,FALSE)</f>
        <v>0</v>
      </c>
      <c r="Q582" s="14">
        <f>VLOOKUP($C582,Rotation!$A$2:$J$10,8,FALSE)</f>
        <v>0</v>
      </c>
      <c r="R582" s="14">
        <f>VLOOKUP($C582,Rotation!$A$2:$J$10,9,FALSE)</f>
        <v>0</v>
      </c>
      <c r="S582" s="14">
        <f>VLOOKUP($C582,Rotation!$A$2:$J$10,10,FALSE)</f>
        <v>0</v>
      </c>
    </row>
    <row r="583" spans="1:19" ht="18">
      <c r="A583" s="14">
        <v>581</v>
      </c>
      <c r="B583" s="14" t="s">
        <v>65</v>
      </c>
      <c r="C583" s="14" t="str">
        <f>VLOOKUP(B583,Family!B:C,2,FALSE)</f>
        <v>A</v>
      </c>
      <c r="D583" s="15">
        <v>19</v>
      </c>
      <c r="E583" s="14">
        <f>ROUND(VLOOKUP(C583,'Production Plan'!A:B,2,FALSE),2)</f>
        <v>407.17</v>
      </c>
      <c r="F583" s="16">
        <v>45792</v>
      </c>
      <c r="G583" s="17">
        <f>F583+6*7</f>
        <v>45834</v>
      </c>
      <c r="H583" s="14">
        <f>G583-F583</f>
        <v>42</v>
      </c>
      <c r="I583" s="14">
        <f>ROUND(D583/E583,3)</f>
        <v>4.7E-2</v>
      </c>
      <c r="J583" s="14">
        <f>I583*24</f>
        <v>1.1280000000000001</v>
      </c>
      <c r="K583" s="14">
        <f>VLOOKUP($C583,Rotation!$A$2:$J$10,2,FALSE)</f>
        <v>1</v>
      </c>
      <c r="L583" s="14">
        <f>VLOOKUP($C583,Rotation!$A$2:$J$10,3,FALSE)</f>
        <v>1</v>
      </c>
      <c r="M583" s="14">
        <f>VLOOKUP($C583,Rotation!$A$2:$J$10,4,FALSE)</f>
        <v>1</v>
      </c>
      <c r="N583" s="14">
        <f>VLOOKUP($C583,Rotation!$A$2:$J$10,5,FALSE)</f>
        <v>0</v>
      </c>
      <c r="O583" s="14">
        <f>VLOOKUP($C583,Rotation!$A$2:$J$10,6,FALSE)</f>
        <v>0</v>
      </c>
      <c r="P583" s="14">
        <f>VLOOKUP($C583,Rotation!$A$2:$J$10,7,FALSE)</f>
        <v>0</v>
      </c>
      <c r="Q583" s="14">
        <f>VLOOKUP($C583,Rotation!$A$2:$J$10,8,FALSE)</f>
        <v>0</v>
      </c>
      <c r="R583" s="14">
        <f>VLOOKUP($C583,Rotation!$A$2:$J$10,9,FALSE)</f>
        <v>0</v>
      </c>
      <c r="S583" s="14">
        <f>VLOOKUP($C583,Rotation!$A$2:$J$10,10,FALSE)</f>
        <v>0</v>
      </c>
    </row>
    <row r="584" spans="1:19" ht="18">
      <c r="A584" s="14">
        <v>582</v>
      </c>
      <c r="B584" s="14" t="s">
        <v>64</v>
      </c>
      <c r="C584" s="14" t="str">
        <f>VLOOKUP(B584,Family!B:C,2,FALSE)</f>
        <v>A</v>
      </c>
      <c r="D584" s="15">
        <v>111</v>
      </c>
      <c r="E584" s="14">
        <f>ROUND(VLOOKUP(C584,'Production Plan'!A:B,2,FALSE),2)</f>
        <v>407.17</v>
      </c>
      <c r="F584" s="16">
        <v>45793</v>
      </c>
      <c r="G584" s="17">
        <f>F584+6*7</f>
        <v>45835</v>
      </c>
      <c r="H584" s="14">
        <f>G584-F584</f>
        <v>42</v>
      </c>
      <c r="I584" s="14">
        <f>ROUND(D584/E584,3)</f>
        <v>0.27300000000000002</v>
      </c>
      <c r="J584" s="14">
        <f>I584*24</f>
        <v>6.5520000000000005</v>
      </c>
      <c r="K584" s="14">
        <f>VLOOKUP($C584,Rotation!$A$2:$J$10,2,FALSE)</f>
        <v>1</v>
      </c>
      <c r="L584" s="14">
        <f>VLOOKUP($C584,Rotation!$A$2:$J$10,3,FALSE)</f>
        <v>1</v>
      </c>
      <c r="M584" s="14">
        <f>VLOOKUP($C584,Rotation!$A$2:$J$10,4,FALSE)</f>
        <v>1</v>
      </c>
      <c r="N584" s="14">
        <f>VLOOKUP($C584,Rotation!$A$2:$J$10,5,FALSE)</f>
        <v>0</v>
      </c>
      <c r="O584" s="14">
        <f>VLOOKUP($C584,Rotation!$A$2:$J$10,6,FALSE)</f>
        <v>0</v>
      </c>
      <c r="P584" s="14">
        <f>VLOOKUP($C584,Rotation!$A$2:$J$10,7,FALSE)</f>
        <v>0</v>
      </c>
      <c r="Q584" s="14">
        <f>VLOOKUP($C584,Rotation!$A$2:$J$10,8,FALSE)</f>
        <v>0</v>
      </c>
      <c r="R584" s="14">
        <f>VLOOKUP($C584,Rotation!$A$2:$J$10,9,FALSE)</f>
        <v>0</v>
      </c>
      <c r="S584" s="14">
        <f>VLOOKUP($C584,Rotation!$A$2:$J$10,10,FALSE)</f>
        <v>0</v>
      </c>
    </row>
    <row r="585" spans="1:19" ht="18">
      <c r="A585" s="14">
        <v>583</v>
      </c>
      <c r="B585" s="14" t="s">
        <v>99</v>
      </c>
      <c r="C585" s="14" t="str">
        <f>VLOOKUP(B585,Family!B:C,2,FALSE)</f>
        <v>N</v>
      </c>
      <c r="D585" s="15">
        <v>238</v>
      </c>
      <c r="E585" s="14">
        <f>ROUND(VLOOKUP(C585,'Production Plan'!A:B,2,FALSE),2)</f>
        <v>334.18</v>
      </c>
      <c r="F585" s="16">
        <v>45791</v>
      </c>
      <c r="G585" s="17">
        <f>F585+6*7</f>
        <v>45833</v>
      </c>
      <c r="H585" s="14">
        <f>G585-F585</f>
        <v>42</v>
      </c>
      <c r="I585" s="14">
        <f>ROUND(D585/E585,3)</f>
        <v>0.71199999999999997</v>
      </c>
      <c r="J585" s="14">
        <f>I585*24</f>
        <v>17.088000000000001</v>
      </c>
      <c r="K585" s="14">
        <f>VLOOKUP($C585,Rotation!$A$2:$J$10,2,FALSE)</f>
        <v>1</v>
      </c>
      <c r="L585" s="14">
        <f>VLOOKUP($C585,Rotation!$A$2:$J$10,3,FALSE)</f>
        <v>0</v>
      </c>
      <c r="M585" s="14">
        <f>VLOOKUP($C585,Rotation!$A$2:$J$10,4,FALSE)</f>
        <v>0</v>
      </c>
      <c r="N585" s="14">
        <f>VLOOKUP($C585,Rotation!$A$2:$J$10,5,FALSE)</f>
        <v>0</v>
      </c>
      <c r="O585" s="14">
        <f>VLOOKUP($C585,Rotation!$A$2:$J$10,6,FALSE)</f>
        <v>0</v>
      </c>
      <c r="P585" s="14">
        <f>VLOOKUP($C585,Rotation!$A$2:$J$10,7,FALSE)</f>
        <v>0</v>
      </c>
      <c r="Q585" s="14">
        <f>VLOOKUP($C585,Rotation!$A$2:$J$10,8,FALSE)</f>
        <v>1</v>
      </c>
      <c r="R585" s="14">
        <f>VLOOKUP($C585,Rotation!$A$2:$J$10,9,FALSE)</f>
        <v>0</v>
      </c>
      <c r="S585" s="14">
        <f>VLOOKUP($C585,Rotation!$A$2:$J$10,10,FALSE)</f>
        <v>0</v>
      </c>
    </row>
    <row r="586" spans="1:19" ht="18">
      <c r="A586" s="14">
        <v>584</v>
      </c>
      <c r="B586" s="14" t="s">
        <v>108</v>
      </c>
      <c r="C586" s="14" t="str">
        <f>VLOOKUP(B586,Family!B:C,2,FALSE)</f>
        <v>P</v>
      </c>
      <c r="D586" s="15">
        <v>54</v>
      </c>
      <c r="E586" s="14">
        <f>ROUND(VLOOKUP(C586,'Production Plan'!A:B,2,FALSE),2)</f>
        <v>409.15</v>
      </c>
      <c r="F586" s="16">
        <v>45824</v>
      </c>
      <c r="G586" s="17">
        <f>F586+6*7</f>
        <v>45866</v>
      </c>
      <c r="H586" s="14">
        <f>G586-F586</f>
        <v>42</v>
      </c>
      <c r="I586" s="14">
        <f>ROUND(D586/E586,3)</f>
        <v>0.13200000000000001</v>
      </c>
      <c r="J586" s="14">
        <f>I586*24</f>
        <v>3.1680000000000001</v>
      </c>
      <c r="K586" s="14">
        <f>VLOOKUP($C586,Rotation!$A$2:$J$10,2,FALSE)</f>
        <v>1</v>
      </c>
      <c r="L586" s="14">
        <f>VLOOKUP($C586,Rotation!$A$2:$J$10,3,FALSE)</f>
        <v>1</v>
      </c>
      <c r="M586" s="14">
        <f>VLOOKUP($C586,Rotation!$A$2:$J$10,4,FALSE)</f>
        <v>0</v>
      </c>
      <c r="N586" s="14">
        <f>VLOOKUP($C586,Rotation!$A$2:$J$10,5,FALSE)</f>
        <v>0</v>
      </c>
      <c r="O586" s="14">
        <f>VLOOKUP($C586,Rotation!$A$2:$J$10,6,FALSE)</f>
        <v>0</v>
      </c>
      <c r="P586" s="14">
        <f>VLOOKUP($C586,Rotation!$A$2:$J$10,7,FALSE)</f>
        <v>0</v>
      </c>
      <c r="Q586" s="14">
        <f>VLOOKUP($C586,Rotation!$A$2:$J$10,8,FALSE)</f>
        <v>0</v>
      </c>
      <c r="R586" s="14">
        <f>VLOOKUP($C586,Rotation!$A$2:$J$10,9,FALSE)</f>
        <v>0</v>
      </c>
      <c r="S586" s="14">
        <f>VLOOKUP($C586,Rotation!$A$2:$J$10,10,FALSE)</f>
        <v>0</v>
      </c>
    </row>
    <row r="587" spans="1:19" ht="18">
      <c r="A587" s="14">
        <v>585</v>
      </c>
      <c r="B587" s="14" t="s">
        <v>70</v>
      </c>
      <c r="C587" s="14" t="str">
        <f>VLOOKUP(B587,Family!B:C,2,FALSE)</f>
        <v>A</v>
      </c>
      <c r="D587" s="15">
        <v>198</v>
      </c>
      <c r="E587" s="14">
        <f>ROUND(VLOOKUP(C587,'Production Plan'!A:B,2,FALSE),2)</f>
        <v>407.17</v>
      </c>
      <c r="F587" s="16">
        <v>45718</v>
      </c>
      <c r="G587" s="17">
        <f>F587+6*7</f>
        <v>45760</v>
      </c>
      <c r="H587" s="14">
        <f>G587-F587</f>
        <v>42</v>
      </c>
      <c r="I587" s="14">
        <f>ROUND(D587/E587,3)</f>
        <v>0.48599999999999999</v>
      </c>
      <c r="J587" s="14">
        <f>I587*24</f>
        <v>11.664</v>
      </c>
      <c r="K587" s="14">
        <f>VLOOKUP($C587,Rotation!$A$2:$J$10,2,FALSE)</f>
        <v>1</v>
      </c>
      <c r="L587" s="14">
        <f>VLOOKUP($C587,Rotation!$A$2:$J$10,3,FALSE)</f>
        <v>1</v>
      </c>
      <c r="M587" s="14">
        <f>VLOOKUP($C587,Rotation!$A$2:$J$10,4,FALSE)</f>
        <v>1</v>
      </c>
      <c r="N587" s="14">
        <f>VLOOKUP($C587,Rotation!$A$2:$J$10,5,FALSE)</f>
        <v>0</v>
      </c>
      <c r="O587" s="14">
        <f>VLOOKUP($C587,Rotation!$A$2:$J$10,6,FALSE)</f>
        <v>0</v>
      </c>
      <c r="P587" s="14">
        <f>VLOOKUP($C587,Rotation!$A$2:$J$10,7,FALSE)</f>
        <v>0</v>
      </c>
      <c r="Q587" s="14">
        <f>VLOOKUP($C587,Rotation!$A$2:$J$10,8,FALSE)</f>
        <v>0</v>
      </c>
      <c r="R587" s="14">
        <f>VLOOKUP($C587,Rotation!$A$2:$J$10,9,FALSE)</f>
        <v>0</v>
      </c>
      <c r="S587" s="14">
        <f>VLOOKUP($C587,Rotation!$A$2:$J$10,10,FALSE)</f>
        <v>0</v>
      </c>
    </row>
    <row r="588" spans="1:19" ht="18">
      <c r="A588" s="14">
        <v>586</v>
      </c>
      <c r="B588" s="14" t="s">
        <v>80</v>
      </c>
      <c r="C588" s="14" t="str">
        <f>VLOOKUP(B588,Family!B:C,2,FALSE)</f>
        <v>C</v>
      </c>
      <c r="D588" s="15">
        <v>19</v>
      </c>
      <c r="E588" s="14">
        <f>ROUND(VLOOKUP(C588,'Production Plan'!A:B,2,FALSE),2)</f>
        <v>411.11</v>
      </c>
      <c r="F588" s="16">
        <v>45722</v>
      </c>
      <c r="G588" s="17">
        <f>F588+6*7</f>
        <v>45764</v>
      </c>
      <c r="H588" s="14">
        <f>G588-F588</f>
        <v>42</v>
      </c>
      <c r="I588" s="14">
        <f>ROUND(D588/E588,3)</f>
        <v>4.5999999999999999E-2</v>
      </c>
      <c r="J588" s="14">
        <f>I588*24</f>
        <v>1.1040000000000001</v>
      </c>
      <c r="K588" s="14">
        <f>VLOOKUP($C588,Rotation!$A$2:$J$10,2,FALSE)</f>
        <v>1</v>
      </c>
      <c r="L588" s="14">
        <f>VLOOKUP($C588,Rotation!$A$2:$J$10,3,FALSE)</f>
        <v>0</v>
      </c>
      <c r="M588" s="14">
        <f>VLOOKUP($C588,Rotation!$A$2:$J$10,4,FALSE)</f>
        <v>0</v>
      </c>
      <c r="N588" s="14">
        <f>VLOOKUP($C588,Rotation!$A$2:$J$10,5,FALSE)</f>
        <v>0</v>
      </c>
      <c r="O588" s="14">
        <f>VLOOKUP($C588,Rotation!$A$2:$J$10,6,FALSE)</f>
        <v>1</v>
      </c>
      <c r="P588" s="14">
        <f>VLOOKUP($C588,Rotation!$A$2:$J$10,7,FALSE)</f>
        <v>0</v>
      </c>
      <c r="Q588" s="14">
        <f>VLOOKUP($C588,Rotation!$A$2:$J$10,8,FALSE)</f>
        <v>0</v>
      </c>
      <c r="R588" s="14">
        <f>VLOOKUP($C588,Rotation!$A$2:$J$10,9,FALSE)</f>
        <v>0</v>
      </c>
      <c r="S588" s="14">
        <f>VLOOKUP($C588,Rotation!$A$2:$J$10,10,FALSE)</f>
        <v>0</v>
      </c>
    </row>
    <row r="589" spans="1:19" ht="18">
      <c r="A589" s="14">
        <v>587</v>
      </c>
      <c r="B589" s="14" t="s">
        <v>77</v>
      </c>
      <c r="C589" s="14" t="str">
        <f>VLOOKUP(B589,Family!B:C,2,FALSE)</f>
        <v>E</v>
      </c>
      <c r="D589" s="15">
        <v>18</v>
      </c>
      <c r="E589" s="14">
        <f>ROUND(VLOOKUP(C589,'Production Plan'!A:B,2,FALSE),2)</f>
        <v>333.66</v>
      </c>
      <c r="F589" s="16">
        <v>45778</v>
      </c>
      <c r="G589" s="17">
        <f>F589+6*7</f>
        <v>45820</v>
      </c>
      <c r="H589" s="14">
        <f>G589-F589</f>
        <v>42</v>
      </c>
      <c r="I589" s="14">
        <f>ROUND(D589/E589,3)</f>
        <v>5.3999999999999999E-2</v>
      </c>
      <c r="J589" s="14">
        <f>I589*24</f>
        <v>1.296</v>
      </c>
      <c r="K589" s="14">
        <f>VLOOKUP($C589,Rotation!$A$2:$J$10,2,FALSE)</f>
        <v>1</v>
      </c>
      <c r="L589" s="14">
        <f>VLOOKUP($C589,Rotation!$A$2:$J$10,3,FALSE)</f>
        <v>0</v>
      </c>
      <c r="M589" s="14">
        <f>VLOOKUP($C589,Rotation!$A$2:$J$10,4,FALSE)</f>
        <v>0</v>
      </c>
      <c r="N589" s="14">
        <f>VLOOKUP($C589,Rotation!$A$2:$J$10,5,FALSE)</f>
        <v>0</v>
      </c>
      <c r="O589" s="14">
        <f>VLOOKUP($C589,Rotation!$A$2:$J$10,6,FALSE)</f>
        <v>0</v>
      </c>
      <c r="P589" s="14">
        <f>VLOOKUP($C589,Rotation!$A$2:$J$10,7,FALSE)</f>
        <v>1</v>
      </c>
      <c r="Q589" s="14">
        <f>VLOOKUP($C589,Rotation!$A$2:$J$10,8,FALSE)</f>
        <v>0</v>
      </c>
      <c r="R589" s="14">
        <f>VLOOKUP($C589,Rotation!$A$2:$J$10,9,FALSE)</f>
        <v>0</v>
      </c>
      <c r="S589" s="14">
        <f>VLOOKUP($C589,Rotation!$A$2:$J$10,10,FALSE)</f>
        <v>0</v>
      </c>
    </row>
    <row r="590" spans="1:19" ht="18">
      <c r="A590" s="14">
        <v>588</v>
      </c>
      <c r="B590" s="14" t="s">
        <v>113</v>
      </c>
      <c r="C590" s="14" t="str">
        <f>VLOOKUP(B590,Family!B:C,2,FALSE)</f>
        <v>P</v>
      </c>
      <c r="D590" s="15">
        <v>121</v>
      </c>
      <c r="E590" s="14">
        <f>ROUND(VLOOKUP(C590,'Production Plan'!A:B,2,FALSE),2)</f>
        <v>409.15</v>
      </c>
      <c r="F590" s="16">
        <v>45727</v>
      </c>
      <c r="G590" s="17">
        <f>F590+6*7</f>
        <v>45769</v>
      </c>
      <c r="H590" s="14">
        <f>G590-F590</f>
        <v>42</v>
      </c>
      <c r="I590" s="14">
        <f>ROUND(D590/E590,3)</f>
        <v>0.29599999999999999</v>
      </c>
      <c r="J590" s="14">
        <f>I590*24</f>
        <v>7.1039999999999992</v>
      </c>
      <c r="K590" s="14">
        <f>VLOOKUP($C590,Rotation!$A$2:$J$10,2,FALSE)</f>
        <v>1</v>
      </c>
      <c r="L590" s="14">
        <f>VLOOKUP($C590,Rotation!$A$2:$J$10,3,FALSE)</f>
        <v>1</v>
      </c>
      <c r="M590" s="14">
        <f>VLOOKUP($C590,Rotation!$A$2:$J$10,4,FALSE)</f>
        <v>0</v>
      </c>
      <c r="N590" s="14">
        <f>VLOOKUP($C590,Rotation!$A$2:$J$10,5,FALSE)</f>
        <v>0</v>
      </c>
      <c r="O590" s="14">
        <f>VLOOKUP($C590,Rotation!$A$2:$J$10,6,FALSE)</f>
        <v>0</v>
      </c>
      <c r="P590" s="14">
        <f>VLOOKUP($C590,Rotation!$A$2:$J$10,7,FALSE)</f>
        <v>0</v>
      </c>
      <c r="Q590" s="14">
        <f>VLOOKUP($C590,Rotation!$A$2:$J$10,8,FALSE)</f>
        <v>0</v>
      </c>
      <c r="R590" s="14">
        <f>VLOOKUP($C590,Rotation!$A$2:$J$10,9,FALSE)</f>
        <v>0</v>
      </c>
      <c r="S590" s="14">
        <f>VLOOKUP($C590,Rotation!$A$2:$J$10,10,FALSE)</f>
        <v>0</v>
      </c>
    </row>
    <row r="591" spans="1:19" ht="18">
      <c r="A591" s="14">
        <v>589</v>
      </c>
      <c r="B591" s="14" t="s">
        <v>80</v>
      </c>
      <c r="C591" s="14" t="str">
        <f>VLOOKUP(B591,Family!B:C,2,FALSE)</f>
        <v>C</v>
      </c>
      <c r="D591" s="15">
        <v>19</v>
      </c>
      <c r="E591" s="14">
        <f>ROUND(VLOOKUP(C591,'Production Plan'!A:B,2,FALSE),2)</f>
        <v>411.11</v>
      </c>
      <c r="F591" s="16">
        <v>45754</v>
      </c>
      <c r="G591" s="17">
        <f>F591+6*7</f>
        <v>45796</v>
      </c>
      <c r="H591" s="14">
        <f>G591-F591</f>
        <v>42</v>
      </c>
      <c r="I591" s="14">
        <f>ROUND(D591/E591,3)</f>
        <v>4.5999999999999999E-2</v>
      </c>
      <c r="J591" s="14">
        <f>I591*24</f>
        <v>1.1040000000000001</v>
      </c>
      <c r="K591" s="14">
        <f>VLOOKUP($C591,Rotation!$A$2:$J$10,2,FALSE)</f>
        <v>1</v>
      </c>
      <c r="L591" s="14">
        <f>VLOOKUP($C591,Rotation!$A$2:$J$10,3,FALSE)</f>
        <v>0</v>
      </c>
      <c r="M591" s="14">
        <f>VLOOKUP($C591,Rotation!$A$2:$J$10,4,FALSE)</f>
        <v>0</v>
      </c>
      <c r="N591" s="14">
        <f>VLOOKUP($C591,Rotation!$A$2:$J$10,5,FALSE)</f>
        <v>0</v>
      </c>
      <c r="O591" s="14">
        <f>VLOOKUP($C591,Rotation!$A$2:$J$10,6,FALSE)</f>
        <v>1</v>
      </c>
      <c r="P591" s="14">
        <f>VLOOKUP($C591,Rotation!$A$2:$J$10,7,FALSE)</f>
        <v>0</v>
      </c>
      <c r="Q591" s="14">
        <f>VLOOKUP($C591,Rotation!$A$2:$J$10,8,FALSE)</f>
        <v>0</v>
      </c>
      <c r="R591" s="14">
        <f>VLOOKUP($C591,Rotation!$A$2:$J$10,9,FALSE)</f>
        <v>0</v>
      </c>
      <c r="S591" s="14">
        <f>VLOOKUP($C591,Rotation!$A$2:$J$10,10,FALSE)</f>
        <v>0</v>
      </c>
    </row>
    <row r="592" spans="1:19" ht="18">
      <c r="A592" s="14">
        <v>590</v>
      </c>
      <c r="B592" s="14" t="s">
        <v>65</v>
      </c>
      <c r="C592" s="14" t="str">
        <f>VLOOKUP(B592,Family!B:C,2,FALSE)</f>
        <v>A</v>
      </c>
      <c r="D592" s="15">
        <v>19</v>
      </c>
      <c r="E592" s="14">
        <f>ROUND(VLOOKUP(C592,'Production Plan'!A:B,2,FALSE),2)</f>
        <v>407.17</v>
      </c>
      <c r="F592" s="16">
        <v>45792</v>
      </c>
      <c r="G592" s="17">
        <f>F592+6*7</f>
        <v>45834</v>
      </c>
      <c r="H592" s="14">
        <f>G592-F592</f>
        <v>42</v>
      </c>
      <c r="I592" s="14">
        <f>ROUND(D592/E592,3)</f>
        <v>4.7E-2</v>
      </c>
      <c r="J592" s="14">
        <f>I592*24</f>
        <v>1.1280000000000001</v>
      </c>
      <c r="K592" s="14">
        <f>VLOOKUP($C592,Rotation!$A$2:$J$10,2,FALSE)</f>
        <v>1</v>
      </c>
      <c r="L592" s="14">
        <f>VLOOKUP($C592,Rotation!$A$2:$J$10,3,FALSE)</f>
        <v>1</v>
      </c>
      <c r="M592" s="14">
        <f>VLOOKUP($C592,Rotation!$A$2:$J$10,4,FALSE)</f>
        <v>1</v>
      </c>
      <c r="N592" s="14">
        <f>VLOOKUP($C592,Rotation!$A$2:$J$10,5,FALSE)</f>
        <v>0</v>
      </c>
      <c r="O592" s="14">
        <f>VLOOKUP($C592,Rotation!$A$2:$J$10,6,FALSE)</f>
        <v>0</v>
      </c>
      <c r="P592" s="14">
        <f>VLOOKUP($C592,Rotation!$A$2:$J$10,7,FALSE)</f>
        <v>0</v>
      </c>
      <c r="Q592" s="14">
        <f>VLOOKUP($C592,Rotation!$A$2:$J$10,8,FALSE)</f>
        <v>0</v>
      </c>
      <c r="R592" s="14">
        <f>VLOOKUP($C592,Rotation!$A$2:$J$10,9,FALSE)</f>
        <v>0</v>
      </c>
      <c r="S592" s="14">
        <f>VLOOKUP($C592,Rotation!$A$2:$J$10,10,FALSE)</f>
        <v>0</v>
      </c>
    </row>
    <row r="593" spans="1:19" ht="18">
      <c r="A593" s="14">
        <v>591</v>
      </c>
      <c r="B593" s="14" t="s">
        <v>87</v>
      </c>
      <c r="C593" s="14" t="str">
        <f>VLOOKUP(B593,Family!B:C,2,FALSE)</f>
        <v>E</v>
      </c>
      <c r="D593" s="15">
        <v>18</v>
      </c>
      <c r="E593" s="14">
        <f>ROUND(VLOOKUP(C593,'Production Plan'!A:B,2,FALSE),2)</f>
        <v>333.66</v>
      </c>
      <c r="F593" s="16">
        <v>45785</v>
      </c>
      <c r="G593" s="17">
        <f>F593+6*7</f>
        <v>45827</v>
      </c>
      <c r="H593" s="14">
        <f>G593-F593</f>
        <v>42</v>
      </c>
      <c r="I593" s="14">
        <f>ROUND(D593/E593,3)</f>
        <v>5.3999999999999999E-2</v>
      </c>
      <c r="J593" s="14">
        <f>I593*24</f>
        <v>1.296</v>
      </c>
      <c r="K593" s="14">
        <f>VLOOKUP($C593,Rotation!$A$2:$J$10,2,FALSE)</f>
        <v>1</v>
      </c>
      <c r="L593" s="14">
        <f>VLOOKUP($C593,Rotation!$A$2:$J$10,3,FALSE)</f>
        <v>0</v>
      </c>
      <c r="M593" s="14">
        <f>VLOOKUP($C593,Rotation!$A$2:$J$10,4,FALSE)</f>
        <v>0</v>
      </c>
      <c r="N593" s="14">
        <f>VLOOKUP($C593,Rotation!$A$2:$J$10,5,FALSE)</f>
        <v>0</v>
      </c>
      <c r="O593" s="14">
        <f>VLOOKUP($C593,Rotation!$A$2:$J$10,6,FALSE)</f>
        <v>0</v>
      </c>
      <c r="P593" s="14">
        <f>VLOOKUP($C593,Rotation!$A$2:$J$10,7,FALSE)</f>
        <v>1</v>
      </c>
      <c r="Q593" s="14">
        <f>VLOOKUP($C593,Rotation!$A$2:$J$10,8,FALSE)</f>
        <v>0</v>
      </c>
      <c r="R593" s="14">
        <f>VLOOKUP($C593,Rotation!$A$2:$J$10,9,FALSE)</f>
        <v>0</v>
      </c>
      <c r="S593" s="14">
        <f>VLOOKUP($C593,Rotation!$A$2:$J$10,10,FALSE)</f>
        <v>0</v>
      </c>
    </row>
    <row r="594" spans="1:19" ht="18">
      <c r="A594" s="14">
        <v>592</v>
      </c>
      <c r="B594" s="14" t="s">
        <v>72</v>
      </c>
      <c r="C594" s="14" t="str">
        <f>VLOOKUP(B594,Family!B:C,2,FALSE)</f>
        <v>A</v>
      </c>
      <c r="D594" s="15">
        <v>24</v>
      </c>
      <c r="E594" s="14">
        <f>ROUND(VLOOKUP(C594,'Production Plan'!A:B,2,FALSE),2)</f>
        <v>407.17</v>
      </c>
      <c r="F594" s="16">
        <v>45786</v>
      </c>
      <c r="G594" s="17">
        <f>F594+6*7</f>
        <v>45828</v>
      </c>
      <c r="H594" s="14">
        <f>G594-F594</f>
        <v>42</v>
      </c>
      <c r="I594" s="14">
        <f>ROUND(D594/E594,3)</f>
        <v>5.8999999999999997E-2</v>
      </c>
      <c r="J594" s="14">
        <f>I594*24</f>
        <v>1.4159999999999999</v>
      </c>
      <c r="K594" s="14">
        <f>VLOOKUP($C594,Rotation!$A$2:$J$10,2,FALSE)</f>
        <v>1</v>
      </c>
      <c r="L594" s="14">
        <f>VLOOKUP($C594,Rotation!$A$2:$J$10,3,FALSE)</f>
        <v>1</v>
      </c>
      <c r="M594" s="14">
        <f>VLOOKUP($C594,Rotation!$A$2:$J$10,4,FALSE)</f>
        <v>1</v>
      </c>
      <c r="N594" s="14">
        <f>VLOOKUP($C594,Rotation!$A$2:$J$10,5,FALSE)</f>
        <v>0</v>
      </c>
      <c r="O594" s="14">
        <f>VLOOKUP($C594,Rotation!$A$2:$J$10,6,FALSE)</f>
        <v>0</v>
      </c>
      <c r="P594" s="14">
        <f>VLOOKUP($C594,Rotation!$A$2:$J$10,7,FALSE)</f>
        <v>0</v>
      </c>
      <c r="Q594" s="14">
        <f>VLOOKUP($C594,Rotation!$A$2:$J$10,8,FALSE)</f>
        <v>0</v>
      </c>
      <c r="R594" s="14">
        <f>VLOOKUP($C594,Rotation!$A$2:$J$10,9,FALSE)</f>
        <v>0</v>
      </c>
      <c r="S594" s="14">
        <f>VLOOKUP($C594,Rotation!$A$2:$J$10,10,FALSE)</f>
        <v>0</v>
      </c>
    </row>
    <row r="595" spans="1:19" ht="18">
      <c r="A595" s="14">
        <v>593</v>
      </c>
      <c r="B595" s="14" t="s">
        <v>64</v>
      </c>
      <c r="C595" s="14" t="str">
        <f>VLOOKUP(B595,Family!B:C,2,FALSE)</f>
        <v>A</v>
      </c>
      <c r="D595" s="15">
        <v>111</v>
      </c>
      <c r="E595" s="14">
        <f>ROUND(VLOOKUP(C595,'Production Plan'!A:B,2,FALSE),2)</f>
        <v>407.17</v>
      </c>
      <c r="F595" s="16">
        <v>45793</v>
      </c>
      <c r="G595" s="17">
        <f>F595+6*7</f>
        <v>45835</v>
      </c>
      <c r="H595" s="14">
        <f>G595-F595</f>
        <v>42</v>
      </c>
      <c r="I595" s="14">
        <f>ROUND(D595/E595,3)</f>
        <v>0.27300000000000002</v>
      </c>
      <c r="J595" s="14">
        <f>I595*24</f>
        <v>6.5520000000000005</v>
      </c>
      <c r="K595" s="14">
        <f>VLOOKUP($C595,Rotation!$A$2:$J$10,2,FALSE)</f>
        <v>1</v>
      </c>
      <c r="L595" s="14">
        <f>VLOOKUP($C595,Rotation!$A$2:$J$10,3,FALSE)</f>
        <v>1</v>
      </c>
      <c r="M595" s="14">
        <f>VLOOKUP($C595,Rotation!$A$2:$J$10,4,FALSE)</f>
        <v>1</v>
      </c>
      <c r="N595" s="14">
        <f>VLOOKUP($C595,Rotation!$A$2:$J$10,5,FALSE)</f>
        <v>0</v>
      </c>
      <c r="O595" s="14">
        <f>VLOOKUP($C595,Rotation!$A$2:$J$10,6,FALSE)</f>
        <v>0</v>
      </c>
      <c r="P595" s="14">
        <f>VLOOKUP($C595,Rotation!$A$2:$J$10,7,FALSE)</f>
        <v>0</v>
      </c>
      <c r="Q595" s="14">
        <f>VLOOKUP($C595,Rotation!$A$2:$J$10,8,FALSE)</f>
        <v>0</v>
      </c>
      <c r="R595" s="14">
        <f>VLOOKUP($C595,Rotation!$A$2:$J$10,9,FALSE)</f>
        <v>0</v>
      </c>
      <c r="S595" s="14">
        <f>VLOOKUP($C595,Rotation!$A$2:$J$10,10,FALSE)</f>
        <v>0</v>
      </c>
    </row>
    <row r="596" spans="1:19" ht="18">
      <c r="A596" s="14">
        <v>594</v>
      </c>
      <c r="B596" s="14" t="s">
        <v>104</v>
      </c>
      <c r="C596" s="14" t="str">
        <f>VLOOKUP(B596,Family!B:C,2,FALSE)</f>
        <v>H</v>
      </c>
      <c r="D596" s="15">
        <v>21</v>
      </c>
      <c r="E596" s="14">
        <f>ROUND(VLOOKUP(C596,'Production Plan'!A:B,2,FALSE),2)</f>
        <v>402.02</v>
      </c>
      <c r="F596" s="16">
        <v>45799</v>
      </c>
      <c r="G596" s="17">
        <f>F596+6*7</f>
        <v>45841</v>
      </c>
      <c r="H596" s="14">
        <f>G596-F596</f>
        <v>42</v>
      </c>
      <c r="I596" s="14">
        <f>ROUND(D596/E596,3)</f>
        <v>5.1999999999999998E-2</v>
      </c>
      <c r="J596" s="14">
        <f>I596*24</f>
        <v>1.248</v>
      </c>
      <c r="K596" s="14">
        <f>VLOOKUP($C596,Rotation!$A$2:$J$10,2,FALSE)</f>
        <v>0</v>
      </c>
      <c r="L596" s="14">
        <f>VLOOKUP($C596,Rotation!$A$2:$J$10,3,FALSE)</f>
        <v>0</v>
      </c>
      <c r="M596" s="14">
        <f>VLOOKUP($C596,Rotation!$A$2:$J$10,4,FALSE)</f>
        <v>1</v>
      </c>
      <c r="N596" s="14">
        <f>VLOOKUP($C596,Rotation!$A$2:$J$10,5,FALSE)</f>
        <v>1</v>
      </c>
      <c r="O596" s="14">
        <f>VLOOKUP($C596,Rotation!$A$2:$J$10,6,FALSE)</f>
        <v>0</v>
      </c>
      <c r="P596" s="14">
        <f>VLOOKUP($C596,Rotation!$A$2:$J$10,7,FALSE)</f>
        <v>0</v>
      </c>
      <c r="Q596" s="14">
        <f>VLOOKUP($C596,Rotation!$A$2:$J$10,8,FALSE)</f>
        <v>0</v>
      </c>
      <c r="R596" s="14">
        <f>VLOOKUP($C596,Rotation!$A$2:$J$10,9,FALSE)</f>
        <v>0</v>
      </c>
      <c r="S596" s="14">
        <f>VLOOKUP($C596,Rotation!$A$2:$J$10,10,FALSE)</f>
        <v>0</v>
      </c>
    </row>
    <row r="597" spans="1:19" ht="18">
      <c r="A597" s="14">
        <v>595</v>
      </c>
      <c r="B597" s="14" t="s">
        <v>65</v>
      </c>
      <c r="C597" s="14" t="str">
        <f>VLOOKUP(B597,Family!B:C,2,FALSE)</f>
        <v>A</v>
      </c>
      <c r="D597" s="15">
        <v>19</v>
      </c>
      <c r="E597" s="14">
        <f>ROUND(VLOOKUP(C597,'Production Plan'!A:B,2,FALSE),2)</f>
        <v>407.17</v>
      </c>
      <c r="F597" s="16">
        <v>45792</v>
      </c>
      <c r="G597" s="17">
        <f>F597+6*7</f>
        <v>45834</v>
      </c>
      <c r="H597" s="14">
        <f>G597-F597</f>
        <v>42</v>
      </c>
      <c r="I597" s="14">
        <f>ROUND(D597/E597,3)</f>
        <v>4.7E-2</v>
      </c>
      <c r="J597" s="14">
        <f>I597*24</f>
        <v>1.1280000000000001</v>
      </c>
      <c r="K597" s="14">
        <f>VLOOKUP($C597,Rotation!$A$2:$J$10,2,FALSE)</f>
        <v>1</v>
      </c>
      <c r="L597" s="14">
        <f>VLOOKUP($C597,Rotation!$A$2:$J$10,3,FALSE)</f>
        <v>1</v>
      </c>
      <c r="M597" s="14">
        <f>VLOOKUP($C597,Rotation!$A$2:$J$10,4,FALSE)</f>
        <v>1</v>
      </c>
      <c r="N597" s="14">
        <f>VLOOKUP($C597,Rotation!$A$2:$J$10,5,FALSE)</f>
        <v>0</v>
      </c>
      <c r="O597" s="14">
        <f>VLOOKUP($C597,Rotation!$A$2:$J$10,6,FALSE)</f>
        <v>0</v>
      </c>
      <c r="P597" s="14">
        <f>VLOOKUP($C597,Rotation!$A$2:$J$10,7,FALSE)</f>
        <v>0</v>
      </c>
      <c r="Q597" s="14">
        <f>VLOOKUP($C597,Rotation!$A$2:$J$10,8,FALSE)</f>
        <v>0</v>
      </c>
      <c r="R597" s="14">
        <f>VLOOKUP($C597,Rotation!$A$2:$J$10,9,FALSE)</f>
        <v>0</v>
      </c>
      <c r="S597" s="14">
        <f>VLOOKUP($C597,Rotation!$A$2:$J$10,10,FALSE)</f>
        <v>0</v>
      </c>
    </row>
    <row r="598" spans="1:19" ht="18">
      <c r="A598" s="14">
        <v>596</v>
      </c>
      <c r="B598" s="14" t="s">
        <v>105</v>
      </c>
      <c r="C598" s="14" t="str">
        <f>VLOOKUP(B598,Family!B:C,2,FALSE)</f>
        <v>N</v>
      </c>
      <c r="D598" s="15">
        <v>358</v>
      </c>
      <c r="E598" s="14">
        <f>ROUND(VLOOKUP(C598,'Production Plan'!A:B,2,FALSE),2)</f>
        <v>334.18</v>
      </c>
      <c r="F598" s="16">
        <v>45729</v>
      </c>
      <c r="G598" s="17">
        <f>F598+6*7</f>
        <v>45771</v>
      </c>
      <c r="H598" s="14">
        <f>G598-F598</f>
        <v>42</v>
      </c>
      <c r="I598" s="14">
        <f>ROUND(D598/E598,3)</f>
        <v>1.071</v>
      </c>
      <c r="J598" s="14">
        <f>I598*24</f>
        <v>25.704000000000001</v>
      </c>
      <c r="K598" s="14">
        <f>VLOOKUP($C598,Rotation!$A$2:$J$10,2,FALSE)</f>
        <v>1</v>
      </c>
      <c r="L598" s="14">
        <f>VLOOKUP($C598,Rotation!$A$2:$J$10,3,FALSE)</f>
        <v>0</v>
      </c>
      <c r="M598" s="14">
        <f>VLOOKUP($C598,Rotation!$A$2:$J$10,4,FALSE)</f>
        <v>0</v>
      </c>
      <c r="N598" s="14">
        <f>VLOOKUP($C598,Rotation!$A$2:$J$10,5,FALSE)</f>
        <v>0</v>
      </c>
      <c r="O598" s="14">
        <f>VLOOKUP($C598,Rotation!$A$2:$J$10,6,FALSE)</f>
        <v>0</v>
      </c>
      <c r="P598" s="14">
        <f>VLOOKUP($C598,Rotation!$A$2:$J$10,7,FALSE)</f>
        <v>0</v>
      </c>
      <c r="Q598" s="14">
        <f>VLOOKUP($C598,Rotation!$A$2:$J$10,8,FALSE)</f>
        <v>1</v>
      </c>
      <c r="R598" s="14">
        <f>VLOOKUP($C598,Rotation!$A$2:$J$10,9,FALSE)</f>
        <v>0</v>
      </c>
      <c r="S598" s="14">
        <f>VLOOKUP($C598,Rotation!$A$2:$J$10,10,FALSE)</f>
        <v>0</v>
      </c>
    </row>
    <row r="599" spans="1:19" ht="18">
      <c r="A599" s="14">
        <v>597</v>
      </c>
      <c r="B599" s="14" t="s">
        <v>65</v>
      </c>
      <c r="C599" s="14" t="str">
        <f>VLOOKUP(B599,Family!B:C,2,FALSE)</f>
        <v>A</v>
      </c>
      <c r="D599" s="15">
        <v>19</v>
      </c>
      <c r="E599" s="14">
        <f>ROUND(VLOOKUP(C599,'Production Plan'!A:B,2,FALSE),2)</f>
        <v>407.17</v>
      </c>
      <c r="F599" s="16">
        <v>45792</v>
      </c>
      <c r="G599" s="17">
        <f>F599+6*7</f>
        <v>45834</v>
      </c>
      <c r="H599" s="14">
        <f>G599-F599</f>
        <v>42</v>
      </c>
      <c r="I599" s="14">
        <f>ROUND(D599/E599,3)</f>
        <v>4.7E-2</v>
      </c>
      <c r="J599" s="14">
        <f>I599*24</f>
        <v>1.1280000000000001</v>
      </c>
      <c r="K599" s="14">
        <f>VLOOKUP($C599,Rotation!$A$2:$J$10,2,FALSE)</f>
        <v>1</v>
      </c>
      <c r="L599" s="14">
        <f>VLOOKUP($C599,Rotation!$A$2:$J$10,3,FALSE)</f>
        <v>1</v>
      </c>
      <c r="M599" s="14">
        <f>VLOOKUP($C599,Rotation!$A$2:$J$10,4,FALSE)</f>
        <v>1</v>
      </c>
      <c r="N599" s="14">
        <f>VLOOKUP($C599,Rotation!$A$2:$J$10,5,FALSE)</f>
        <v>0</v>
      </c>
      <c r="O599" s="14">
        <f>VLOOKUP($C599,Rotation!$A$2:$J$10,6,FALSE)</f>
        <v>0</v>
      </c>
      <c r="P599" s="14">
        <f>VLOOKUP($C599,Rotation!$A$2:$J$10,7,FALSE)</f>
        <v>0</v>
      </c>
      <c r="Q599" s="14">
        <f>VLOOKUP($C599,Rotation!$A$2:$J$10,8,FALSE)</f>
        <v>0</v>
      </c>
      <c r="R599" s="14">
        <f>VLOOKUP($C599,Rotation!$A$2:$J$10,9,FALSE)</f>
        <v>0</v>
      </c>
      <c r="S599" s="14">
        <f>VLOOKUP($C599,Rotation!$A$2:$J$10,10,FALSE)</f>
        <v>0</v>
      </c>
    </row>
    <row r="600" spans="1:19" ht="18">
      <c r="A600" s="14">
        <v>598</v>
      </c>
      <c r="B600" s="14" t="s">
        <v>64</v>
      </c>
      <c r="C600" s="14" t="str">
        <f>VLOOKUP(B600,Family!B:C,2,FALSE)</f>
        <v>A</v>
      </c>
      <c r="D600" s="15">
        <v>111</v>
      </c>
      <c r="E600" s="14">
        <f>ROUND(VLOOKUP(C600,'Production Plan'!A:B,2,FALSE),2)</f>
        <v>407.17</v>
      </c>
      <c r="F600" s="16">
        <v>45793</v>
      </c>
      <c r="G600" s="17">
        <f>F600+6*7</f>
        <v>45835</v>
      </c>
      <c r="H600" s="14">
        <f>G600-F600</f>
        <v>42</v>
      </c>
      <c r="I600" s="14">
        <f>ROUND(D600/E600,3)</f>
        <v>0.27300000000000002</v>
      </c>
      <c r="J600" s="14">
        <f>I600*24</f>
        <v>6.5520000000000005</v>
      </c>
      <c r="K600" s="14">
        <f>VLOOKUP($C600,Rotation!$A$2:$J$10,2,FALSE)</f>
        <v>1</v>
      </c>
      <c r="L600" s="14">
        <f>VLOOKUP($C600,Rotation!$A$2:$J$10,3,FALSE)</f>
        <v>1</v>
      </c>
      <c r="M600" s="14">
        <f>VLOOKUP($C600,Rotation!$A$2:$J$10,4,FALSE)</f>
        <v>1</v>
      </c>
      <c r="N600" s="14">
        <f>VLOOKUP($C600,Rotation!$A$2:$J$10,5,FALSE)</f>
        <v>0</v>
      </c>
      <c r="O600" s="14">
        <f>VLOOKUP($C600,Rotation!$A$2:$J$10,6,FALSE)</f>
        <v>0</v>
      </c>
      <c r="P600" s="14">
        <f>VLOOKUP($C600,Rotation!$A$2:$J$10,7,FALSE)</f>
        <v>0</v>
      </c>
      <c r="Q600" s="14">
        <f>VLOOKUP($C600,Rotation!$A$2:$J$10,8,FALSE)</f>
        <v>0</v>
      </c>
      <c r="R600" s="14">
        <f>VLOOKUP($C600,Rotation!$A$2:$J$10,9,FALSE)</f>
        <v>0</v>
      </c>
      <c r="S600" s="14">
        <f>VLOOKUP($C600,Rotation!$A$2:$J$10,10,FALSE)</f>
        <v>0</v>
      </c>
    </row>
    <row r="601" spans="1:19" ht="18">
      <c r="A601" s="14">
        <v>599</v>
      </c>
      <c r="B601" s="14" t="s">
        <v>66</v>
      </c>
      <c r="C601" s="14" t="str">
        <f>VLOOKUP(B601,Family!B:C,2,FALSE)</f>
        <v>A</v>
      </c>
      <c r="D601" s="15">
        <v>54</v>
      </c>
      <c r="E601" s="14">
        <f>ROUND(VLOOKUP(C601,'Production Plan'!A:B,2,FALSE),2)</f>
        <v>407.17</v>
      </c>
      <c r="F601" s="16">
        <v>45807</v>
      </c>
      <c r="G601" s="17">
        <f>F601+6*7</f>
        <v>45849</v>
      </c>
      <c r="H601" s="14">
        <f>G601-F601</f>
        <v>42</v>
      </c>
      <c r="I601" s="14">
        <f>ROUND(D601/E601,3)</f>
        <v>0.13300000000000001</v>
      </c>
      <c r="J601" s="14">
        <f>I601*24</f>
        <v>3.1920000000000002</v>
      </c>
      <c r="K601" s="14">
        <f>VLOOKUP($C601,Rotation!$A$2:$J$10,2,FALSE)</f>
        <v>1</v>
      </c>
      <c r="L601" s="14">
        <f>VLOOKUP($C601,Rotation!$A$2:$J$10,3,FALSE)</f>
        <v>1</v>
      </c>
      <c r="M601" s="14">
        <f>VLOOKUP($C601,Rotation!$A$2:$J$10,4,FALSE)</f>
        <v>1</v>
      </c>
      <c r="N601" s="14">
        <f>VLOOKUP($C601,Rotation!$A$2:$J$10,5,FALSE)</f>
        <v>0</v>
      </c>
      <c r="O601" s="14">
        <f>VLOOKUP($C601,Rotation!$A$2:$J$10,6,FALSE)</f>
        <v>0</v>
      </c>
      <c r="P601" s="14">
        <f>VLOOKUP($C601,Rotation!$A$2:$J$10,7,FALSE)</f>
        <v>0</v>
      </c>
      <c r="Q601" s="14">
        <f>VLOOKUP($C601,Rotation!$A$2:$J$10,8,FALSE)</f>
        <v>0</v>
      </c>
      <c r="R601" s="14">
        <f>VLOOKUP($C601,Rotation!$A$2:$J$10,9,FALSE)</f>
        <v>0</v>
      </c>
      <c r="S601" s="14">
        <f>VLOOKUP($C601,Rotation!$A$2:$J$10,10,FALSE)</f>
        <v>0</v>
      </c>
    </row>
    <row r="602" spans="1:19" ht="18">
      <c r="A602" s="14">
        <v>600</v>
      </c>
      <c r="B602" s="14" t="s">
        <v>66</v>
      </c>
      <c r="C602" s="14" t="str">
        <f>VLOOKUP(B602,Family!B:C,2,FALSE)</f>
        <v>A</v>
      </c>
      <c r="D602" s="15">
        <v>54</v>
      </c>
      <c r="E602" s="14">
        <f>ROUND(VLOOKUP(C602,'Production Plan'!A:B,2,FALSE),2)</f>
        <v>407.17</v>
      </c>
      <c r="F602" s="16">
        <v>45807</v>
      </c>
      <c r="G602" s="17">
        <f>F602+6*7</f>
        <v>45849</v>
      </c>
      <c r="H602" s="14">
        <f>G602-F602</f>
        <v>42</v>
      </c>
      <c r="I602" s="14">
        <f>ROUND(D602/E602,3)</f>
        <v>0.13300000000000001</v>
      </c>
      <c r="J602" s="14">
        <f>I602*24</f>
        <v>3.1920000000000002</v>
      </c>
      <c r="K602" s="14">
        <f>VLOOKUP($C602,Rotation!$A$2:$J$10,2,FALSE)</f>
        <v>1</v>
      </c>
      <c r="L602" s="14">
        <f>VLOOKUP($C602,Rotation!$A$2:$J$10,3,FALSE)</f>
        <v>1</v>
      </c>
      <c r="M602" s="14">
        <f>VLOOKUP($C602,Rotation!$A$2:$J$10,4,FALSE)</f>
        <v>1</v>
      </c>
      <c r="N602" s="14">
        <f>VLOOKUP($C602,Rotation!$A$2:$J$10,5,FALSE)</f>
        <v>0</v>
      </c>
      <c r="O602" s="14">
        <f>VLOOKUP($C602,Rotation!$A$2:$J$10,6,FALSE)</f>
        <v>0</v>
      </c>
      <c r="P602" s="14">
        <f>VLOOKUP($C602,Rotation!$A$2:$J$10,7,FALSE)</f>
        <v>0</v>
      </c>
      <c r="Q602" s="14">
        <f>VLOOKUP($C602,Rotation!$A$2:$J$10,8,FALSE)</f>
        <v>0</v>
      </c>
      <c r="R602" s="14">
        <f>VLOOKUP($C602,Rotation!$A$2:$J$10,9,FALSE)</f>
        <v>0</v>
      </c>
      <c r="S602" s="14">
        <f>VLOOKUP($C602,Rotation!$A$2:$J$10,10,FALSE)</f>
        <v>0</v>
      </c>
    </row>
    <row r="603" spans="1:19" ht="18">
      <c r="A603" s="14">
        <v>601</v>
      </c>
      <c r="B603" s="14" t="s">
        <v>66</v>
      </c>
      <c r="C603" s="14" t="str">
        <f>VLOOKUP(B603,Family!B:C,2,FALSE)</f>
        <v>A</v>
      </c>
      <c r="D603" s="15">
        <v>54</v>
      </c>
      <c r="E603" s="14">
        <f>ROUND(VLOOKUP(C603,'Production Plan'!A:B,2,FALSE),2)</f>
        <v>407.17</v>
      </c>
      <c r="F603" s="16">
        <v>45807</v>
      </c>
      <c r="G603" s="17">
        <f>F603+6*7</f>
        <v>45849</v>
      </c>
      <c r="H603" s="14">
        <f>G603-F603</f>
        <v>42</v>
      </c>
      <c r="I603" s="14">
        <f>ROUND(D603/E603,3)</f>
        <v>0.13300000000000001</v>
      </c>
      <c r="J603" s="14">
        <f>I603*24</f>
        <v>3.1920000000000002</v>
      </c>
      <c r="K603" s="14">
        <f>VLOOKUP($C603,Rotation!$A$2:$J$10,2,FALSE)</f>
        <v>1</v>
      </c>
      <c r="L603" s="14">
        <f>VLOOKUP($C603,Rotation!$A$2:$J$10,3,FALSE)</f>
        <v>1</v>
      </c>
      <c r="M603" s="14">
        <f>VLOOKUP($C603,Rotation!$A$2:$J$10,4,FALSE)</f>
        <v>1</v>
      </c>
      <c r="N603" s="14">
        <f>VLOOKUP($C603,Rotation!$A$2:$J$10,5,FALSE)</f>
        <v>0</v>
      </c>
      <c r="O603" s="14">
        <f>VLOOKUP($C603,Rotation!$A$2:$J$10,6,FALSE)</f>
        <v>0</v>
      </c>
      <c r="P603" s="14">
        <f>VLOOKUP($C603,Rotation!$A$2:$J$10,7,FALSE)</f>
        <v>0</v>
      </c>
      <c r="Q603" s="14">
        <f>VLOOKUP($C603,Rotation!$A$2:$J$10,8,FALSE)</f>
        <v>0</v>
      </c>
      <c r="R603" s="14">
        <f>VLOOKUP($C603,Rotation!$A$2:$J$10,9,FALSE)</f>
        <v>0</v>
      </c>
      <c r="S603" s="14">
        <f>VLOOKUP($C603,Rotation!$A$2:$J$10,10,FALSE)</f>
        <v>0</v>
      </c>
    </row>
    <row r="604" spans="1:19" ht="18">
      <c r="A604" s="14">
        <v>602</v>
      </c>
      <c r="B604" s="14" t="s">
        <v>108</v>
      </c>
      <c r="C604" s="14" t="str">
        <f>VLOOKUP(B604,Family!B:C,2,FALSE)</f>
        <v>P</v>
      </c>
      <c r="D604" s="15">
        <v>54</v>
      </c>
      <c r="E604" s="14">
        <f>ROUND(VLOOKUP(C604,'Production Plan'!A:B,2,FALSE),2)</f>
        <v>409.15</v>
      </c>
      <c r="F604" s="16">
        <v>45799</v>
      </c>
      <c r="G604" s="17">
        <f>F604+6*7</f>
        <v>45841</v>
      </c>
      <c r="H604" s="14">
        <f>G604-F604</f>
        <v>42</v>
      </c>
      <c r="I604" s="14">
        <f>ROUND(D604/E604,3)</f>
        <v>0.13200000000000001</v>
      </c>
      <c r="J604" s="14">
        <f>I604*24</f>
        <v>3.1680000000000001</v>
      </c>
      <c r="K604" s="14">
        <f>VLOOKUP($C604,Rotation!$A$2:$J$10,2,FALSE)</f>
        <v>1</v>
      </c>
      <c r="L604" s="14">
        <f>VLOOKUP($C604,Rotation!$A$2:$J$10,3,FALSE)</f>
        <v>1</v>
      </c>
      <c r="M604" s="14">
        <f>VLOOKUP($C604,Rotation!$A$2:$J$10,4,FALSE)</f>
        <v>0</v>
      </c>
      <c r="N604" s="14">
        <f>VLOOKUP($C604,Rotation!$A$2:$J$10,5,FALSE)</f>
        <v>0</v>
      </c>
      <c r="O604" s="14">
        <f>VLOOKUP($C604,Rotation!$A$2:$J$10,6,FALSE)</f>
        <v>0</v>
      </c>
      <c r="P604" s="14">
        <f>VLOOKUP($C604,Rotation!$A$2:$J$10,7,FALSE)</f>
        <v>0</v>
      </c>
      <c r="Q604" s="14">
        <f>VLOOKUP($C604,Rotation!$A$2:$J$10,8,FALSE)</f>
        <v>0</v>
      </c>
      <c r="R604" s="14">
        <f>VLOOKUP($C604,Rotation!$A$2:$J$10,9,FALSE)</f>
        <v>0</v>
      </c>
      <c r="S604" s="14">
        <f>VLOOKUP($C604,Rotation!$A$2:$J$10,10,FALSE)</f>
        <v>0</v>
      </c>
    </row>
    <row r="605" spans="1:19" ht="18">
      <c r="A605" s="14">
        <v>603</v>
      </c>
      <c r="B605" s="14" t="s">
        <v>108</v>
      </c>
      <c r="C605" s="14" t="str">
        <f>VLOOKUP(B605,Family!B:C,2,FALSE)</f>
        <v>P</v>
      </c>
      <c r="D605" s="15">
        <v>54</v>
      </c>
      <c r="E605" s="14">
        <f>ROUND(VLOOKUP(C605,'Production Plan'!A:B,2,FALSE),2)</f>
        <v>409.15</v>
      </c>
      <c r="F605" s="16">
        <v>45799</v>
      </c>
      <c r="G605" s="17">
        <f>F605+6*7</f>
        <v>45841</v>
      </c>
      <c r="H605" s="14">
        <f>G605-F605</f>
        <v>42</v>
      </c>
      <c r="I605" s="14">
        <f>ROUND(D605/E605,3)</f>
        <v>0.13200000000000001</v>
      </c>
      <c r="J605" s="14">
        <f>I605*24</f>
        <v>3.1680000000000001</v>
      </c>
      <c r="K605" s="14">
        <f>VLOOKUP($C605,Rotation!$A$2:$J$10,2,FALSE)</f>
        <v>1</v>
      </c>
      <c r="L605" s="14">
        <f>VLOOKUP($C605,Rotation!$A$2:$J$10,3,FALSE)</f>
        <v>1</v>
      </c>
      <c r="M605" s="14">
        <f>VLOOKUP($C605,Rotation!$A$2:$J$10,4,FALSE)</f>
        <v>0</v>
      </c>
      <c r="N605" s="14">
        <f>VLOOKUP($C605,Rotation!$A$2:$J$10,5,FALSE)</f>
        <v>0</v>
      </c>
      <c r="O605" s="14">
        <f>VLOOKUP($C605,Rotation!$A$2:$J$10,6,FALSE)</f>
        <v>0</v>
      </c>
      <c r="P605" s="14">
        <f>VLOOKUP($C605,Rotation!$A$2:$J$10,7,FALSE)</f>
        <v>0</v>
      </c>
      <c r="Q605" s="14">
        <f>VLOOKUP($C605,Rotation!$A$2:$J$10,8,FALSE)</f>
        <v>0</v>
      </c>
      <c r="R605" s="14">
        <f>VLOOKUP($C605,Rotation!$A$2:$J$10,9,FALSE)</f>
        <v>0</v>
      </c>
      <c r="S605" s="14">
        <f>VLOOKUP($C605,Rotation!$A$2:$J$10,10,FALSE)</f>
        <v>0</v>
      </c>
    </row>
    <row r="606" spans="1:19" ht="18">
      <c r="A606" s="14">
        <v>604</v>
      </c>
      <c r="B606" s="14" t="s">
        <v>107</v>
      </c>
      <c r="C606" s="14" t="str">
        <f>VLOOKUP(B606,Family!B:C,2,FALSE)</f>
        <v>P</v>
      </c>
      <c r="D606" s="15">
        <v>73</v>
      </c>
      <c r="E606" s="14">
        <f>ROUND(VLOOKUP(C606,'Production Plan'!A:B,2,FALSE),2)</f>
        <v>409.15</v>
      </c>
      <c r="F606" s="16">
        <v>45765</v>
      </c>
      <c r="G606" s="17">
        <f>F606+6*7</f>
        <v>45807</v>
      </c>
      <c r="H606" s="14">
        <f>G606-F606</f>
        <v>42</v>
      </c>
      <c r="I606" s="14">
        <f>ROUND(D606/E606,3)</f>
        <v>0.17799999999999999</v>
      </c>
      <c r="J606" s="14">
        <f>I606*24</f>
        <v>4.2720000000000002</v>
      </c>
      <c r="K606" s="14">
        <f>VLOOKUP($C606,Rotation!$A$2:$J$10,2,FALSE)</f>
        <v>1</v>
      </c>
      <c r="L606" s="14">
        <f>VLOOKUP($C606,Rotation!$A$2:$J$10,3,FALSE)</f>
        <v>1</v>
      </c>
      <c r="M606" s="14">
        <f>VLOOKUP($C606,Rotation!$A$2:$J$10,4,FALSE)</f>
        <v>0</v>
      </c>
      <c r="N606" s="14">
        <f>VLOOKUP($C606,Rotation!$A$2:$J$10,5,FALSE)</f>
        <v>0</v>
      </c>
      <c r="O606" s="14">
        <f>VLOOKUP($C606,Rotation!$A$2:$J$10,6,FALSE)</f>
        <v>0</v>
      </c>
      <c r="P606" s="14">
        <f>VLOOKUP($C606,Rotation!$A$2:$J$10,7,FALSE)</f>
        <v>0</v>
      </c>
      <c r="Q606" s="14">
        <f>VLOOKUP($C606,Rotation!$A$2:$J$10,8,FALSE)</f>
        <v>0</v>
      </c>
      <c r="R606" s="14">
        <f>VLOOKUP($C606,Rotation!$A$2:$J$10,9,FALSE)</f>
        <v>0</v>
      </c>
      <c r="S606" s="14">
        <f>VLOOKUP($C606,Rotation!$A$2:$J$10,10,FALSE)</f>
        <v>0</v>
      </c>
    </row>
    <row r="607" spans="1:19" ht="18">
      <c r="A607" s="14">
        <v>605</v>
      </c>
      <c r="B607" s="14" t="s">
        <v>65</v>
      </c>
      <c r="C607" s="14" t="str">
        <f>VLOOKUP(B607,Family!B:C,2,FALSE)</f>
        <v>A</v>
      </c>
      <c r="D607" s="15">
        <v>19</v>
      </c>
      <c r="E607" s="14">
        <f>ROUND(VLOOKUP(C607,'Production Plan'!A:B,2,FALSE),2)</f>
        <v>407.17</v>
      </c>
      <c r="F607" s="16">
        <v>45792</v>
      </c>
      <c r="G607" s="17">
        <f>F607+6*7</f>
        <v>45834</v>
      </c>
      <c r="H607" s="14">
        <f>G607-F607</f>
        <v>42</v>
      </c>
      <c r="I607" s="14">
        <f>ROUND(D607/E607,3)</f>
        <v>4.7E-2</v>
      </c>
      <c r="J607" s="14">
        <f>I607*24</f>
        <v>1.1280000000000001</v>
      </c>
      <c r="K607" s="14">
        <f>VLOOKUP($C607,Rotation!$A$2:$J$10,2,FALSE)</f>
        <v>1</v>
      </c>
      <c r="L607" s="14">
        <f>VLOOKUP($C607,Rotation!$A$2:$J$10,3,FALSE)</f>
        <v>1</v>
      </c>
      <c r="M607" s="14">
        <f>VLOOKUP($C607,Rotation!$A$2:$J$10,4,FALSE)</f>
        <v>1</v>
      </c>
      <c r="N607" s="14">
        <f>VLOOKUP($C607,Rotation!$A$2:$J$10,5,FALSE)</f>
        <v>0</v>
      </c>
      <c r="O607" s="14">
        <f>VLOOKUP($C607,Rotation!$A$2:$J$10,6,FALSE)</f>
        <v>0</v>
      </c>
      <c r="P607" s="14">
        <f>VLOOKUP($C607,Rotation!$A$2:$J$10,7,FALSE)</f>
        <v>0</v>
      </c>
      <c r="Q607" s="14">
        <f>VLOOKUP($C607,Rotation!$A$2:$J$10,8,FALSE)</f>
        <v>0</v>
      </c>
      <c r="R607" s="14">
        <f>VLOOKUP($C607,Rotation!$A$2:$J$10,9,FALSE)</f>
        <v>0</v>
      </c>
      <c r="S607" s="14">
        <f>VLOOKUP($C607,Rotation!$A$2:$J$10,10,FALSE)</f>
        <v>0</v>
      </c>
    </row>
    <row r="608" spans="1:19" ht="18">
      <c r="A608" s="14">
        <v>606</v>
      </c>
      <c r="B608" s="14" t="s">
        <v>64</v>
      </c>
      <c r="C608" s="14" t="str">
        <f>VLOOKUP(B608,Family!B:C,2,FALSE)</f>
        <v>A</v>
      </c>
      <c r="D608" s="15">
        <v>111</v>
      </c>
      <c r="E608" s="14">
        <f>ROUND(VLOOKUP(C608,'Production Plan'!A:B,2,FALSE),2)</f>
        <v>407.17</v>
      </c>
      <c r="F608" s="16">
        <v>45793</v>
      </c>
      <c r="G608" s="17">
        <f>F608+6*7</f>
        <v>45835</v>
      </c>
      <c r="H608" s="14">
        <f>G608-F608</f>
        <v>42</v>
      </c>
      <c r="I608" s="14">
        <f>ROUND(D608/E608,3)</f>
        <v>0.27300000000000002</v>
      </c>
      <c r="J608" s="14">
        <f>I608*24</f>
        <v>6.5520000000000005</v>
      </c>
      <c r="K608" s="14">
        <f>VLOOKUP($C608,Rotation!$A$2:$J$10,2,FALSE)</f>
        <v>1</v>
      </c>
      <c r="L608" s="14">
        <f>VLOOKUP($C608,Rotation!$A$2:$J$10,3,FALSE)</f>
        <v>1</v>
      </c>
      <c r="M608" s="14">
        <f>VLOOKUP($C608,Rotation!$A$2:$J$10,4,FALSE)</f>
        <v>1</v>
      </c>
      <c r="N608" s="14">
        <f>VLOOKUP($C608,Rotation!$A$2:$J$10,5,FALSE)</f>
        <v>0</v>
      </c>
      <c r="O608" s="14">
        <f>VLOOKUP($C608,Rotation!$A$2:$J$10,6,FALSE)</f>
        <v>0</v>
      </c>
      <c r="P608" s="14">
        <f>VLOOKUP($C608,Rotation!$A$2:$J$10,7,FALSE)</f>
        <v>0</v>
      </c>
      <c r="Q608" s="14">
        <f>VLOOKUP($C608,Rotation!$A$2:$J$10,8,FALSE)</f>
        <v>0</v>
      </c>
      <c r="R608" s="14">
        <f>VLOOKUP($C608,Rotation!$A$2:$J$10,9,FALSE)</f>
        <v>0</v>
      </c>
      <c r="S608" s="14">
        <f>VLOOKUP($C608,Rotation!$A$2:$J$10,10,FALSE)</f>
        <v>0</v>
      </c>
    </row>
    <row r="609" spans="1:19" ht="18">
      <c r="A609" s="14">
        <v>607</v>
      </c>
      <c r="B609" s="14" t="s">
        <v>94</v>
      </c>
      <c r="C609" s="14" t="str">
        <f>VLOOKUP(B609,Family!B:C,2,FALSE)</f>
        <v>H</v>
      </c>
      <c r="D609" s="15">
        <v>24</v>
      </c>
      <c r="E609" s="14">
        <f>ROUND(VLOOKUP(C609,'Production Plan'!A:B,2,FALSE),2)</f>
        <v>402.02</v>
      </c>
      <c r="F609" s="16">
        <v>45772</v>
      </c>
      <c r="G609" s="17">
        <f>F609+6*7</f>
        <v>45814</v>
      </c>
      <c r="H609" s="14">
        <f>G609-F609</f>
        <v>42</v>
      </c>
      <c r="I609" s="14">
        <f>ROUND(D609/E609,3)</f>
        <v>0.06</v>
      </c>
      <c r="J609" s="14">
        <f>I609*24</f>
        <v>1.44</v>
      </c>
      <c r="K609" s="14">
        <f>VLOOKUP($C609,Rotation!$A$2:$J$10,2,FALSE)</f>
        <v>0</v>
      </c>
      <c r="L609" s="14">
        <f>VLOOKUP($C609,Rotation!$A$2:$J$10,3,FALSE)</f>
        <v>0</v>
      </c>
      <c r="M609" s="14">
        <f>VLOOKUP($C609,Rotation!$A$2:$J$10,4,FALSE)</f>
        <v>1</v>
      </c>
      <c r="N609" s="14">
        <f>VLOOKUP($C609,Rotation!$A$2:$J$10,5,FALSE)</f>
        <v>1</v>
      </c>
      <c r="O609" s="14">
        <f>VLOOKUP($C609,Rotation!$A$2:$J$10,6,FALSE)</f>
        <v>0</v>
      </c>
      <c r="P609" s="14">
        <f>VLOOKUP($C609,Rotation!$A$2:$J$10,7,FALSE)</f>
        <v>0</v>
      </c>
      <c r="Q609" s="14">
        <f>VLOOKUP($C609,Rotation!$A$2:$J$10,8,FALSE)</f>
        <v>0</v>
      </c>
      <c r="R609" s="14">
        <f>VLOOKUP($C609,Rotation!$A$2:$J$10,9,FALSE)</f>
        <v>0</v>
      </c>
      <c r="S609" s="14">
        <f>VLOOKUP($C609,Rotation!$A$2:$J$10,10,FALSE)</f>
        <v>0</v>
      </c>
    </row>
    <row r="610" spans="1:19" ht="18">
      <c r="A610" s="14">
        <v>608</v>
      </c>
      <c r="B610" s="14" t="s">
        <v>106</v>
      </c>
      <c r="C610" s="14" t="str">
        <f>VLOOKUP(B610,Family!B:C,2,FALSE)</f>
        <v>P</v>
      </c>
      <c r="D610" s="15">
        <v>19</v>
      </c>
      <c r="E610" s="14">
        <f>ROUND(VLOOKUP(C610,'Production Plan'!A:B,2,FALSE),2)</f>
        <v>409.15</v>
      </c>
      <c r="F610" s="16">
        <v>45826</v>
      </c>
      <c r="G610" s="17">
        <f>F610+6*7</f>
        <v>45868</v>
      </c>
      <c r="H610" s="14">
        <f>G610-F610</f>
        <v>42</v>
      </c>
      <c r="I610" s="14">
        <f>ROUND(D610/E610,3)</f>
        <v>4.5999999999999999E-2</v>
      </c>
      <c r="J610" s="14">
        <f>I610*24</f>
        <v>1.1040000000000001</v>
      </c>
      <c r="K610" s="14">
        <f>VLOOKUP($C610,Rotation!$A$2:$J$10,2,FALSE)</f>
        <v>1</v>
      </c>
      <c r="L610" s="14">
        <f>VLOOKUP($C610,Rotation!$A$2:$J$10,3,FALSE)</f>
        <v>1</v>
      </c>
      <c r="M610" s="14">
        <f>VLOOKUP($C610,Rotation!$A$2:$J$10,4,FALSE)</f>
        <v>0</v>
      </c>
      <c r="N610" s="14">
        <f>VLOOKUP($C610,Rotation!$A$2:$J$10,5,FALSE)</f>
        <v>0</v>
      </c>
      <c r="O610" s="14">
        <f>VLOOKUP($C610,Rotation!$A$2:$J$10,6,FALSE)</f>
        <v>0</v>
      </c>
      <c r="P610" s="14">
        <f>VLOOKUP($C610,Rotation!$A$2:$J$10,7,FALSE)</f>
        <v>0</v>
      </c>
      <c r="Q610" s="14">
        <f>VLOOKUP($C610,Rotation!$A$2:$J$10,8,FALSE)</f>
        <v>0</v>
      </c>
      <c r="R610" s="14">
        <f>VLOOKUP($C610,Rotation!$A$2:$J$10,9,FALSE)</f>
        <v>0</v>
      </c>
      <c r="S610" s="14">
        <f>VLOOKUP($C610,Rotation!$A$2:$J$10,10,FALSE)</f>
        <v>0</v>
      </c>
    </row>
    <row r="611" spans="1:19" ht="18">
      <c r="A611" s="14">
        <v>609</v>
      </c>
      <c r="B611" s="14" t="s">
        <v>77</v>
      </c>
      <c r="C611" s="14" t="str">
        <f>VLOOKUP(B611,Family!B:C,2,FALSE)</f>
        <v>E</v>
      </c>
      <c r="D611" s="15">
        <v>18</v>
      </c>
      <c r="E611" s="14">
        <f>ROUND(VLOOKUP(C611,'Production Plan'!A:B,2,FALSE),2)</f>
        <v>333.66</v>
      </c>
      <c r="F611" s="16">
        <v>45778</v>
      </c>
      <c r="G611" s="17">
        <f>F611+6*7</f>
        <v>45820</v>
      </c>
      <c r="H611" s="14">
        <f>G611-F611</f>
        <v>42</v>
      </c>
      <c r="I611" s="14">
        <f>ROUND(D611/E611,3)</f>
        <v>5.3999999999999999E-2</v>
      </c>
      <c r="J611" s="14">
        <f>I611*24</f>
        <v>1.296</v>
      </c>
      <c r="K611" s="14">
        <f>VLOOKUP($C611,Rotation!$A$2:$J$10,2,FALSE)</f>
        <v>1</v>
      </c>
      <c r="L611" s="14">
        <f>VLOOKUP($C611,Rotation!$A$2:$J$10,3,FALSE)</f>
        <v>0</v>
      </c>
      <c r="M611" s="14">
        <f>VLOOKUP($C611,Rotation!$A$2:$J$10,4,FALSE)</f>
        <v>0</v>
      </c>
      <c r="N611" s="14">
        <f>VLOOKUP($C611,Rotation!$A$2:$J$10,5,FALSE)</f>
        <v>0</v>
      </c>
      <c r="O611" s="14">
        <f>VLOOKUP($C611,Rotation!$A$2:$J$10,6,FALSE)</f>
        <v>0</v>
      </c>
      <c r="P611" s="14">
        <f>VLOOKUP($C611,Rotation!$A$2:$J$10,7,FALSE)</f>
        <v>1</v>
      </c>
      <c r="Q611" s="14">
        <f>VLOOKUP($C611,Rotation!$A$2:$J$10,8,FALSE)</f>
        <v>0</v>
      </c>
      <c r="R611" s="14">
        <f>VLOOKUP($C611,Rotation!$A$2:$J$10,9,FALSE)</f>
        <v>0</v>
      </c>
      <c r="S611" s="14">
        <f>VLOOKUP($C611,Rotation!$A$2:$J$10,10,FALSE)</f>
        <v>0</v>
      </c>
    </row>
    <row r="612" spans="1:19" ht="18">
      <c r="A612" s="14">
        <v>610</v>
      </c>
      <c r="B612" s="14" t="s">
        <v>94</v>
      </c>
      <c r="C612" s="14" t="str">
        <f>VLOOKUP(B612,Family!B:C,2,FALSE)</f>
        <v>H</v>
      </c>
      <c r="D612" s="15">
        <v>99</v>
      </c>
      <c r="E612" s="14">
        <f>ROUND(VLOOKUP(C612,'Production Plan'!A:B,2,FALSE),2)</f>
        <v>402.02</v>
      </c>
      <c r="F612" s="16">
        <v>45729</v>
      </c>
      <c r="G612" s="17">
        <f>F612+6*7</f>
        <v>45771</v>
      </c>
      <c r="H612" s="14">
        <f>G612-F612</f>
        <v>42</v>
      </c>
      <c r="I612" s="14">
        <f>ROUND(D612/E612,3)</f>
        <v>0.246</v>
      </c>
      <c r="J612" s="14">
        <f>I612*24</f>
        <v>5.9039999999999999</v>
      </c>
      <c r="K612" s="14">
        <f>VLOOKUP($C612,Rotation!$A$2:$J$10,2,FALSE)</f>
        <v>0</v>
      </c>
      <c r="L612" s="14">
        <f>VLOOKUP($C612,Rotation!$A$2:$J$10,3,FALSE)</f>
        <v>0</v>
      </c>
      <c r="M612" s="14">
        <f>VLOOKUP($C612,Rotation!$A$2:$J$10,4,FALSE)</f>
        <v>1</v>
      </c>
      <c r="N612" s="14">
        <f>VLOOKUP($C612,Rotation!$A$2:$J$10,5,FALSE)</f>
        <v>1</v>
      </c>
      <c r="O612" s="14">
        <f>VLOOKUP($C612,Rotation!$A$2:$J$10,6,FALSE)</f>
        <v>0</v>
      </c>
      <c r="P612" s="14">
        <f>VLOOKUP($C612,Rotation!$A$2:$J$10,7,FALSE)</f>
        <v>0</v>
      </c>
      <c r="Q612" s="14">
        <f>VLOOKUP($C612,Rotation!$A$2:$J$10,8,FALSE)</f>
        <v>0</v>
      </c>
      <c r="R612" s="14">
        <f>VLOOKUP($C612,Rotation!$A$2:$J$10,9,FALSE)</f>
        <v>0</v>
      </c>
      <c r="S612" s="14">
        <f>VLOOKUP($C612,Rotation!$A$2:$J$10,10,FALSE)</f>
        <v>0</v>
      </c>
    </row>
    <row r="613" spans="1:19" ht="18">
      <c r="A613" s="14">
        <v>611</v>
      </c>
      <c r="B613" s="14" t="s">
        <v>65</v>
      </c>
      <c r="C613" s="14" t="str">
        <f>VLOOKUP(B613,Family!B:C,2,FALSE)</f>
        <v>A</v>
      </c>
      <c r="D613" s="15">
        <v>19</v>
      </c>
      <c r="E613" s="14">
        <f>ROUND(VLOOKUP(C613,'Production Plan'!A:B,2,FALSE),2)</f>
        <v>407.17</v>
      </c>
      <c r="F613" s="16">
        <v>45792</v>
      </c>
      <c r="G613" s="17">
        <f>F613+6*7</f>
        <v>45834</v>
      </c>
      <c r="H613" s="14">
        <f>G613-F613</f>
        <v>42</v>
      </c>
      <c r="I613" s="14">
        <f>ROUND(D613/E613,3)</f>
        <v>4.7E-2</v>
      </c>
      <c r="J613" s="14">
        <f>I613*24</f>
        <v>1.1280000000000001</v>
      </c>
      <c r="K613" s="14">
        <f>VLOOKUP($C613,Rotation!$A$2:$J$10,2,FALSE)</f>
        <v>1</v>
      </c>
      <c r="L613" s="14">
        <f>VLOOKUP($C613,Rotation!$A$2:$J$10,3,FALSE)</f>
        <v>1</v>
      </c>
      <c r="M613" s="14">
        <f>VLOOKUP($C613,Rotation!$A$2:$J$10,4,FALSE)</f>
        <v>1</v>
      </c>
      <c r="N613" s="14">
        <f>VLOOKUP($C613,Rotation!$A$2:$J$10,5,FALSE)</f>
        <v>0</v>
      </c>
      <c r="O613" s="14">
        <f>VLOOKUP($C613,Rotation!$A$2:$J$10,6,FALSE)</f>
        <v>0</v>
      </c>
      <c r="P613" s="14">
        <f>VLOOKUP($C613,Rotation!$A$2:$J$10,7,FALSE)</f>
        <v>0</v>
      </c>
      <c r="Q613" s="14">
        <f>VLOOKUP($C613,Rotation!$A$2:$J$10,8,FALSE)</f>
        <v>0</v>
      </c>
      <c r="R613" s="14">
        <f>VLOOKUP($C613,Rotation!$A$2:$J$10,9,FALSE)</f>
        <v>0</v>
      </c>
      <c r="S613" s="14">
        <f>VLOOKUP($C613,Rotation!$A$2:$J$10,10,FALSE)</f>
        <v>0</v>
      </c>
    </row>
    <row r="614" spans="1:19" ht="18">
      <c r="A614" s="14">
        <v>612</v>
      </c>
      <c r="B614" s="14" t="s">
        <v>64</v>
      </c>
      <c r="C614" s="14" t="str">
        <f>VLOOKUP(B614,Family!B:C,2,FALSE)</f>
        <v>A</v>
      </c>
      <c r="D614" s="15">
        <v>111</v>
      </c>
      <c r="E614" s="14">
        <f>ROUND(VLOOKUP(C614,'Production Plan'!A:B,2,FALSE),2)</f>
        <v>407.17</v>
      </c>
      <c r="F614" s="16">
        <v>45793</v>
      </c>
      <c r="G614" s="17">
        <f>F614+6*7</f>
        <v>45835</v>
      </c>
      <c r="H614" s="14">
        <f>G614-F614</f>
        <v>42</v>
      </c>
      <c r="I614" s="14">
        <f>ROUND(D614/E614,3)</f>
        <v>0.27300000000000002</v>
      </c>
      <c r="J614" s="14">
        <f>I614*24</f>
        <v>6.5520000000000005</v>
      </c>
      <c r="K614" s="14">
        <f>VLOOKUP($C614,Rotation!$A$2:$J$10,2,FALSE)</f>
        <v>1</v>
      </c>
      <c r="L614" s="14">
        <f>VLOOKUP($C614,Rotation!$A$2:$J$10,3,FALSE)</f>
        <v>1</v>
      </c>
      <c r="M614" s="14">
        <f>VLOOKUP($C614,Rotation!$A$2:$J$10,4,FALSE)</f>
        <v>1</v>
      </c>
      <c r="N614" s="14">
        <f>VLOOKUP($C614,Rotation!$A$2:$J$10,5,FALSE)</f>
        <v>0</v>
      </c>
      <c r="O614" s="14">
        <f>VLOOKUP($C614,Rotation!$A$2:$J$10,6,FALSE)</f>
        <v>0</v>
      </c>
      <c r="P614" s="14">
        <f>VLOOKUP($C614,Rotation!$A$2:$J$10,7,FALSE)</f>
        <v>0</v>
      </c>
      <c r="Q614" s="14">
        <f>VLOOKUP($C614,Rotation!$A$2:$J$10,8,FALSE)</f>
        <v>0</v>
      </c>
      <c r="R614" s="14">
        <f>VLOOKUP($C614,Rotation!$A$2:$J$10,9,FALSE)</f>
        <v>0</v>
      </c>
      <c r="S614" s="14">
        <f>VLOOKUP($C614,Rotation!$A$2:$J$10,10,FALSE)</f>
        <v>0</v>
      </c>
    </row>
    <row r="615" spans="1:19" ht="18">
      <c r="A615" s="14">
        <v>613</v>
      </c>
      <c r="B615" s="14" t="s">
        <v>108</v>
      </c>
      <c r="C615" s="14" t="str">
        <f>VLOOKUP(B615,Family!B:C,2,FALSE)</f>
        <v>P</v>
      </c>
      <c r="D615" s="15">
        <v>54</v>
      </c>
      <c r="E615" s="14">
        <f>ROUND(VLOOKUP(C615,'Production Plan'!A:B,2,FALSE),2)</f>
        <v>409.15</v>
      </c>
      <c r="F615" s="16">
        <v>45799</v>
      </c>
      <c r="G615" s="17">
        <f>F615+6*7</f>
        <v>45841</v>
      </c>
      <c r="H615" s="14">
        <f>G615-F615</f>
        <v>42</v>
      </c>
      <c r="I615" s="14">
        <f>ROUND(D615/E615,3)</f>
        <v>0.13200000000000001</v>
      </c>
      <c r="J615" s="14">
        <f>I615*24</f>
        <v>3.1680000000000001</v>
      </c>
      <c r="K615" s="14">
        <f>VLOOKUP($C615,Rotation!$A$2:$J$10,2,FALSE)</f>
        <v>1</v>
      </c>
      <c r="L615" s="14">
        <f>VLOOKUP($C615,Rotation!$A$2:$J$10,3,FALSE)</f>
        <v>1</v>
      </c>
      <c r="M615" s="14">
        <f>VLOOKUP($C615,Rotation!$A$2:$J$10,4,FALSE)</f>
        <v>0</v>
      </c>
      <c r="N615" s="14">
        <f>VLOOKUP($C615,Rotation!$A$2:$J$10,5,FALSE)</f>
        <v>0</v>
      </c>
      <c r="O615" s="14">
        <f>VLOOKUP($C615,Rotation!$A$2:$J$10,6,FALSE)</f>
        <v>0</v>
      </c>
      <c r="P615" s="14">
        <f>VLOOKUP($C615,Rotation!$A$2:$J$10,7,FALSE)</f>
        <v>0</v>
      </c>
      <c r="Q615" s="14">
        <f>VLOOKUP($C615,Rotation!$A$2:$J$10,8,FALSE)</f>
        <v>0</v>
      </c>
      <c r="R615" s="14">
        <f>VLOOKUP($C615,Rotation!$A$2:$J$10,9,FALSE)</f>
        <v>0</v>
      </c>
      <c r="S615" s="14">
        <f>VLOOKUP($C615,Rotation!$A$2:$J$10,10,FALSE)</f>
        <v>0</v>
      </c>
    </row>
    <row r="616" spans="1:19" ht="18">
      <c r="A616" s="14">
        <v>614</v>
      </c>
      <c r="B616" s="14" t="s">
        <v>108</v>
      </c>
      <c r="C616" s="14" t="str">
        <f>VLOOKUP(B616,Family!B:C,2,FALSE)</f>
        <v>P</v>
      </c>
      <c r="D616" s="15">
        <v>54</v>
      </c>
      <c r="E616" s="14">
        <f>ROUND(VLOOKUP(C616,'Production Plan'!A:B,2,FALSE),2)</f>
        <v>409.15</v>
      </c>
      <c r="F616" s="16">
        <v>45799</v>
      </c>
      <c r="G616" s="17">
        <f>F616+6*7</f>
        <v>45841</v>
      </c>
      <c r="H616" s="14">
        <f>G616-F616</f>
        <v>42</v>
      </c>
      <c r="I616" s="14">
        <f>ROUND(D616/E616,3)</f>
        <v>0.13200000000000001</v>
      </c>
      <c r="J616" s="14">
        <f>I616*24</f>
        <v>3.1680000000000001</v>
      </c>
      <c r="K616" s="14">
        <f>VLOOKUP($C616,Rotation!$A$2:$J$10,2,FALSE)</f>
        <v>1</v>
      </c>
      <c r="L616" s="14">
        <f>VLOOKUP($C616,Rotation!$A$2:$J$10,3,FALSE)</f>
        <v>1</v>
      </c>
      <c r="M616" s="14">
        <f>VLOOKUP($C616,Rotation!$A$2:$J$10,4,FALSE)</f>
        <v>0</v>
      </c>
      <c r="N616" s="14">
        <f>VLOOKUP($C616,Rotation!$A$2:$J$10,5,FALSE)</f>
        <v>0</v>
      </c>
      <c r="O616" s="14">
        <f>VLOOKUP($C616,Rotation!$A$2:$J$10,6,FALSE)</f>
        <v>0</v>
      </c>
      <c r="P616" s="14">
        <f>VLOOKUP($C616,Rotation!$A$2:$J$10,7,FALSE)</f>
        <v>0</v>
      </c>
      <c r="Q616" s="14">
        <f>VLOOKUP($C616,Rotation!$A$2:$J$10,8,FALSE)</f>
        <v>0</v>
      </c>
      <c r="R616" s="14">
        <f>VLOOKUP($C616,Rotation!$A$2:$J$10,9,FALSE)</f>
        <v>0</v>
      </c>
      <c r="S616" s="14">
        <f>VLOOKUP($C616,Rotation!$A$2:$J$10,10,FALSE)</f>
        <v>0</v>
      </c>
    </row>
    <row r="617" spans="1:19" ht="18">
      <c r="A617" s="14">
        <v>615</v>
      </c>
      <c r="B617" s="14" t="s">
        <v>108</v>
      </c>
      <c r="C617" s="14" t="str">
        <f>VLOOKUP(B617,Family!B:C,2,FALSE)</f>
        <v>P</v>
      </c>
      <c r="D617" s="15">
        <v>54</v>
      </c>
      <c r="E617" s="14">
        <f>ROUND(VLOOKUP(C617,'Production Plan'!A:B,2,FALSE),2)</f>
        <v>409.15</v>
      </c>
      <c r="F617" s="16">
        <v>45799</v>
      </c>
      <c r="G617" s="17">
        <f>F617+6*7</f>
        <v>45841</v>
      </c>
      <c r="H617" s="14">
        <f>G617-F617</f>
        <v>42</v>
      </c>
      <c r="I617" s="14">
        <f>ROUND(D617/E617,3)</f>
        <v>0.13200000000000001</v>
      </c>
      <c r="J617" s="14">
        <f>I617*24</f>
        <v>3.1680000000000001</v>
      </c>
      <c r="K617" s="14">
        <f>VLOOKUP($C617,Rotation!$A$2:$J$10,2,FALSE)</f>
        <v>1</v>
      </c>
      <c r="L617" s="14">
        <f>VLOOKUP($C617,Rotation!$A$2:$J$10,3,FALSE)</f>
        <v>1</v>
      </c>
      <c r="M617" s="14">
        <f>VLOOKUP($C617,Rotation!$A$2:$J$10,4,FALSE)</f>
        <v>0</v>
      </c>
      <c r="N617" s="14">
        <f>VLOOKUP($C617,Rotation!$A$2:$J$10,5,FALSE)</f>
        <v>0</v>
      </c>
      <c r="O617" s="14">
        <f>VLOOKUP($C617,Rotation!$A$2:$J$10,6,FALSE)</f>
        <v>0</v>
      </c>
      <c r="P617" s="14">
        <f>VLOOKUP($C617,Rotation!$A$2:$J$10,7,FALSE)</f>
        <v>0</v>
      </c>
      <c r="Q617" s="14">
        <f>VLOOKUP($C617,Rotation!$A$2:$J$10,8,FALSE)</f>
        <v>0</v>
      </c>
      <c r="R617" s="14">
        <f>VLOOKUP($C617,Rotation!$A$2:$J$10,9,FALSE)</f>
        <v>0</v>
      </c>
      <c r="S617" s="14">
        <f>VLOOKUP($C617,Rotation!$A$2:$J$10,10,FALSE)</f>
        <v>0</v>
      </c>
    </row>
    <row r="618" spans="1:19" ht="18">
      <c r="A618" s="14">
        <v>616</v>
      </c>
      <c r="B618" s="14" t="s">
        <v>86</v>
      </c>
      <c r="C618" s="14" t="str">
        <f>VLOOKUP(B618,Family!B:C,2,FALSE)</f>
        <v>E</v>
      </c>
      <c r="D618" s="15">
        <v>50</v>
      </c>
      <c r="E618" s="14">
        <f>ROUND(VLOOKUP(C618,'Production Plan'!A:B,2,FALSE),2)</f>
        <v>333.66</v>
      </c>
      <c r="F618" s="16">
        <v>45727</v>
      </c>
      <c r="G618" s="17">
        <f>F618+6*7</f>
        <v>45769</v>
      </c>
      <c r="H618" s="14">
        <f>G618-F618</f>
        <v>42</v>
      </c>
      <c r="I618" s="14">
        <f>ROUND(D618/E618,3)</f>
        <v>0.15</v>
      </c>
      <c r="J618" s="14">
        <f>I618*24</f>
        <v>3.5999999999999996</v>
      </c>
      <c r="K618" s="14">
        <f>VLOOKUP($C618,Rotation!$A$2:$J$10,2,FALSE)</f>
        <v>1</v>
      </c>
      <c r="L618" s="14">
        <f>VLOOKUP($C618,Rotation!$A$2:$J$10,3,FALSE)</f>
        <v>0</v>
      </c>
      <c r="M618" s="14">
        <f>VLOOKUP($C618,Rotation!$A$2:$J$10,4,FALSE)</f>
        <v>0</v>
      </c>
      <c r="N618" s="14">
        <f>VLOOKUP($C618,Rotation!$A$2:$J$10,5,FALSE)</f>
        <v>0</v>
      </c>
      <c r="O618" s="14">
        <f>VLOOKUP($C618,Rotation!$A$2:$J$10,6,FALSE)</f>
        <v>0</v>
      </c>
      <c r="P618" s="14">
        <f>VLOOKUP($C618,Rotation!$A$2:$J$10,7,FALSE)</f>
        <v>1</v>
      </c>
      <c r="Q618" s="14">
        <f>VLOOKUP($C618,Rotation!$A$2:$J$10,8,FALSE)</f>
        <v>0</v>
      </c>
      <c r="R618" s="14">
        <f>VLOOKUP($C618,Rotation!$A$2:$J$10,9,FALSE)</f>
        <v>0</v>
      </c>
      <c r="S618" s="14">
        <f>VLOOKUP($C618,Rotation!$A$2:$J$10,10,FALSE)</f>
        <v>0</v>
      </c>
    </row>
    <row r="619" spans="1:19" ht="18">
      <c r="A619" s="14">
        <v>617</v>
      </c>
      <c r="B619" s="14" t="s">
        <v>73</v>
      </c>
      <c r="C619" s="14" t="str">
        <f>VLOOKUP(B619,Family!B:C,2,FALSE)</f>
        <v>A</v>
      </c>
      <c r="D619" s="15">
        <v>490</v>
      </c>
      <c r="E619" s="14">
        <f>ROUND(VLOOKUP(C619,'Production Plan'!A:B,2,FALSE),2)</f>
        <v>407.17</v>
      </c>
      <c r="F619" s="16">
        <v>45800</v>
      </c>
      <c r="G619" s="17">
        <f>F619+6*7</f>
        <v>45842</v>
      </c>
      <c r="H619" s="14">
        <f>G619-F619</f>
        <v>42</v>
      </c>
      <c r="I619" s="14">
        <f>ROUND(D619/E619,3)</f>
        <v>1.2030000000000001</v>
      </c>
      <c r="J619" s="14">
        <f>I619*24</f>
        <v>28.872</v>
      </c>
      <c r="K619" s="14">
        <f>VLOOKUP($C619,Rotation!$A$2:$J$10,2,FALSE)</f>
        <v>1</v>
      </c>
      <c r="L619" s="14">
        <f>VLOOKUP($C619,Rotation!$A$2:$J$10,3,FALSE)</f>
        <v>1</v>
      </c>
      <c r="M619" s="14">
        <f>VLOOKUP($C619,Rotation!$A$2:$J$10,4,FALSE)</f>
        <v>1</v>
      </c>
      <c r="N619" s="14">
        <f>VLOOKUP($C619,Rotation!$A$2:$J$10,5,FALSE)</f>
        <v>0</v>
      </c>
      <c r="O619" s="14">
        <f>VLOOKUP($C619,Rotation!$A$2:$J$10,6,FALSE)</f>
        <v>0</v>
      </c>
      <c r="P619" s="14">
        <f>VLOOKUP($C619,Rotation!$A$2:$J$10,7,FALSE)</f>
        <v>0</v>
      </c>
      <c r="Q619" s="14">
        <f>VLOOKUP($C619,Rotation!$A$2:$J$10,8,FALSE)</f>
        <v>0</v>
      </c>
      <c r="R619" s="14">
        <f>VLOOKUP($C619,Rotation!$A$2:$J$10,9,FALSE)</f>
        <v>0</v>
      </c>
      <c r="S619" s="14">
        <f>VLOOKUP($C619,Rotation!$A$2:$J$10,10,FALSE)</f>
        <v>0</v>
      </c>
    </row>
    <row r="620" spans="1:19" ht="18">
      <c r="A620" s="14">
        <v>618</v>
      </c>
      <c r="B620" s="14" t="s">
        <v>77</v>
      </c>
      <c r="C620" s="14" t="str">
        <f>VLOOKUP(B620,Family!B:C,2,FALSE)</f>
        <v>E</v>
      </c>
      <c r="D620" s="15">
        <v>18</v>
      </c>
      <c r="E620" s="14">
        <f>ROUND(VLOOKUP(C620,'Production Plan'!A:B,2,FALSE),2)</f>
        <v>333.66</v>
      </c>
      <c r="F620" s="16">
        <v>45778</v>
      </c>
      <c r="G620" s="17">
        <f>F620+6*7</f>
        <v>45820</v>
      </c>
      <c r="H620" s="14">
        <f>G620-F620</f>
        <v>42</v>
      </c>
      <c r="I620" s="14">
        <f>ROUND(D620/E620,3)</f>
        <v>5.3999999999999999E-2</v>
      </c>
      <c r="J620" s="14">
        <f>I620*24</f>
        <v>1.296</v>
      </c>
      <c r="K620" s="14">
        <f>VLOOKUP($C620,Rotation!$A$2:$J$10,2,FALSE)</f>
        <v>1</v>
      </c>
      <c r="L620" s="14">
        <f>VLOOKUP($C620,Rotation!$A$2:$J$10,3,FALSE)</f>
        <v>0</v>
      </c>
      <c r="M620" s="14">
        <f>VLOOKUP($C620,Rotation!$A$2:$J$10,4,FALSE)</f>
        <v>0</v>
      </c>
      <c r="N620" s="14">
        <f>VLOOKUP($C620,Rotation!$A$2:$J$10,5,FALSE)</f>
        <v>0</v>
      </c>
      <c r="O620" s="14">
        <f>VLOOKUP($C620,Rotation!$A$2:$J$10,6,FALSE)</f>
        <v>0</v>
      </c>
      <c r="P620" s="14">
        <f>VLOOKUP($C620,Rotation!$A$2:$J$10,7,FALSE)</f>
        <v>1</v>
      </c>
      <c r="Q620" s="14">
        <f>VLOOKUP($C620,Rotation!$A$2:$J$10,8,FALSE)</f>
        <v>0</v>
      </c>
      <c r="R620" s="14">
        <f>VLOOKUP($C620,Rotation!$A$2:$J$10,9,FALSE)</f>
        <v>0</v>
      </c>
      <c r="S620" s="14">
        <f>VLOOKUP($C620,Rotation!$A$2:$J$10,10,FALSE)</f>
        <v>0</v>
      </c>
    </row>
    <row r="621" spans="1:19" ht="18">
      <c r="A621" s="14">
        <v>619</v>
      </c>
      <c r="B621" s="14" t="s">
        <v>65</v>
      </c>
      <c r="C621" s="14" t="str">
        <f>VLOOKUP(B621,Family!B:C,2,FALSE)</f>
        <v>A</v>
      </c>
      <c r="D621" s="15">
        <v>19</v>
      </c>
      <c r="E621" s="14">
        <f>ROUND(VLOOKUP(C621,'Production Plan'!A:B,2,FALSE),2)</f>
        <v>407.17</v>
      </c>
      <c r="F621" s="16">
        <v>45792</v>
      </c>
      <c r="G621" s="17">
        <f>F621+6*7</f>
        <v>45834</v>
      </c>
      <c r="H621" s="14">
        <f>G621-F621</f>
        <v>42</v>
      </c>
      <c r="I621" s="14">
        <f>ROUND(D621/E621,3)</f>
        <v>4.7E-2</v>
      </c>
      <c r="J621" s="14">
        <f>I621*24</f>
        <v>1.1280000000000001</v>
      </c>
      <c r="K621" s="14">
        <f>VLOOKUP($C621,Rotation!$A$2:$J$10,2,FALSE)</f>
        <v>1</v>
      </c>
      <c r="L621" s="14">
        <f>VLOOKUP($C621,Rotation!$A$2:$J$10,3,FALSE)</f>
        <v>1</v>
      </c>
      <c r="M621" s="14">
        <f>VLOOKUP($C621,Rotation!$A$2:$J$10,4,FALSE)</f>
        <v>1</v>
      </c>
      <c r="N621" s="14">
        <f>VLOOKUP($C621,Rotation!$A$2:$J$10,5,FALSE)</f>
        <v>0</v>
      </c>
      <c r="O621" s="14">
        <f>VLOOKUP($C621,Rotation!$A$2:$J$10,6,FALSE)</f>
        <v>0</v>
      </c>
      <c r="P621" s="14">
        <f>VLOOKUP($C621,Rotation!$A$2:$J$10,7,FALSE)</f>
        <v>0</v>
      </c>
      <c r="Q621" s="14">
        <f>VLOOKUP($C621,Rotation!$A$2:$J$10,8,FALSE)</f>
        <v>0</v>
      </c>
      <c r="R621" s="14">
        <f>VLOOKUP($C621,Rotation!$A$2:$J$10,9,FALSE)</f>
        <v>0</v>
      </c>
      <c r="S621" s="14">
        <f>VLOOKUP($C621,Rotation!$A$2:$J$10,10,FALSE)</f>
        <v>0</v>
      </c>
    </row>
    <row r="622" spans="1:19" ht="18">
      <c r="A622" s="14">
        <v>620</v>
      </c>
      <c r="B622" s="14" t="s">
        <v>65</v>
      </c>
      <c r="C622" s="14" t="str">
        <f>VLOOKUP(B622,Family!B:C,2,FALSE)</f>
        <v>A</v>
      </c>
      <c r="D622" s="15">
        <v>19</v>
      </c>
      <c r="E622" s="14">
        <f>ROUND(VLOOKUP(C622,'Production Plan'!A:B,2,FALSE),2)</f>
        <v>407.17</v>
      </c>
      <c r="F622" s="16">
        <v>45792</v>
      </c>
      <c r="G622" s="17">
        <f>F622+6*7</f>
        <v>45834</v>
      </c>
      <c r="H622" s="14">
        <f>G622-F622</f>
        <v>42</v>
      </c>
      <c r="I622" s="14">
        <f>ROUND(D622/E622,3)</f>
        <v>4.7E-2</v>
      </c>
      <c r="J622" s="14">
        <f>I622*24</f>
        <v>1.1280000000000001</v>
      </c>
      <c r="K622" s="14">
        <f>VLOOKUP($C622,Rotation!$A$2:$J$10,2,FALSE)</f>
        <v>1</v>
      </c>
      <c r="L622" s="14">
        <f>VLOOKUP($C622,Rotation!$A$2:$J$10,3,FALSE)</f>
        <v>1</v>
      </c>
      <c r="M622" s="14">
        <f>VLOOKUP($C622,Rotation!$A$2:$J$10,4,FALSE)</f>
        <v>1</v>
      </c>
      <c r="N622" s="14">
        <f>VLOOKUP($C622,Rotation!$A$2:$J$10,5,FALSE)</f>
        <v>0</v>
      </c>
      <c r="O622" s="14">
        <f>VLOOKUP($C622,Rotation!$A$2:$J$10,6,FALSE)</f>
        <v>0</v>
      </c>
      <c r="P622" s="14">
        <f>VLOOKUP($C622,Rotation!$A$2:$J$10,7,FALSE)</f>
        <v>0</v>
      </c>
      <c r="Q622" s="14">
        <f>VLOOKUP($C622,Rotation!$A$2:$J$10,8,FALSE)</f>
        <v>0</v>
      </c>
      <c r="R622" s="14">
        <f>VLOOKUP($C622,Rotation!$A$2:$J$10,9,FALSE)</f>
        <v>0</v>
      </c>
      <c r="S622" s="14">
        <f>VLOOKUP($C622,Rotation!$A$2:$J$10,10,FALSE)</f>
        <v>0</v>
      </c>
    </row>
    <row r="623" spans="1:19" ht="18">
      <c r="A623" s="14">
        <v>621</v>
      </c>
      <c r="B623" s="14" t="s">
        <v>95</v>
      </c>
      <c r="C623" s="14" t="str">
        <f>VLOOKUP(B623,Family!B:C,2,FALSE)</f>
        <v>M</v>
      </c>
      <c r="D623" s="15">
        <v>75</v>
      </c>
      <c r="E623" s="14">
        <f>ROUND(VLOOKUP(C623,'Production Plan'!A:B,2,FALSE),2)</f>
        <v>334.18</v>
      </c>
      <c r="F623" s="16">
        <v>45813</v>
      </c>
      <c r="G623" s="17">
        <f>F623+6*7</f>
        <v>45855</v>
      </c>
      <c r="H623" s="14">
        <f>G623-F623</f>
        <v>42</v>
      </c>
      <c r="I623" s="14">
        <f>ROUND(D623/E623,3)</f>
        <v>0.224</v>
      </c>
      <c r="J623" s="14">
        <f>I623*24</f>
        <v>5.3760000000000003</v>
      </c>
      <c r="K623" s="14">
        <f>VLOOKUP($C623,Rotation!$A$2:$J$10,2,FALSE)</f>
        <v>1</v>
      </c>
      <c r="L623" s="14">
        <f>VLOOKUP($C623,Rotation!$A$2:$J$10,3,FALSE)</f>
        <v>0</v>
      </c>
      <c r="M623" s="14">
        <f>VLOOKUP($C623,Rotation!$A$2:$J$10,4,FALSE)</f>
        <v>0</v>
      </c>
      <c r="N623" s="14">
        <f>VLOOKUP($C623,Rotation!$A$2:$J$10,5,FALSE)</f>
        <v>0</v>
      </c>
      <c r="O623" s="14">
        <f>VLOOKUP($C623,Rotation!$A$2:$J$10,6,FALSE)</f>
        <v>0</v>
      </c>
      <c r="P623" s="14">
        <f>VLOOKUP($C623,Rotation!$A$2:$J$10,7,FALSE)</f>
        <v>0</v>
      </c>
      <c r="Q623" s="14">
        <f>VLOOKUP($C623,Rotation!$A$2:$J$10,8,FALSE)</f>
        <v>0</v>
      </c>
      <c r="R623" s="14">
        <f>VLOOKUP($C623,Rotation!$A$2:$J$10,9,FALSE)</f>
        <v>1</v>
      </c>
      <c r="S623" s="14">
        <f>VLOOKUP($C623,Rotation!$A$2:$J$10,10,FALSE)</f>
        <v>0</v>
      </c>
    </row>
    <row r="624" spans="1:19" ht="18">
      <c r="A624" s="14">
        <v>622</v>
      </c>
      <c r="B624" s="14" t="s">
        <v>64</v>
      </c>
      <c r="C624" s="14" t="str">
        <f>VLOOKUP(B624,Family!B:C,2,FALSE)</f>
        <v>A</v>
      </c>
      <c r="D624" s="15">
        <v>93</v>
      </c>
      <c r="E624" s="14">
        <f>ROUND(VLOOKUP(C624,'Production Plan'!A:B,2,FALSE),2)</f>
        <v>407.17</v>
      </c>
      <c r="F624" s="16">
        <v>45821</v>
      </c>
      <c r="G624" s="17">
        <f>F624+6*7</f>
        <v>45863</v>
      </c>
      <c r="H624" s="14">
        <f>G624-F624</f>
        <v>42</v>
      </c>
      <c r="I624" s="14">
        <f>ROUND(D624/E624,3)</f>
        <v>0.22800000000000001</v>
      </c>
      <c r="J624" s="14">
        <f>I624*24</f>
        <v>5.4720000000000004</v>
      </c>
      <c r="K624" s="14">
        <f>VLOOKUP($C624,Rotation!$A$2:$J$10,2,FALSE)</f>
        <v>1</v>
      </c>
      <c r="L624" s="14">
        <f>VLOOKUP($C624,Rotation!$A$2:$J$10,3,FALSE)</f>
        <v>1</v>
      </c>
      <c r="M624" s="14">
        <f>VLOOKUP($C624,Rotation!$A$2:$J$10,4,FALSE)</f>
        <v>1</v>
      </c>
      <c r="N624" s="14">
        <f>VLOOKUP($C624,Rotation!$A$2:$J$10,5,FALSE)</f>
        <v>0</v>
      </c>
      <c r="O624" s="14">
        <f>VLOOKUP($C624,Rotation!$A$2:$J$10,6,FALSE)</f>
        <v>0</v>
      </c>
      <c r="P624" s="14">
        <f>VLOOKUP($C624,Rotation!$A$2:$J$10,7,FALSE)</f>
        <v>0</v>
      </c>
      <c r="Q624" s="14">
        <f>VLOOKUP($C624,Rotation!$A$2:$J$10,8,FALSE)</f>
        <v>0</v>
      </c>
      <c r="R624" s="14">
        <f>VLOOKUP($C624,Rotation!$A$2:$J$10,9,FALSE)</f>
        <v>0</v>
      </c>
      <c r="S624" s="14">
        <f>VLOOKUP($C624,Rotation!$A$2:$J$10,10,FALSE)</f>
        <v>0</v>
      </c>
    </row>
    <row r="625" spans="1:19" ht="18">
      <c r="A625" s="14">
        <v>623</v>
      </c>
      <c r="B625" s="14" t="s">
        <v>93</v>
      </c>
      <c r="C625" s="14" t="str">
        <f>VLOOKUP(B625,Family!B:C,2,FALSE)</f>
        <v>F</v>
      </c>
      <c r="D625" s="15">
        <v>144</v>
      </c>
      <c r="E625" s="14">
        <f>ROUND(VLOOKUP(C625,'Production Plan'!A:B,2,FALSE),2)</f>
        <v>394.98</v>
      </c>
      <c r="F625" s="16">
        <v>45826</v>
      </c>
      <c r="G625" s="17">
        <f>F625+6*7</f>
        <v>45868</v>
      </c>
      <c r="H625" s="14">
        <f>G625-F625</f>
        <v>42</v>
      </c>
      <c r="I625" s="14">
        <f>ROUND(D625/E625,3)</f>
        <v>0.36499999999999999</v>
      </c>
      <c r="J625" s="14">
        <f>I625*24</f>
        <v>8.76</v>
      </c>
      <c r="K625" s="14">
        <f>VLOOKUP($C625,Rotation!$A$2:$J$10,2,FALSE)</f>
        <v>1</v>
      </c>
      <c r="L625" s="14">
        <f>VLOOKUP($C625,Rotation!$A$2:$J$10,3,FALSE)</f>
        <v>0</v>
      </c>
      <c r="M625" s="14">
        <f>VLOOKUP($C625,Rotation!$A$2:$J$10,4,FALSE)</f>
        <v>0</v>
      </c>
      <c r="N625" s="14">
        <f>VLOOKUP($C625,Rotation!$A$2:$J$10,5,FALSE)</f>
        <v>1</v>
      </c>
      <c r="O625" s="14">
        <f>VLOOKUP($C625,Rotation!$A$2:$J$10,6,FALSE)</f>
        <v>1</v>
      </c>
      <c r="P625" s="14">
        <f>VLOOKUP($C625,Rotation!$A$2:$J$10,7,FALSE)</f>
        <v>1</v>
      </c>
      <c r="Q625" s="14">
        <f>VLOOKUP($C625,Rotation!$A$2:$J$10,8,FALSE)</f>
        <v>1</v>
      </c>
      <c r="R625" s="14">
        <f>VLOOKUP($C625,Rotation!$A$2:$J$10,9,FALSE)</f>
        <v>1</v>
      </c>
      <c r="S625" s="14">
        <f>VLOOKUP($C625,Rotation!$A$2:$J$10,10,FALSE)</f>
        <v>1</v>
      </c>
    </row>
    <row r="626" spans="1:19" ht="18">
      <c r="A626" s="14">
        <v>624</v>
      </c>
      <c r="B626" s="14" t="s">
        <v>112</v>
      </c>
      <c r="C626" s="14" t="str">
        <f>VLOOKUP(B626,Family!B:C,2,FALSE)</f>
        <v>N</v>
      </c>
      <c r="D626" s="15">
        <v>70</v>
      </c>
      <c r="E626" s="14">
        <f>ROUND(VLOOKUP(C626,'Production Plan'!A:B,2,FALSE),2)</f>
        <v>334.18</v>
      </c>
      <c r="F626" s="16">
        <v>45690</v>
      </c>
      <c r="G626" s="17">
        <f>F626+6*7</f>
        <v>45732</v>
      </c>
      <c r="H626" s="14">
        <f>G626-F626</f>
        <v>42</v>
      </c>
      <c r="I626" s="14">
        <f>ROUND(D626/E626,3)</f>
        <v>0.20899999999999999</v>
      </c>
      <c r="J626" s="14">
        <f>I626*24</f>
        <v>5.016</v>
      </c>
      <c r="K626" s="14">
        <f>VLOOKUP($C626,Rotation!$A$2:$J$10,2,FALSE)</f>
        <v>1</v>
      </c>
      <c r="L626" s="14">
        <f>VLOOKUP($C626,Rotation!$A$2:$J$10,3,FALSE)</f>
        <v>0</v>
      </c>
      <c r="M626" s="14">
        <f>VLOOKUP($C626,Rotation!$A$2:$J$10,4,FALSE)</f>
        <v>0</v>
      </c>
      <c r="N626" s="14">
        <f>VLOOKUP($C626,Rotation!$A$2:$J$10,5,FALSE)</f>
        <v>0</v>
      </c>
      <c r="O626" s="14">
        <f>VLOOKUP($C626,Rotation!$A$2:$J$10,6,FALSE)</f>
        <v>0</v>
      </c>
      <c r="P626" s="14">
        <f>VLOOKUP($C626,Rotation!$A$2:$J$10,7,FALSE)</f>
        <v>0</v>
      </c>
      <c r="Q626" s="14">
        <f>VLOOKUP($C626,Rotation!$A$2:$J$10,8,FALSE)</f>
        <v>1</v>
      </c>
      <c r="R626" s="14">
        <f>VLOOKUP($C626,Rotation!$A$2:$J$10,9,FALSE)</f>
        <v>0</v>
      </c>
      <c r="S626" s="14">
        <f>VLOOKUP($C626,Rotation!$A$2:$J$10,10,FALSE)</f>
        <v>0</v>
      </c>
    </row>
    <row r="627" spans="1:19" ht="18">
      <c r="A627" s="14">
        <v>625</v>
      </c>
      <c r="B627" s="14" t="s">
        <v>77</v>
      </c>
      <c r="C627" s="14" t="str">
        <f>VLOOKUP(B627,Family!B:C,2,FALSE)</f>
        <v>E</v>
      </c>
      <c r="D627" s="15">
        <v>18</v>
      </c>
      <c r="E627" s="14">
        <f>ROUND(VLOOKUP(C627,'Production Plan'!A:B,2,FALSE),2)</f>
        <v>333.66</v>
      </c>
      <c r="F627" s="16">
        <v>45778</v>
      </c>
      <c r="G627" s="17">
        <f>F627+6*7</f>
        <v>45820</v>
      </c>
      <c r="H627" s="14">
        <f>G627-F627</f>
        <v>42</v>
      </c>
      <c r="I627" s="14">
        <f>ROUND(D627/E627,3)</f>
        <v>5.3999999999999999E-2</v>
      </c>
      <c r="J627" s="14">
        <f>I627*24</f>
        <v>1.296</v>
      </c>
      <c r="K627" s="14">
        <f>VLOOKUP($C627,Rotation!$A$2:$J$10,2,FALSE)</f>
        <v>1</v>
      </c>
      <c r="L627" s="14">
        <f>VLOOKUP($C627,Rotation!$A$2:$J$10,3,FALSE)</f>
        <v>0</v>
      </c>
      <c r="M627" s="14">
        <f>VLOOKUP($C627,Rotation!$A$2:$J$10,4,FALSE)</f>
        <v>0</v>
      </c>
      <c r="N627" s="14">
        <f>VLOOKUP($C627,Rotation!$A$2:$J$10,5,FALSE)</f>
        <v>0</v>
      </c>
      <c r="O627" s="14">
        <f>VLOOKUP($C627,Rotation!$A$2:$J$10,6,FALSE)</f>
        <v>0</v>
      </c>
      <c r="P627" s="14">
        <f>VLOOKUP($C627,Rotation!$A$2:$J$10,7,FALSE)</f>
        <v>1</v>
      </c>
      <c r="Q627" s="14">
        <f>VLOOKUP($C627,Rotation!$A$2:$J$10,8,FALSE)</f>
        <v>0</v>
      </c>
      <c r="R627" s="14">
        <f>VLOOKUP($C627,Rotation!$A$2:$J$10,9,FALSE)</f>
        <v>0</v>
      </c>
      <c r="S627" s="14">
        <f>VLOOKUP($C627,Rotation!$A$2:$J$10,10,FALSE)</f>
        <v>0</v>
      </c>
    </row>
    <row r="628" spans="1:19" ht="18">
      <c r="A628" s="14">
        <v>626</v>
      </c>
      <c r="B628" s="14" t="s">
        <v>100</v>
      </c>
      <c r="C628" s="14" t="str">
        <f>VLOOKUP(B628,Family!B:C,2,FALSE)</f>
        <v>H</v>
      </c>
      <c r="D628" s="15">
        <v>23</v>
      </c>
      <c r="E628" s="14">
        <f>ROUND(VLOOKUP(C628,'Production Plan'!A:B,2,FALSE),2)</f>
        <v>402.02</v>
      </c>
      <c r="F628" s="16">
        <v>45793</v>
      </c>
      <c r="G628" s="17">
        <f>F628+6*7</f>
        <v>45835</v>
      </c>
      <c r="H628" s="14">
        <f>G628-F628</f>
        <v>42</v>
      </c>
      <c r="I628" s="14">
        <f>ROUND(D628/E628,3)</f>
        <v>5.7000000000000002E-2</v>
      </c>
      <c r="J628" s="14">
        <f>I628*24</f>
        <v>1.3680000000000001</v>
      </c>
      <c r="K628" s="14">
        <f>VLOOKUP($C628,Rotation!$A$2:$J$10,2,FALSE)</f>
        <v>0</v>
      </c>
      <c r="L628" s="14">
        <f>VLOOKUP($C628,Rotation!$A$2:$J$10,3,FALSE)</f>
        <v>0</v>
      </c>
      <c r="M628" s="14">
        <f>VLOOKUP($C628,Rotation!$A$2:$J$10,4,FALSE)</f>
        <v>1</v>
      </c>
      <c r="N628" s="14">
        <f>VLOOKUP($C628,Rotation!$A$2:$J$10,5,FALSE)</f>
        <v>1</v>
      </c>
      <c r="O628" s="14">
        <f>VLOOKUP($C628,Rotation!$A$2:$J$10,6,FALSE)</f>
        <v>0</v>
      </c>
      <c r="P628" s="14">
        <f>VLOOKUP($C628,Rotation!$A$2:$J$10,7,FALSE)</f>
        <v>0</v>
      </c>
      <c r="Q628" s="14">
        <f>VLOOKUP($C628,Rotation!$A$2:$J$10,8,FALSE)</f>
        <v>0</v>
      </c>
      <c r="R628" s="14">
        <f>VLOOKUP($C628,Rotation!$A$2:$J$10,9,FALSE)</f>
        <v>0</v>
      </c>
      <c r="S628" s="14">
        <f>VLOOKUP($C628,Rotation!$A$2:$J$10,10,FALSE)</f>
        <v>0</v>
      </c>
    </row>
    <row r="629" spans="1:19" ht="18">
      <c r="A629" s="14">
        <v>627</v>
      </c>
      <c r="B629" s="14" t="s">
        <v>64</v>
      </c>
      <c r="C629" s="14" t="str">
        <f>VLOOKUP(B629,Family!B:C,2,FALSE)</f>
        <v>A</v>
      </c>
      <c r="D629" s="15">
        <v>93</v>
      </c>
      <c r="E629" s="14">
        <f>ROUND(VLOOKUP(C629,'Production Plan'!A:B,2,FALSE),2)</f>
        <v>407.17</v>
      </c>
      <c r="F629" s="16">
        <v>45821</v>
      </c>
      <c r="G629" s="17">
        <f>F629+6*7</f>
        <v>45863</v>
      </c>
      <c r="H629" s="14">
        <f>G629-F629</f>
        <v>42</v>
      </c>
      <c r="I629" s="14">
        <f>ROUND(D629/E629,3)</f>
        <v>0.22800000000000001</v>
      </c>
      <c r="J629" s="14">
        <f>I629*24</f>
        <v>5.4720000000000004</v>
      </c>
      <c r="K629" s="14">
        <f>VLOOKUP($C629,Rotation!$A$2:$J$10,2,FALSE)</f>
        <v>1</v>
      </c>
      <c r="L629" s="14">
        <f>VLOOKUP($C629,Rotation!$A$2:$J$10,3,FALSE)</f>
        <v>1</v>
      </c>
      <c r="M629" s="14">
        <f>VLOOKUP($C629,Rotation!$A$2:$J$10,4,FALSE)</f>
        <v>1</v>
      </c>
      <c r="N629" s="14">
        <f>VLOOKUP($C629,Rotation!$A$2:$J$10,5,FALSE)</f>
        <v>0</v>
      </c>
      <c r="O629" s="14">
        <f>VLOOKUP($C629,Rotation!$A$2:$J$10,6,FALSE)</f>
        <v>0</v>
      </c>
      <c r="P629" s="14">
        <f>VLOOKUP($C629,Rotation!$A$2:$J$10,7,FALSE)</f>
        <v>0</v>
      </c>
      <c r="Q629" s="14">
        <f>VLOOKUP($C629,Rotation!$A$2:$J$10,8,FALSE)</f>
        <v>0</v>
      </c>
      <c r="R629" s="14">
        <f>VLOOKUP($C629,Rotation!$A$2:$J$10,9,FALSE)</f>
        <v>0</v>
      </c>
      <c r="S629" s="14">
        <f>VLOOKUP($C629,Rotation!$A$2:$J$10,10,FALSE)</f>
        <v>0</v>
      </c>
    </row>
    <row r="630" spans="1:19" ht="18">
      <c r="A630" s="14">
        <v>628</v>
      </c>
      <c r="B630" s="14" t="s">
        <v>66</v>
      </c>
      <c r="C630" s="14" t="str">
        <f>VLOOKUP(B630,Family!B:C,2,FALSE)</f>
        <v>A</v>
      </c>
      <c r="D630" s="15">
        <v>54</v>
      </c>
      <c r="E630" s="14">
        <f>ROUND(VLOOKUP(C630,'Production Plan'!A:B,2,FALSE),2)</f>
        <v>407.17</v>
      </c>
      <c r="F630" s="16">
        <v>45804</v>
      </c>
      <c r="G630" s="17">
        <f>F630+6*7</f>
        <v>45846</v>
      </c>
      <c r="H630" s="14">
        <f>G630-F630</f>
        <v>42</v>
      </c>
      <c r="I630" s="14">
        <f>ROUND(D630/E630,3)</f>
        <v>0.13300000000000001</v>
      </c>
      <c r="J630" s="14">
        <f>I630*24</f>
        <v>3.1920000000000002</v>
      </c>
      <c r="K630" s="14">
        <f>VLOOKUP($C630,Rotation!$A$2:$J$10,2,FALSE)</f>
        <v>1</v>
      </c>
      <c r="L630" s="14">
        <f>VLOOKUP($C630,Rotation!$A$2:$J$10,3,FALSE)</f>
        <v>1</v>
      </c>
      <c r="M630" s="14">
        <f>VLOOKUP($C630,Rotation!$A$2:$J$10,4,FALSE)</f>
        <v>1</v>
      </c>
      <c r="N630" s="14">
        <f>VLOOKUP($C630,Rotation!$A$2:$J$10,5,FALSE)</f>
        <v>0</v>
      </c>
      <c r="O630" s="14">
        <f>VLOOKUP($C630,Rotation!$A$2:$J$10,6,FALSE)</f>
        <v>0</v>
      </c>
      <c r="P630" s="14">
        <f>VLOOKUP($C630,Rotation!$A$2:$J$10,7,FALSE)</f>
        <v>0</v>
      </c>
      <c r="Q630" s="14">
        <f>VLOOKUP($C630,Rotation!$A$2:$J$10,8,FALSE)</f>
        <v>0</v>
      </c>
      <c r="R630" s="14">
        <f>VLOOKUP($C630,Rotation!$A$2:$J$10,9,FALSE)</f>
        <v>0</v>
      </c>
      <c r="S630" s="14">
        <f>VLOOKUP($C630,Rotation!$A$2:$J$10,10,FALSE)</f>
        <v>0</v>
      </c>
    </row>
    <row r="631" spans="1:19" ht="18">
      <c r="A631" s="14">
        <v>629</v>
      </c>
      <c r="B631" s="14" t="s">
        <v>66</v>
      </c>
      <c r="C631" s="14" t="str">
        <f>VLOOKUP(B631,Family!B:C,2,FALSE)</f>
        <v>A</v>
      </c>
      <c r="D631" s="15">
        <v>54</v>
      </c>
      <c r="E631" s="14">
        <f>ROUND(VLOOKUP(C631,'Production Plan'!A:B,2,FALSE),2)</f>
        <v>407.17</v>
      </c>
      <c r="F631" s="16">
        <v>45804</v>
      </c>
      <c r="G631" s="17">
        <f>F631+6*7</f>
        <v>45846</v>
      </c>
      <c r="H631" s="14">
        <f>G631-F631</f>
        <v>42</v>
      </c>
      <c r="I631" s="14">
        <f>ROUND(D631/E631,3)</f>
        <v>0.13300000000000001</v>
      </c>
      <c r="J631" s="14">
        <f>I631*24</f>
        <v>3.1920000000000002</v>
      </c>
      <c r="K631" s="14">
        <f>VLOOKUP($C631,Rotation!$A$2:$J$10,2,FALSE)</f>
        <v>1</v>
      </c>
      <c r="L631" s="14">
        <f>VLOOKUP($C631,Rotation!$A$2:$J$10,3,FALSE)</f>
        <v>1</v>
      </c>
      <c r="M631" s="14">
        <f>VLOOKUP($C631,Rotation!$A$2:$J$10,4,FALSE)</f>
        <v>1</v>
      </c>
      <c r="N631" s="14">
        <f>VLOOKUP($C631,Rotation!$A$2:$J$10,5,FALSE)</f>
        <v>0</v>
      </c>
      <c r="O631" s="14">
        <f>VLOOKUP($C631,Rotation!$A$2:$J$10,6,FALSE)</f>
        <v>0</v>
      </c>
      <c r="P631" s="14">
        <f>VLOOKUP($C631,Rotation!$A$2:$J$10,7,FALSE)</f>
        <v>0</v>
      </c>
      <c r="Q631" s="14">
        <f>VLOOKUP($C631,Rotation!$A$2:$J$10,8,FALSE)</f>
        <v>0</v>
      </c>
      <c r="R631" s="14">
        <f>VLOOKUP($C631,Rotation!$A$2:$J$10,9,FALSE)</f>
        <v>0</v>
      </c>
      <c r="S631" s="14">
        <f>VLOOKUP($C631,Rotation!$A$2:$J$10,10,FALSE)</f>
        <v>0</v>
      </c>
    </row>
    <row r="632" spans="1:19" ht="18">
      <c r="A632" s="14">
        <v>630</v>
      </c>
      <c r="B632" s="14" t="s">
        <v>66</v>
      </c>
      <c r="C632" s="14" t="str">
        <f>VLOOKUP(B632,Family!B:C,2,FALSE)</f>
        <v>A</v>
      </c>
      <c r="D632" s="15">
        <v>54</v>
      </c>
      <c r="E632" s="14">
        <f>ROUND(VLOOKUP(C632,'Production Plan'!A:B,2,FALSE),2)</f>
        <v>407.17</v>
      </c>
      <c r="F632" s="16">
        <v>45804</v>
      </c>
      <c r="G632" s="17">
        <f>F632+6*7</f>
        <v>45846</v>
      </c>
      <c r="H632" s="14">
        <f>G632-F632</f>
        <v>42</v>
      </c>
      <c r="I632" s="14">
        <f>ROUND(D632/E632,3)</f>
        <v>0.13300000000000001</v>
      </c>
      <c r="J632" s="14">
        <f>I632*24</f>
        <v>3.1920000000000002</v>
      </c>
      <c r="K632" s="14">
        <f>VLOOKUP($C632,Rotation!$A$2:$J$10,2,FALSE)</f>
        <v>1</v>
      </c>
      <c r="L632" s="14">
        <f>VLOOKUP($C632,Rotation!$A$2:$J$10,3,FALSE)</f>
        <v>1</v>
      </c>
      <c r="M632" s="14">
        <f>VLOOKUP($C632,Rotation!$A$2:$J$10,4,FALSE)</f>
        <v>1</v>
      </c>
      <c r="N632" s="14">
        <f>VLOOKUP($C632,Rotation!$A$2:$J$10,5,FALSE)</f>
        <v>0</v>
      </c>
      <c r="O632" s="14">
        <f>VLOOKUP($C632,Rotation!$A$2:$J$10,6,FALSE)</f>
        <v>0</v>
      </c>
      <c r="P632" s="14">
        <f>VLOOKUP($C632,Rotation!$A$2:$J$10,7,FALSE)</f>
        <v>0</v>
      </c>
      <c r="Q632" s="14">
        <f>VLOOKUP($C632,Rotation!$A$2:$J$10,8,FALSE)</f>
        <v>0</v>
      </c>
      <c r="R632" s="14">
        <f>VLOOKUP($C632,Rotation!$A$2:$J$10,9,FALSE)</f>
        <v>0</v>
      </c>
      <c r="S632" s="14">
        <f>VLOOKUP($C632,Rotation!$A$2:$J$10,10,FALSE)</f>
        <v>0</v>
      </c>
    </row>
    <row r="633" spans="1:19" ht="18">
      <c r="A633" s="14">
        <v>631</v>
      </c>
      <c r="B633" s="14" t="s">
        <v>108</v>
      </c>
      <c r="C633" s="14" t="str">
        <f>VLOOKUP(B633,Family!B:C,2,FALSE)</f>
        <v>P</v>
      </c>
      <c r="D633" s="15">
        <v>54</v>
      </c>
      <c r="E633" s="14">
        <f>ROUND(VLOOKUP(C633,'Production Plan'!A:B,2,FALSE),2)</f>
        <v>409.15</v>
      </c>
      <c r="F633" s="16">
        <v>45799</v>
      </c>
      <c r="G633" s="17">
        <f>F633+6*7</f>
        <v>45841</v>
      </c>
      <c r="H633" s="14">
        <f>G633-F633</f>
        <v>42</v>
      </c>
      <c r="I633" s="14">
        <f>ROUND(D633/E633,3)</f>
        <v>0.13200000000000001</v>
      </c>
      <c r="J633" s="14">
        <f>I633*24</f>
        <v>3.1680000000000001</v>
      </c>
      <c r="K633" s="14">
        <f>VLOOKUP($C633,Rotation!$A$2:$J$10,2,FALSE)</f>
        <v>1</v>
      </c>
      <c r="L633" s="14">
        <f>VLOOKUP($C633,Rotation!$A$2:$J$10,3,FALSE)</f>
        <v>1</v>
      </c>
      <c r="M633" s="14">
        <f>VLOOKUP($C633,Rotation!$A$2:$J$10,4,FALSE)</f>
        <v>0</v>
      </c>
      <c r="N633" s="14">
        <f>VLOOKUP($C633,Rotation!$A$2:$J$10,5,FALSE)</f>
        <v>0</v>
      </c>
      <c r="O633" s="14">
        <f>VLOOKUP($C633,Rotation!$A$2:$J$10,6,FALSE)</f>
        <v>0</v>
      </c>
      <c r="P633" s="14">
        <f>VLOOKUP($C633,Rotation!$A$2:$J$10,7,FALSE)</f>
        <v>0</v>
      </c>
      <c r="Q633" s="14">
        <f>VLOOKUP($C633,Rotation!$A$2:$J$10,8,FALSE)</f>
        <v>0</v>
      </c>
      <c r="R633" s="14">
        <f>VLOOKUP($C633,Rotation!$A$2:$J$10,9,FALSE)</f>
        <v>0</v>
      </c>
      <c r="S633" s="14">
        <f>VLOOKUP($C633,Rotation!$A$2:$J$10,10,FALSE)</f>
        <v>0</v>
      </c>
    </row>
    <row r="634" spans="1:19" ht="18">
      <c r="A634" s="14">
        <v>632</v>
      </c>
      <c r="B634" s="14" t="s">
        <v>108</v>
      </c>
      <c r="C634" s="14" t="str">
        <f>VLOOKUP(B634,Family!B:C,2,FALSE)</f>
        <v>P</v>
      </c>
      <c r="D634" s="15">
        <v>54</v>
      </c>
      <c r="E634" s="14">
        <f>ROUND(VLOOKUP(C634,'Production Plan'!A:B,2,FALSE),2)</f>
        <v>409.15</v>
      </c>
      <c r="F634" s="16">
        <v>45799</v>
      </c>
      <c r="G634" s="17">
        <f>F634+6*7</f>
        <v>45841</v>
      </c>
      <c r="H634" s="14">
        <f>G634-F634</f>
        <v>42</v>
      </c>
      <c r="I634" s="14">
        <f>ROUND(D634/E634,3)</f>
        <v>0.13200000000000001</v>
      </c>
      <c r="J634" s="14">
        <f>I634*24</f>
        <v>3.1680000000000001</v>
      </c>
      <c r="K634" s="14">
        <f>VLOOKUP($C634,Rotation!$A$2:$J$10,2,FALSE)</f>
        <v>1</v>
      </c>
      <c r="L634" s="14">
        <f>VLOOKUP($C634,Rotation!$A$2:$J$10,3,FALSE)</f>
        <v>1</v>
      </c>
      <c r="M634" s="14">
        <f>VLOOKUP($C634,Rotation!$A$2:$J$10,4,FALSE)</f>
        <v>0</v>
      </c>
      <c r="N634" s="14">
        <f>VLOOKUP($C634,Rotation!$A$2:$J$10,5,FALSE)</f>
        <v>0</v>
      </c>
      <c r="O634" s="14">
        <f>VLOOKUP($C634,Rotation!$A$2:$J$10,6,FALSE)</f>
        <v>0</v>
      </c>
      <c r="P634" s="14">
        <f>VLOOKUP($C634,Rotation!$A$2:$J$10,7,FALSE)</f>
        <v>0</v>
      </c>
      <c r="Q634" s="14">
        <f>VLOOKUP($C634,Rotation!$A$2:$J$10,8,FALSE)</f>
        <v>0</v>
      </c>
      <c r="R634" s="14">
        <f>VLOOKUP($C634,Rotation!$A$2:$J$10,9,FALSE)</f>
        <v>0</v>
      </c>
      <c r="S634" s="14">
        <f>VLOOKUP($C634,Rotation!$A$2:$J$10,10,FALSE)</f>
        <v>0</v>
      </c>
    </row>
    <row r="635" spans="1:19" ht="18">
      <c r="A635" s="14">
        <v>633</v>
      </c>
      <c r="B635" s="14" t="s">
        <v>108</v>
      </c>
      <c r="C635" s="14" t="str">
        <f>VLOOKUP(B635,Family!B:C,2,FALSE)</f>
        <v>P</v>
      </c>
      <c r="D635" s="15">
        <v>54</v>
      </c>
      <c r="E635" s="14">
        <f>ROUND(VLOOKUP(C635,'Production Plan'!A:B,2,FALSE),2)</f>
        <v>409.15</v>
      </c>
      <c r="F635" s="16">
        <v>45799</v>
      </c>
      <c r="G635" s="17">
        <f>F635+6*7</f>
        <v>45841</v>
      </c>
      <c r="H635" s="14">
        <f>G635-F635</f>
        <v>42</v>
      </c>
      <c r="I635" s="14">
        <f>ROUND(D635/E635,3)</f>
        <v>0.13200000000000001</v>
      </c>
      <c r="J635" s="14">
        <f>I635*24</f>
        <v>3.1680000000000001</v>
      </c>
      <c r="K635" s="14">
        <f>VLOOKUP($C635,Rotation!$A$2:$J$10,2,FALSE)</f>
        <v>1</v>
      </c>
      <c r="L635" s="14">
        <f>VLOOKUP($C635,Rotation!$A$2:$J$10,3,FALSE)</f>
        <v>1</v>
      </c>
      <c r="M635" s="14">
        <f>VLOOKUP($C635,Rotation!$A$2:$J$10,4,FALSE)</f>
        <v>0</v>
      </c>
      <c r="N635" s="14">
        <f>VLOOKUP($C635,Rotation!$A$2:$J$10,5,FALSE)</f>
        <v>0</v>
      </c>
      <c r="O635" s="14">
        <f>VLOOKUP($C635,Rotation!$A$2:$J$10,6,FALSE)</f>
        <v>0</v>
      </c>
      <c r="P635" s="14">
        <f>VLOOKUP($C635,Rotation!$A$2:$J$10,7,FALSE)</f>
        <v>0</v>
      </c>
      <c r="Q635" s="14">
        <f>VLOOKUP($C635,Rotation!$A$2:$J$10,8,FALSE)</f>
        <v>0</v>
      </c>
      <c r="R635" s="14">
        <f>VLOOKUP($C635,Rotation!$A$2:$J$10,9,FALSE)</f>
        <v>0</v>
      </c>
      <c r="S635" s="14">
        <f>VLOOKUP($C635,Rotation!$A$2:$J$10,10,FALSE)</f>
        <v>0</v>
      </c>
    </row>
    <row r="636" spans="1:19" ht="18">
      <c r="A636" s="14">
        <v>634</v>
      </c>
      <c r="B636" s="14" t="s">
        <v>108</v>
      </c>
      <c r="C636" s="14" t="str">
        <f>VLOOKUP(B636,Family!B:C,2,FALSE)</f>
        <v>P</v>
      </c>
      <c r="D636" s="15">
        <v>54</v>
      </c>
      <c r="E636" s="14">
        <f>ROUND(VLOOKUP(C636,'Production Plan'!A:B,2,FALSE),2)</f>
        <v>409.15</v>
      </c>
      <c r="F636" s="16">
        <v>45799</v>
      </c>
      <c r="G636" s="17">
        <f>F636+6*7</f>
        <v>45841</v>
      </c>
      <c r="H636" s="14">
        <f>G636-F636</f>
        <v>42</v>
      </c>
      <c r="I636" s="14">
        <f>ROUND(D636/E636,3)</f>
        <v>0.13200000000000001</v>
      </c>
      <c r="J636" s="14">
        <f>I636*24</f>
        <v>3.1680000000000001</v>
      </c>
      <c r="K636" s="14">
        <f>VLOOKUP($C636,Rotation!$A$2:$J$10,2,FALSE)</f>
        <v>1</v>
      </c>
      <c r="L636" s="14">
        <f>VLOOKUP($C636,Rotation!$A$2:$J$10,3,FALSE)</f>
        <v>1</v>
      </c>
      <c r="M636" s="14">
        <f>VLOOKUP($C636,Rotation!$A$2:$J$10,4,FALSE)</f>
        <v>0</v>
      </c>
      <c r="N636" s="14">
        <f>VLOOKUP($C636,Rotation!$A$2:$J$10,5,FALSE)</f>
        <v>0</v>
      </c>
      <c r="O636" s="14">
        <f>VLOOKUP($C636,Rotation!$A$2:$J$10,6,FALSE)</f>
        <v>0</v>
      </c>
      <c r="P636" s="14">
        <f>VLOOKUP($C636,Rotation!$A$2:$J$10,7,FALSE)</f>
        <v>0</v>
      </c>
      <c r="Q636" s="14">
        <f>VLOOKUP($C636,Rotation!$A$2:$J$10,8,FALSE)</f>
        <v>0</v>
      </c>
      <c r="R636" s="14">
        <f>VLOOKUP($C636,Rotation!$A$2:$J$10,9,FALSE)</f>
        <v>0</v>
      </c>
      <c r="S636" s="14">
        <f>VLOOKUP($C636,Rotation!$A$2:$J$10,10,FALSE)</f>
        <v>0</v>
      </c>
    </row>
    <row r="637" spans="1:19" ht="18">
      <c r="A637" s="14">
        <v>635</v>
      </c>
      <c r="B637" s="14" t="s">
        <v>108</v>
      </c>
      <c r="C637" s="14" t="str">
        <f>VLOOKUP(B637,Family!B:C,2,FALSE)</f>
        <v>P</v>
      </c>
      <c r="D637" s="15">
        <v>54</v>
      </c>
      <c r="E637" s="14">
        <f>ROUND(VLOOKUP(C637,'Production Plan'!A:B,2,FALSE),2)</f>
        <v>409.15</v>
      </c>
      <c r="F637" s="16">
        <v>45799</v>
      </c>
      <c r="G637" s="17">
        <f>F637+6*7</f>
        <v>45841</v>
      </c>
      <c r="H637" s="14">
        <f>G637-F637</f>
        <v>42</v>
      </c>
      <c r="I637" s="14">
        <f>ROUND(D637/E637,3)</f>
        <v>0.13200000000000001</v>
      </c>
      <c r="J637" s="14">
        <f>I637*24</f>
        <v>3.1680000000000001</v>
      </c>
      <c r="K637" s="14">
        <f>VLOOKUP($C637,Rotation!$A$2:$J$10,2,FALSE)</f>
        <v>1</v>
      </c>
      <c r="L637" s="14">
        <f>VLOOKUP($C637,Rotation!$A$2:$J$10,3,FALSE)</f>
        <v>1</v>
      </c>
      <c r="M637" s="14">
        <f>VLOOKUP($C637,Rotation!$A$2:$J$10,4,FALSE)</f>
        <v>0</v>
      </c>
      <c r="N637" s="14">
        <f>VLOOKUP($C637,Rotation!$A$2:$J$10,5,FALSE)</f>
        <v>0</v>
      </c>
      <c r="O637" s="14">
        <f>VLOOKUP($C637,Rotation!$A$2:$J$10,6,FALSE)</f>
        <v>0</v>
      </c>
      <c r="P637" s="14">
        <f>VLOOKUP($C637,Rotation!$A$2:$J$10,7,FALSE)</f>
        <v>0</v>
      </c>
      <c r="Q637" s="14">
        <f>VLOOKUP($C637,Rotation!$A$2:$J$10,8,FALSE)</f>
        <v>0</v>
      </c>
      <c r="R637" s="14">
        <f>VLOOKUP($C637,Rotation!$A$2:$J$10,9,FALSE)</f>
        <v>0</v>
      </c>
      <c r="S637" s="14">
        <f>VLOOKUP($C637,Rotation!$A$2:$J$10,10,FALSE)</f>
        <v>0</v>
      </c>
    </row>
    <row r="638" spans="1:19" ht="18">
      <c r="A638" s="14">
        <v>636</v>
      </c>
      <c r="B638" s="14" t="s">
        <v>93</v>
      </c>
      <c r="C638" s="14" t="str">
        <f>VLOOKUP(B638,Family!B:C,2,FALSE)</f>
        <v>F</v>
      </c>
      <c r="D638" s="15">
        <v>72</v>
      </c>
      <c r="E638" s="14">
        <f>ROUND(VLOOKUP(C638,'Production Plan'!A:B,2,FALSE),2)</f>
        <v>394.98</v>
      </c>
      <c r="F638" s="16">
        <v>45834</v>
      </c>
      <c r="G638" s="17">
        <f>F638+6*7</f>
        <v>45876</v>
      </c>
      <c r="H638" s="14">
        <f>G638-F638</f>
        <v>42</v>
      </c>
      <c r="I638" s="14">
        <f>ROUND(D638/E638,3)</f>
        <v>0.182</v>
      </c>
      <c r="J638" s="14">
        <f>I638*24</f>
        <v>4.3680000000000003</v>
      </c>
      <c r="K638" s="14">
        <f>VLOOKUP($C638,Rotation!$A$2:$J$10,2,FALSE)</f>
        <v>1</v>
      </c>
      <c r="L638" s="14">
        <f>VLOOKUP($C638,Rotation!$A$2:$J$10,3,FALSE)</f>
        <v>0</v>
      </c>
      <c r="M638" s="14">
        <f>VLOOKUP($C638,Rotation!$A$2:$J$10,4,FALSE)</f>
        <v>0</v>
      </c>
      <c r="N638" s="14">
        <f>VLOOKUP($C638,Rotation!$A$2:$J$10,5,FALSE)</f>
        <v>1</v>
      </c>
      <c r="O638" s="14">
        <f>VLOOKUP($C638,Rotation!$A$2:$J$10,6,FALSE)</f>
        <v>1</v>
      </c>
      <c r="P638" s="14">
        <f>VLOOKUP($C638,Rotation!$A$2:$J$10,7,FALSE)</f>
        <v>1</v>
      </c>
      <c r="Q638" s="14">
        <f>VLOOKUP($C638,Rotation!$A$2:$J$10,8,FALSE)</f>
        <v>1</v>
      </c>
      <c r="R638" s="14">
        <f>VLOOKUP($C638,Rotation!$A$2:$J$10,9,FALSE)</f>
        <v>1</v>
      </c>
      <c r="S638" s="14">
        <f>VLOOKUP($C638,Rotation!$A$2:$J$10,10,FALSE)</f>
        <v>1</v>
      </c>
    </row>
    <row r="639" spans="1:19" ht="18">
      <c r="A639" s="14">
        <v>637</v>
      </c>
      <c r="B639" s="14" t="s">
        <v>65</v>
      </c>
      <c r="C639" s="14" t="str">
        <f>VLOOKUP(B639,Family!B:C,2,FALSE)</f>
        <v>A</v>
      </c>
      <c r="D639" s="15">
        <v>19</v>
      </c>
      <c r="E639" s="14">
        <f>ROUND(VLOOKUP(C639,'Production Plan'!A:B,2,FALSE),2)</f>
        <v>407.17</v>
      </c>
      <c r="F639" s="16">
        <v>45792</v>
      </c>
      <c r="G639" s="17">
        <f>F639+6*7</f>
        <v>45834</v>
      </c>
      <c r="H639" s="14">
        <f>G639-F639</f>
        <v>42</v>
      </c>
      <c r="I639" s="14">
        <f>ROUND(D639/E639,3)</f>
        <v>4.7E-2</v>
      </c>
      <c r="J639" s="14">
        <f>I639*24</f>
        <v>1.1280000000000001</v>
      </c>
      <c r="K639" s="14">
        <f>VLOOKUP($C639,Rotation!$A$2:$J$10,2,FALSE)</f>
        <v>1</v>
      </c>
      <c r="L639" s="14">
        <f>VLOOKUP($C639,Rotation!$A$2:$J$10,3,FALSE)</f>
        <v>1</v>
      </c>
      <c r="M639" s="14">
        <f>VLOOKUP($C639,Rotation!$A$2:$J$10,4,FALSE)</f>
        <v>1</v>
      </c>
      <c r="N639" s="14">
        <f>VLOOKUP($C639,Rotation!$A$2:$J$10,5,FALSE)</f>
        <v>0</v>
      </c>
      <c r="O639" s="14">
        <f>VLOOKUP($C639,Rotation!$A$2:$J$10,6,FALSE)</f>
        <v>0</v>
      </c>
      <c r="P639" s="14">
        <f>VLOOKUP($C639,Rotation!$A$2:$J$10,7,FALSE)</f>
        <v>0</v>
      </c>
      <c r="Q639" s="14">
        <f>VLOOKUP($C639,Rotation!$A$2:$J$10,8,FALSE)</f>
        <v>0</v>
      </c>
      <c r="R639" s="14">
        <f>VLOOKUP($C639,Rotation!$A$2:$J$10,9,FALSE)</f>
        <v>0</v>
      </c>
      <c r="S639" s="14">
        <f>VLOOKUP($C639,Rotation!$A$2:$J$10,10,FALSE)</f>
        <v>0</v>
      </c>
    </row>
    <row r="640" spans="1:19" ht="18">
      <c r="A640" s="14">
        <v>638</v>
      </c>
      <c r="B640" s="14" t="s">
        <v>64</v>
      </c>
      <c r="C640" s="14" t="str">
        <f>VLOOKUP(B640,Family!B:C,2,FALSE)</f>
        <v>A</v>
      </c>
      <c r="D640" s="15">
        <v>93</v>
      </c>
      <c r="E640" s="14">
        <f>ROUND(VLOOKUP(C640,'Production Plan'!A:B,2,FALSE),2)</f>
        <v>407.17</v>
      </c>
      <c r="F640" s="16">
        <v>45793</v>
      </c>
      <c r="G640" s="17">
        <f>F640+6*7</f>
        <v>45835</v>
      </c>
      <c r="H640" s="14">
        <f>G640-F640</f>
        <v>42</v>
      </c>
      <c r="I640" s="14">
        <f>ROUND(D640/E640,3)</f>
        <v>0.22800000000000001</v>
      </c>
      <c r="J640" s="14">
        <f>I640*24</f>
        <v>5.4720000000000004</v>
      </c>
      <c r="K640" s="14">
        <f>VLOOKUP($C640,Rotation!$A$2:$J$10,2,FALSE)</f>
        <v>1</v>
      </c>
      <c r="L640" s="14">
        <f>VLOOKUP($C640,Rotation!$A$2:$J$10,3,FALSE)</f>
        <v>1</v>
      </c>
      <c r="M640" s="14">
        <f>VLOOKUP($C640,Rotation!$A$2:$J$10,4,FALSE)</f>
        <v>1</v>
      </c>
      <c r="N640" s="14">
        <f>VLOOKUP($C640,Rotation!$A$2:$J$10,5,FALSE)</f>
        <v>0</v>
      </c>
      <c r="O640" s="14">
        <f>VLOOKUP($C640,Rotation!$A$2:$J$10,6,FALSE)</f>
        <v>0</v>
      </c>
      <c r="P640" s="14">
        <f>VLOOKUP($C640,Rotation!$A$2:$J$10,7,FALSE)</f>
        <v>0</v>
      </c>
      <c r="Q640" s="14">
        <f>VLOOKUP($C640,Rotation!$A$2:$J$10,8,FALSE)</f>
        <v>0</v>
      </c>
      <c r="R640" s="14">
        <f>VLOOKUP($C640,Rotation!$A$2:$J$10,9,FALSE)</f>
        <v>0</v>
      </c>
      <c r="S640" s="14">
        <f>VLOOKUP($C640,Rotation!$A$2:$J$10,10,FALSE)</f>
        <v>0</v>
      </c>
    </row>
    <row r="641" spans="1:19" ht="18">
      <c r="A641" s="14">
        <v>639</v>
      </c>
      <c r="B641" s="14" t="s">
        <v>85</v>
      </c>
      <c r="C641" s="14" t="str">
        <f>VLOOKUP(B641,Family!B:C,2,FALSE)</f>
        <v>E</v>
      </c>
      <c r="D641" s="15">
        <v>19</v>
      </c>
      <c r="E641" s="14">
        <f>ROUND(VLOOKUP(C641,'Production Plan'!A:B,2,FALSE),2)</f>
        <v>333.66</v>
      </c>
      <c r="F641" s="16">
        <v>45778</v>
      </c>
      <c r="G641" s="17">
        <f>F641+6*7</f>
        <v>45820</v>
      </c>
      <c r="H641" s="14">
        <f>G641-F641</f>
        <v>42</v>
      </c>
      <c r="I641" s="14">
        <f>ROUND(D641/E641,3)</f>
        <v>5.7000000000000002E-2</v>
      </c>
      <c r="J641" s="14">
        <f>I641*24</f>
        <v>1.3680000000000001</v>
      </c>
      <c r="K641" s="14">
        <f>VLOOKUP($C641,Rotation!$A$2:$J$10,2,FALSE)</f>
        <v>1</v>
      </c>
      <c r="L641" s="14">
        <f>VLOOKUP($C641,Rotation!$A$2:$J$10,3,FALSE)</f>
        <v>0</v>
      </c>
      <c r="M641" s="14">
        <f>VLOOKUP($C641,Rotation!$A$2:$J$10,4,FALSE)</f>
        <v>0</v>
      </c>
      <c r="N641" s="14">
        <f>VLOOKUP($C641,Rotation!$A$2:$J$10,5,FALSE)</f>
        <v>0</v>
      </c>
      <c r="O641" s="14">
        <f>VLOOKUP($C641,Rotation!$A$2:$J$10,6,FALSE)</f>
        <v>0</v>
      </c>
      <c r="P641" s="14">
        <f>VLOOKUP($C641,Rotation!$A$2:$J$10,7,FALSE)</f>
        <v>1</v>
      </c>
      <c r="Q641" s="14">
        <f>VLOOKUP($C641,Rotation!$A$2:$J$10,8,FALSE)</f>
        <v>0</v>
      </c>
      <c r="R641" s="14">
        <f>VLOOKUP($C641,Rotation!$A$2:$J$10,9,FALSE)</f>
        <v>0</v>
      </c>
      <c r="S641" s="14">
        <f>VLOOKUP($C641,Rotation!$A$2:$J$10,10,FALSE)</f>
        <v>0</v>
      </c>
    </row>
    <row r="642" spans="1:19" ht="18">
      <c r="A642" s="14">
        <v>640</v>
      </c>
      <c r="B642" s="14" t="s">
        <v>111</v>
      </c>
      <c r="C642" s="14" t="str">
        <f>VLOOKUP(B642,Family!B:C,2,FALSE)</f>
        <v>N</v>
      </c>
      <c r="D642" s="15">
        <v>67</v>
      </c>
      <c r="E642" s="14">
        <f>ROUND(VLOOKUP(C642,'Production Plan'!A:B,2,FALSE),2)</f>
        <v>334.18</v>
      </c>
      <c r="F642" s="16">
        <v>45758</v>
      </c>
      <c r="G642" s="17">
        <f>F642+6*7</f>
        <v>45800</v>
      </c>
      <c r="H642" s="14">
        <f>G642-F642</f>
        <v>42</v>
      </c>
      <c r="I642" s="14">
        <f>ROUND(D642/E642,3)</f>
        <v>0.2</v>
      </c>
      <c r="J642" s="14">
        <f>I642*24</f>
        <v>4.8000000000000007</v>
      </c>
      <c r="K642" s="14">
        <f>VLOOKUP($C642,Rotation!$A$2:$J$10,2,FALSE)</f>
        <v>1</v>
      </c>
      <c r="L642" s="14">
        <f>VLOOKUP($C642,Rotation!$A$2:$J$10,3,FALSE)</f>
        <v>0</v>
      </c>
      <c r="M642" s="14">
        <f>VLOOKUP($C642,Rotation!$A$2:$J$10,4,FALSE)</f>
        <v>0</v>
      </c>
      <c r="N642" s="14">
        <f>VLOOKUP($C642,Rotation!$A$2:$J$10,5,FALSE)</f>
        <v>0</v>
      </c>
      <c r="O642" s="14">
        <f>VLOOKUP($C642,Rotation!$A$2:$J$10,6,FALSE)</f>
        <v>0</v>
      </c>
      <c r="P642" s="14">
        <f>VLOOKUP($C642,Rotation!$A$2:$J$10,7,FALSE)</f>
        <v>0</v>
      </c>
      <c r="Q642" s="14">
        <f>VLOOKUP($C642,Rotation!$A$2:$J$10,8,FALSE)</f>
        <v>1</v>
      </c>
      <c r="R642" s="14">
        <f>VLOOKUP($C642,Rotation!$A$2:$J$10,9,FALSE)</f>
        <v>0</v>
      </c>
      <c r="S642" s="14">
        <f>VLOOKUP($C642,Rotation!$A$2:$J$10,10,FALSE)</f>
        <v>0</v>
      </c>
    </row>
    <row r="643" spans="1:19" ht="18">
      <c r="A643" s="14">
        <v>641</v>
      </c>
      <c r="B643" s="14" t="s">
        <v>87</v>
      </c>
      <c r="C643" s="14" t="str">
        <f>VLOOKUP(B643,Family!B:C,2,FALSE)</f>
        <v>E</v>
      </c>
      <c r="D643" s="15">
        <v>18</v>
      </c>
      <c r="E643" s="14">
        <f>ROUND(VLOOKUP(C643,'Production Plan'!A:B,2,FALSE),2)</f>
        <v>333.66</v>
      </c>
      <c r="F643" s="16">
        <v>45783</v>
      </c>
      <c r="G643" s="17">
        <f>F643+6*7</f>
        <v>45825</v>
      </c>
      <c r="H643" s="14">
        <f>G643-F643</f>
        <v>42</v>
      </c>
      <c r="I643" s="14">
        <f>ROUND(D643/E643,3)</f>
        <v>5.3999999999999999E-2</v>
      </c>
      <c r="J643" s="14">
        <f>I643*24</f>
        <v>1.296</v>
      </c>
      <c r="K643" s="14">
        <f>VLOOKUP($C643,Rotation!$A$2:$J$10,2,FALSE)</f>
        <v>1</v>
      </c>
      <c r="L643" s="14">
        <f>VLOOKUP($C643,Rotation!$A$2:$J$10,3,FALSE)</f>
        <v>0</v>
      </c>
      <c r="M643" s="14">
        <f>VLOOKUP($C643,Rotation!$A$2:$J$10,4,FALSE)</f>
        <v>0</v>
      </c>
      <c r="N643" s="14">
        <f>VLOOKUP($C643,Rotation!$A$2:$J$10,5,FALSE)</f>
        <v>0</v>
      </c>
      <c r="O643" s="14">
        <f>VLOOKUP($C643,Rotation!$A$2:$J$10,6,FALSE)</f>
        <v>0</v>
      </c>
      <c r="P643" s="14">
        <f>VLOOKUP($C643,Rotation!$A$2:$J$10,7,FALSE)</f>
        <v>1</v>
      </c>
      <c r="Q643" s="14">
        <f>VLOOKUP($C643,Rotation!$A$2:$J$10,8,FALSE)</f>
        <v>0</v>
      </c>
      <c r="R643" s="14">
        <f>VLOOKUP($C643,Rotation!$A$2:$J$10,9,FALSE)</f>
        <v>0</v>
      </c>
      <c r="S643" s="14">
        <f>VLOOKUP($C643,Rotation!$A$2:$J$10,10,FALSE)</f>
        <v>0</v>
      </c>
    </row>
    <row r="644" spans="1:19" ht="18">
      <c r="A644" s="14">
        <v>642</v>
      </c>
      <c r="B644" s="14" t="s">
        <v>65</v>
      </c>
      <c r="C644" s="14" t="str">
        <f>VLOOKUP(B644,Family!B:C,2,FALSE)</f>
        <v>A</v>
      </c>
      <c r="D644" s="15">
        <v>19</v>
      </c>
      <c r="E644" s="14">
        <f>ROUND(VLOOKUP(C644,'Production Plan'!A:B,2,FALSE),2)</f>
        <v>407.17</v>
      </c>
      <c r="F644" s="16">
        <v>45792</v>
      </c>
      <c r="G644" s="17">
        <f>F644+6*7</f>
        <v>45834</v>
      </c>
      <c r="H644" s="14">
        <f>G644-F644</f>
        <v>42</v>
      </c>
      <c r="I644" s="14">
        <f>ROUND(D644/E644,3)</f>
        <v>4.7E-2</v>
      </c>
      <c r="J644" s="14">
        <f>I644*24</f>
        <v>1.1280000000000001</v>
      </c>
      <c r="K644" s="14">
        <f>VLOOKUP($C644,Rotation!$A$2:$J$10,2,FALSE)</f>
        <v>1</v>
      </c>
      <c r="L644" s="14">
        <f>VLOOKUP($C644,Rotation!$A$2:$J$10,3,FALSE)</f>
        <v>1</v>
      </c>
      <c r="M644" s="14">
        <f>VLOOKUP($C644,Rotation!$A$2:$J$10,4,FALSE)</f>
        <v>1</v>
      </c>
      <c r="N644" s="14">
        <f>VLOOKUP($C644,Rotation!$A$2:$J$10,5,FALSE)</f>
        <v>0</v>
      </c>
      <c r="O644" s="14">
        <f>VLOOKUP($C644,Rotation!$A$2:$J$10,6,FALSE)</f>
        <v>0</v>
      </c>
      <c r="P644" s="14">
        <f>VLOOKUP($C644,Rotation!$A$2:$J$10,7,FALSE)</f>
        <v>0</v>
      </c>
      <c r="Q644" s="14">
        <f>VLOOKUP($C644,Rotation!$A$2:$J$10,8,FALSE)</f>
        <v>0</v>
      </c>
      <c r="R644" s="14">
        <f>VLOOKUP($C644,Rotation!$A$2:$J$10,9,FALSE)</f>
        <v>0</v>
      </c>
      <c r="S644" s="14">
        <f>VLOOKUP($C644,Rotation!$A$2:$J$10,10,FALSE)</f>
        <v>0</v>
      </c>
    </row>
    <row r="645" spans="1:19" ht="18">
      <c r="A645" s="14">
        <v>643</v>
      </c>
      <c r="B645" s="14" t="s">
        <v>85</v>
      </c>
      <c r="C645" s="14" t="str">
        <f>VLOOKUP(B645,Family!B:C,2,FALSE)</f>
        <v>E</v>
      </c>
      <c r="D645" s="15">
        <v>19</v>
      </c>
      <c r="E645" s="14">
        <f>ROUND(VLOOKUP(C645,'Production Plan'!A:B,2,FALSE),2)</f>
        <v>333.66</v>
      </c>
      <c r="F645" s="16">
        <v>45826</v>
      </c>
      <c r="G645" s="17">
        <f>F645+6*7</f>
        <v>45868</v>
      </c>
      <c r="H645" s="14">
        <f>G645-F645</f>
        <v>42</v>
      </c>
      <c r="I645" s="14">
        <f>ROUND(D645/E645,3)</f>
        <v>5.7000000000000002E-2</v>
      </c>
      <c r="J645" s="14">
        <f>I645*24</f>
        <v>1.3680000000000001</v>
      </c>
      <c r="K645" s="14">
        <f>VLOOKUP($C645,Rotation!$A$2:$J$10,2,FALSE)</f>
        <v>1</v>
      </c>
      <c r="L645" s="14">
        <f>VLOOKUP($C645,Rotation!$A$2:$J$10,3,FALSE)</f>
        <v>0</v>
      </c>
      <c r="M645" s="14">
        <f>VLOOKUP($C645,Rotation!$A$2:$J$10,4,FALSE)</f>
        <v>0</v>
      </c>
      <c r="N645" s="14">
        <f>VLOOKUP($C645,Rotation!$A$2:$J$10,5,FALSE)</f>
        <v>0</v>
      </c>
      <c r="O645" s="14">
        <f>VLOOKUP($C645,Rotation!$A$2:$J$10,6,FALSE)</f>
        <v>0</v>
      </c>
      <c r="P645" s="14">
        <f>VLOOKUP($C645,Rotation!$A$2:$J$10,7,FALSE)</f>
        <v>1</v>
      </c>
      <c r="Q645" s="14">
        <f>VLOOKUP($C645,Rotation!$A$2:$J$10,8,FALSE)</f>
        <v>0</v>
      </c>
      <c r="R645" s="14">
        <f>VLOOKUP($C645,Rotation!$A$2:$J$10,9,FALSE)</f>
        <v>0</v>
      </c>
      <c r="S645" s="14">
        <f>VLOOKUP($C645,Rotation!$A$2:$J$10,10,FALSE)</f>
        <v>0</v>
      </c>
    </row>
    <row r="646" spans="1:19" ht="18">
      <c r="A646" s="14">
        <v>644</v>
      </c>
      <c r="B646" s="14" t="s">
        <v>108</v>
      </c>
      <c r="C646" s="14" t="str">
        <f>VLOOKUP(B646,Family!B:C,2,FALSE)</f>
        <v>P</v>
      </c>
      <c r="D646" s="15">
        <v>20</v>
      </c>
      <c r="E646" s="14">
        <f>ROUND(VLOOKUP(C646,'Production Plan'!A:B,2,FALSE),2)</f>
        <v>409.15</v>
      </c>
      <c r="F646" s="16">
        <v>45832</v>
      </c>
      <c r="G646" s="17">
        <f>F646+6*7</f>
        <v>45874</v>
      </c>
      <c r="H646" s="14">
        <f>G646-F646</f>
        <v>42</v>
      </c>
      <c r="I646" s="14">
        <f>ROUND(D646/E646,3)</f>
        <v>4.9000000000000002E-2</v>
      </c>
      <c r="J646" s="14">
        <f>I646*24</f>
        <v>1.1760000000000002</v>
      </c>
      <c r="K646" s="14">
        <f>VLOOKUP($C646,Rotation!$A$2:$J$10,2,FALSE)</f>
        <v>1</v>
      </c>
      <c r="L646" s="14">
        <f>VLOOKUP($C646,Rotation!$A$2:$J$10,3,FALSE)</f>
        <v>1</v>
      </c>
      <c r="M646" s="14">
        <f>VLOOKUP($C646,Rotation!$A$2:$J$10,4,FALSE)</f>
        <v>0</v>
      </c>
      <c r="N646" s="14">
        <f>VLOOKUP($C646,Rotation!$A$2:$J$10,5,FALSE)</f>
        <v>0</v>
      </c>
      <c r="O646" s="14">
        <f>VLOOKUP($C646,Rotation!$A$2:$J$10,6,FALSE)</f>
        <v>0</v>
      </c>
      <c r="P646" s="14">
        <f>VLOOKUP($C646,Rotation!$A$2:$J$10,7,FALSE)</f>
        <v>0</v>
      </c>
      <c r="Q646" s="14">
        <f>VLOOKUP($C646,Rotation!$A$2:$J$10,8,FALSE)</f>
        <v>0</v>
      </c>
      <c r="R646" s="14">
        <f>VLOOKUP($C646,Rotation!$A$2:$J$10,9,FALSE)</f>
        <v>0</v>
      </c>
      <c r="S646" s="14">
        <f>VLOOKUP($C646,Rotation!$A$2:$J$10,10,FALSE)</f>
        <v>0</v>
      </c>
    </row>
    <row r="647" spans="1:19" ht="18">
      <c r="A647" s="14">
        <v>645</v>
      </c>
      <c r="B647" s="14" t="s">
        <v>99</v>
      </c>
      <c r="C647" s="14" t="str">
        <f>VLOOKUP(B647,Family!B:C,2,FALSE)</f>
        <v>N</v>
      </c>
      <c r="D647" s="15">
        <v>190</v>
      </c>
      <c r="E647" s="14">
        <f>ROUND(VLOOKUP(C647,'Production Plan'!A:B,2,FALSE),2)</f>
        <v>334.18</v>
      </c>
      <c r="F647" s="16">
        <v>45813</v>
      </c>
      <c r="G647" s="17">
        <f>F647+6*7</f>
        <v>45855</v>
      </c>
      <c r="H647" s="14">
        <f>G647-F647</f>
        <v>42</v>
      </c>
      <c r="I647" s="14">
        <f>ROUND(D647/E647,3)</f>
        <v>0.56899999999999995</v>
      </c>
      <c r="J647" s="14">
        <f>I647*24</f>
        <v>13.655999999999999</v>
      </c>
      <c r="K647" s="14">
        <f>VLOOKUP($C647,Rotation!$A$2:$J$10,2,FALSE)</f>
        <v>1</v>
      </c>
      <c r="L647" s="14">
        <f>VLOOKUP($C647,Rotation!$A$2:$J$10,3,FALSE)</f>
        <v>0</v>
      </c>
      <c r="M647" s="14">
        <f>VLOOKUP($C647,Rotation!$A$2:$J$10,4,FALSE)</f>
        <v>0</v>
      </c>
      <c r="N647" s="14">
        <f>VLOOKUP($C647,Rotation!$A$2:$J$10,5,FALSE)</f>
        <v>0</v>
      </c>
      <c r="O647" s="14">
        <f>VLOOKUP($C647,Rotation!$A$2:$J$10,6,FALSE)</f>
        <v>0</v>
      </c>
      <c r="P647" s="14">
        <f>VLOOKUP($C647,Rotation!$A$2:$J$10,7,FALSE)</f>
        <v>0</v>
      </c>
      <c r="Q647" s="14">
        <f>VLOOKUP($C647,Rotation!$A$2:$J$10,8,FALSE)</f>
        <v>1</v>
      </c>
      <c r="R647" s="14">
        <f>VLOOKUP($C647,Rotation!$A$2:$J$10,9,FALSE)</f>
        <v>0</v>
      </c>
      <c r="S647" s="14">
        <f>VLOOKUP($C647,Rotation!$A$2:$J$10,10,FALSE)</f>
        <v>0</v>
      </c>
    </row>
    <row r="648" spans="1:19" ht="18">
      <c r="A648" s="14">
        <v>646</v>
      </c>
      <c r="B648" s="14" t="s">
        <v>108</v>
      </c>
      <c r="C648" s="14" t="str">
        <f>VLOOKUP(B648,Family!B:C,2,FALSE)</f>
        <v>P</v>
      </c>
      <c r="D648" s="15">
        <v>10</v>
      </c>
      <c r="E648" s="14">
        <f>ROUND(VLOOKUP(C648,'Production Plan'!A:B,2,FALSE),2)</f>
        <v>409.15</v>
      </c>
      <c r="F648" s="16">
        <v>45832</v>
      </c>
      <c r="G648" s="17">
        <f>F648+6*7</f>
        <v>45874</v>
      </c>
      <c r="H648" s="14">
        <f>G648-F648</f>
        <v>42</v>
      </c>
      <c r="I648" s="14">
        <f>ROUND(D648/E648,3)</f>
        <v>2.4E-2</v>
      </c>
      <c r="J648" s="14">
        <f>I648*24</f>
        <v>0.57600000000000007</v>
      </c>
      <c r="K648" s="14">
        <f>VLOOKUP($C648,Rotation!$A$2:$J$10,2,FALSE)</f>
        <v>1</v>
      </c>
      <c r="L648" s="14">
        <f>VLOOKUP($C648,Rotation!$A$2:$J$10,3,FALSE)</f>
        <v>1</v>
      </c>
      <c r="M648" s="14">
        <f>VLOOKUP($C648,Rotation!$A$2:$J$10,4,FALSE)</f>
        <v>0</v>
      </c>
      <c r="N648" s="14">
        <f>VLOOKUP($C648,Rotation!$A$2:$J$10,5,FALSE)</f>
        <v>0</v>
      </c>
      <c r="O648" s="14">
        <f>VLOOKUP($C648,Rotation!$A$2:$J$10,6,FALSE)</f>
        <v>0</v>
      </c>
      <c r="P648" s="14">
        <f>VLOOKUP($C648,Rotation!$A$2:$J$10,7,FALSE)</f>
        <v>0</v>
      </c>
      <c r="Q648" s="14">
        <f>VLOOKUP($C648,Rotation!$A$2:$J$10,8,FALSE)</f>
        <v>0</v>
      </c>
      <c r="R648" s="14">
        <f>VLOOKUP($C648,Rotation!$A$2:$J$10,9,FALSE)</f>
        <v>0</v>
      </c>
      <c r="S648" s="14">
        <f>VLOOKUP($C648,Rotation!$A$2:$J$10,10,FALSE)</f>
        <v>0</v>
      </c>
    </row>
    <row r="649" spans="1:19" ht="18">
      <c r="A649" s="14">
        <v>647</v>
      </c>
      <c r="B649" s="14" t="s">
        <v>111</v>
      </c>
      <c r="C649" s="14" t="str">
        <f>VLOOKUP(B649,Family!B:C,2,FALSE)</f>
        <v>N</v>
      </c>
      <c r="D649" s="15">
        <v>67</v>
      </c>
      <c r="E649" s="14">
        <f>ROUND(VLOOKUP(C649,'Production Plan'!A:B,2,FALSE),2)</f>
        <v>334.18</v>
      </c>
      <c r="F649" s="16">
        <v>45758</v>
      </c>
      <c r="G649" s="17">
        <f>F649+6*7</f>
        <v>45800</v>
      </c>
      <c r="H649" s="14">
        <f>G649-F649</f>
        <v>42</v>
      </c>
      <c r="I649" s="14">
        <f>ROUND(D649/E649,3)</f>
        <v>0.2</v>
      </c>
      <c r="J649" s="14">
        <f>I649*24</f>
        <v>4.8000000000000007</v>
      </c>
      <c r="K649" s="14">
        <f>VLOOKUP($C649,Rotation!$A$2:$J$10,2,FALSE)</f>
        <v>1</v>
      </c>
      <c r="L649" s="14">
        <f>VLOOKUP($C649,Rotation!$A$2:$J$10,3,FALSE)</f>
        <v>0</v>
      </c>
      <c r="M649" s="14">
        <f>VLOOKUP($C649,Rotation!$A$2:$J$10,4,FALSE)</f>
        <v>0</v>
      </c>
      <c r="N649" s="14">
        <f>VLOOKUP($C649,Rotation!$A$2:$J$10,5,FALSE)</f>
        <v>0</v>
      </c>
      <c r="O649" s="14">
        <f>VLOOKUP($C649,Rotation!$A$2:$J$10,6,FALSE)</f>
        <v>0</v>
      </c>
      <c r="P649" s="14">
        <f>VLOOKUP($C649,Rotation!$A$2:$J$10,7,FALSE)</f>
        <v>0</v>
      </c>
      <c r="Q649" s="14">
        <f>VLOOKUP($C649,Rotation!$A$2:$J$10,8,FALSE)</f>
        <v>1</v>
      </c>
      <c r="R649" s="14">
        <f>VLOOKUP($C649,Rotation!$A$2:$J$10,9,FALSE)</f>
        <v>0</v>
      </c>
      <c r="S649" s="14">
        <f>VLOOKUP($C649,Rotation!$A$2:$J$10,10,FALSE)</f>
        <v>0</v>
      </c>
    </row>
    <row r="650" spans="1:19" ht="18">
      <c r="A650" s="14">
        <v>648</v>
      </c>
      <c r="B650" s="14" t="s">
        <v>110</v>
      </c>
      <c r="C650" s="14" t="str">
        <f>VLOOKUP(B650,Family!B:C,2,FALSE)</f>
        <v>M</v>
      </c>
      <c r="D650" s="15">
        <v>16</v>
      </c>
      <c r="E650" s="14">
        <f>ROUND(VLOOKUP(C650,'Production Plan'!A:B,2,FALSE),2)</f>
        <v>334.18</v>
      </c>
      <c r="F650" s="16">
        <v>45818</v>
      </c>
      <c r="G650" s="17">
        <f>F650+6*7</f>
        <v>45860</v>
      </c>
      <c r="H650" s="14">
        <f>G650-F650</f>
        <v>42</v>
      </c>
      <c r="I650" s="14">
        <f>ROUND(D650/E650,3)</f>
        <v>4.8000000000000001E-2</v>
      </c>
      <c r="J650" s="14">
        <f>I650*24</f>
        <v>1.1520000000000001</v>
      </c>
      <c r="K650" s="14">
        <f>VLOOKUP($C650,Rotation!$A$2:$J$10,2,FALSE)</f>
        <v>1</v>
      </c>
      <c r="L650" s="14">
        <f>VLOOKUP($C650,Rotation!$A$2:$J$10,3,FALSE)</f>
        <v>0</v>
      </c>
      <c r="M650" s="14">
        <f>VLOOKUP($C650,Rotation!$A$2:$J$10,4,FALSE)</f>
        <v>0</v>
      </c>
      <c r="N650" s="14">
        <f>VLOOKUP($C650,Rotation!$A$2:$J$10,5,FALSE)</f>
        <v>0</v>
      </c>
      <c r="O650" s="14">
        <f>VLOOKUP($C650,Rotation!$A$2:$J$10,6,FALSE)</f>
        <v>0</v>
      </c>
      <c r="P650" s="14">
        <f>VLOOKUP($C650,Rotation!$A$2:$J$10,7,FALSE)</f>
        <v>0</v>
      </c>
      <c r="Q650" s="14">
        <f>VLOOKUP($C650,Rotation!$A$2:$J$10,8,FALSE)</f>
        <v>0</v>
      </c>
      <c r="R650" s="14">
        <f>VLOOKUP($C650,Rotation!$A$2:$J$10,9,FALSE)</f>
        <v>1</v>
      </c>
      <c r="S650" s="14">
        <f>VLOOKUP($C650,Rotation!$A$2:$J$10,10,FALSE)</f>
        <v>0</v>
      </c>
    </row>
    <row r="651" spans="1:19" ht="18">
      <c r="A651" s="14">
        <v>649</v>
      </c>
      <c r="B651" s="14" t="s">
        <v>95</v>
      </c>
      <c r="C651" s="14" t="str">
        <f>VLOOKUP(B651,Family!B:C,2,FALSE)</f>
        <v>M</v>
      </c>
      <c r="D651" s="15">
        <v>24.146000000000001</v>
      </c>
      <c r="E651" s="14">
        <f>ROUND(VLOOKUP(C651,'Production Plan'!A:B,2,FALSE),2)</f>
        <v>334.18</v>
      </c>
      <c r="F651" s="16">
        <v>45832</v>
      </c>
      <c r="G651" s="17">
        <f>F651+6*7</f>
        <v>45874</v>
      </c>
      <c r="H651" s="14">
        <f>G651-F651</f>
        <v>42</v>
      </c>
      <c r="I651" s="14">
        <f>ROUND(D651/E651,3)</f>
        <v>7.1999999999999995E-2</v>
      </c>
      <c r="J651" s="14">
        <f>I651*24</f>
        <v>1.7279999999999998</v>
      </c>
      <c r="K651" s="14">
        <f>VLOOKUP($C651,Rotation!$A$2:$J$10,2,FALSE)</f>
        <v>1</v>
      </c>
      <c r="L651" s="14">
        <f>VLOOKUP($C651,Rotation!$A$2:$J$10,3,FALSE)</f>
        <v>0</v>
      </c>
      <c r="M651" s="14">
        <f>VLOOKUP($C651,Rotation!$A$2:$J$10,4,FALSE)</f>
        <v>0</v>
      </c>
      <c r="N651" s="14">
        <f>VLOOKUP($C651,Rotation!$A$2:$J$10,5,FALSE)</f>
        <v>0</v>
      </c>
      <c r="O651" s="14">
        <f>VLOOKUP($C651,Rotation!$A$2:$J$10,6,FALSE)</f>
        <v>0</v>
      </c>
      <c r="P651" s="14">
        <f>VLOOKUP($C651,Rotation!$A$2:$J$10,7,FALSE)</f>
        <v>0</v>
      </c>
      <c r="Q651" s="14">
        <f>VLOOKUP($C651,Rotation!$A$2:$J$10,8,FALSE)</f>
        <v>0</v>
      </c>
      <c r="R651" s="14">
        <f>VLOOKUP($C651,Rotation!$A$2:$J$10,9,FALSE)</f>
        <v>1</v>
      </c>
      <c r="S651" s="14">
        <f>VLOOKUP($C651,Rotation!$A$2:$J$10,10,FALSE)</f>
        <v>0</v>
      </c>
    </row>
    <row r="652" spans="1:19" ht="18">
      <c r="A652" s="14">
        <v>650</v>
      </c>
      <c r="B652" s="14" t="s">
        <v>109</v>
      </c>
      <c r="C652" s="14" t="str">
        <f>VLOOKUP(B652,Family!B:C,2,FALSE)</f>
        <v>V</v>
      </c>
      <c r="D652" s="15">
        <v>450</v>
      </c>
      <c r="E652" s="14">
        <f>ROUND(VLOOKUP(C652,'Production Plan'!A:B,2,FALSE),2)</f>
        <v>334.18</v>
      </c>
      <c r="F652" s="16">
        <v>45803</v>
      </c>
      <c r="G652" s="17">
        <f>F652+6*7</f>
        <v>45845</v>
      </c>
      <c r="H652" s="14">
        <f>G652-F652</f>
        <v>42</v>
      </c>
      <c r="I652" s="14">
        <f>ROUND(D652/E652,3)</f>
        <v>1.347</v>
      </c>
      <c r="J652" s="14">
        <f>I652*24</f>
        <v>32.328000000000003</v>
      </c>
      <c r="K652" s="14">
        <f>VLOOKUP($C652,Rotation!$A$2:$J$10,2,FALSE)</f>
        <v>1</v>
      </c>
      <c r="L652" s="14">
        <f>VLOOKUP($C652,Rotation!$A$2:$J$10,3,FALSE)</f>
        <v>0</v>
      </c>
      <c r="M652" s="14">
        <f>VLOOKUP($C652,Rotation!$A$2:$J$10,4,FALSE)</f>
        <v>0</v>
      </c>
      <c r="N652" s="14">
        <f>VLOOKUP($C652,Rotation!$A$2:$J$10,5,FALSE)</f>
        <v>0</v>
      </c>
      <c r="O652" s="14">
        <f>VLOOKUP($C652,Rotation!$A$2:$J$10,6,FALSE)</f>
        <v>0</v>
      </c>
      <c r="P652" s="14">
        <f>VLOOKUP($C652,Rotation!$A$2:$J$10,7,FALSE)</f>
        <v>0</v>
      </c>
      <c r="Q652" s="14">
        <f>VLOOKUP($C652,Rotation!$A$2:$J$10,8,FALSE)</f>
        <v>0</v>
      </c>
      <c r="R652" s="14">
        <f>VLOOKUP($C652,Rotation!$A$2:$J$10,9,FALSE)</f>
        <v>0</v>
      </c>
      <c r="S652" s="14">
        <f>VLOOKUP($C652,Rotation!$A$2:$J$10,10,FALSE)</f>
        <v>1</v>
      </c>
    </row>
    <row r="653" spans="1:19" ht="18">
      <c r="A653" s="14">
        <v>651</v>
      </c>
      <c r="B653" s="14" t="s">
        <v>71</v>
      </c>
      <c r="C653" s="14" t="str">
        <f>VLOOKUP(B653,Family!B:C,2,FALSE)</f>
        <v>A</v>
      </c>
      <c r="D653" s="15">
        <v>391</v>
      </c>
      <c r="E653" s="14">
        <f>ROUND(VLOOKUP(C653,'Production Plan'!A:B,2,FALSE),2)</f>
        <v>407.17</v>
      </c>
      <c r="F653" s="16">
        <v>45722</v>
      </c>
      <c r="G653" s="17">
        <f>F653+6*7</f>
        <v>45764</v>
      </c>
      <c r="H653" s="14">
        <f>G653-F653</f>
        <v>42</v>
      </c>
      <c r="I653" s="14">
        <f>ROUND(D653/E653,3)</f>
        <v>0.96</v>
      </c>
      <c r="J653" s="14">
        <f>I653*24</f>
        <v>23.04</v>
      </c>
      <c r="K653" s="14">
        <f>VLOOKUP($C653,Rotation!$A$2:$J$10,2,FALSE)</f>
        <v>1</v>
      </c>
      <c r="L653" s="14">
        <f>VLOOKUP($C653,Rotation!$A$2:$J$10,3,FALSE)</f>
        <v>1</v>
      </c>
      <c r="M653" s="14">
        <f>VLOOKUP($C653,Rotation!$A$2:$J$10,4,FALSE)</f>
        <v>1</v>
      </c>
      <c r="N653" s="14">
        <f>VLOOKUP($C653,Rotation!$A$2:$J$10,5,FALSE)</f>
        <v>0</v>
      </c>
      <c r="O653" s="14">
        <f>VLOOKUP($C653,Rotation!$A$2:$J$10,6,FALSE)</f>
        <v>0</v>
      </c>
      <c r="P653" s="14">
        <f>VLOOKUP($C653,Rotation!$A$2:$J$10,7,FALSE)</f>
        <v>0</v>
      </c>
      <c r="Q653" s="14">
        <f>VLOOKUP($C653,Rotation!$A$2:$J$10,8,FALSE)</f>
        <v>0</v>
      </c>
      <c r="R653" s="14">
        <f>VLOOKUP($C653,Rotation!$A$2:$J$10,9,FALSE)</f>
        <v>0</v>
      </c>
      <c r="S653" s="14">
        <f>VLOOKUP($C653,Rotation!$A$2:$J$10,10,FALSE)</f>
        <v>0</v>
      </c>
    </row>
    <row r="654" spans="1:19" ht="18">
      <c r="A654" s="14">
        <v>652</v>
      </c>
      <c r="B654" s="14" t="s">
        <v>69</v>
      </c>
      <c r="C654" s="14" t="str">
        <f>VLOOKUP(B654,Family!B:C,2,FALSE)</f>
        <v>A</v>
      </c>
      <c r="D654" s="15">
        <v>19</v>
      </c>
      <c r="E654" s="14">
        <f>ROUND(VLOOKUP(C654,'Production Plan'!A:B,2,FALSE),2)</f>
        <v>407.17</v>
      </c>
      <c r="F654" s="16">
        <v>45751</v>
      </c>
      <c r="G654" s="17">
        <f>F654+6*7</f>
        <v>45793</v>
      </c>
      <c r="H654" s="14">
        <f>G654-F654</f>
        <v>42</v>
      </c>
      <c r="I654" s="14">
        <f>ROUND(D654/E654,3)</f>
        <v>4.7E-2</v>
      </c>
      <c r="J654" s="14">
        <f>I654*24</f>
        <v>1.1280000000000001</v>
      </c>
      <c r="K654" s="14">
        <f>VLOOKUP($C654,Rotation!$A$2:$J$10,2,FALSE)</f>
        <v>1</v>
      </c>
      <c r="L654" s="14">
        <f>VLOOKUP($C654,Rotation!$A$2:$J$10,3,FALSE)</f>
        <v>1</v>
      </c>
      <c r="M654" s="14">
        <f>VLOOKUP($C654,Rotation!$A$2:$J$10,4,FALSE)</f>
        <v>1</v>
      </c>
      <c r="N654" s="14">
        <f>VLOOKUP($C654,Rotation!$A$2:$J$10,5,FALSE)</f>
        <v>0</v>
      </c>
      <c r="O654" s="14">
        <f>VLOOKUP($C654,Rotation!$A$2:$J$10,6,FALSE)</f>
        <v>0</v>
      </c>
      <c r="P654" s="14">
        <f>VLOOKUP($C654,Rotation!$A$2:$J$10,7,FALSE)</f>
        <v>0</v>
      </c>
      <c r="Q654" s="14">
        <f>VLOOKUP($C654,Rotation!$A$2:$J$10,8,FALSE)</f>
        <v>0</v>
      </c>
      <c r="R654" s="14">
        <f>VLOOKUP($C654,Rotation!$A$2:$J$10,9,FALSE)</f>
        <v>0</v>
      </c>
      <c r="S654" s="14">
        <f>VLOOKUP($C654,Rotation!$A$2:$J$10,10,FALSE)</f>
        <v>0</v>
      </c>
    </row>
    <row r="655" spans="1:19" ht="18">
      <c r="A655" s="14">
        <v>653</v>
      </c>
      <c r="B655" s="14" t="s">
        <v>69</v>
      </c>
      <c r="C655" s="14" t="str">
        <f>VLOOKUP(B655,Family!B:C,2,FALSE)</f>
        <v>A</v>
      </c>
      <c r="D655" s="15">
        <v>19</v>
      </c>
      <c r="E655" s="14">
        <f>ROUND(VLOOKUP(C655,'Production Plan'!A:B,2,FALSE),2)</f>
        <v>407.17</v>
      </c>
      <c r="F655" s="16">
        <v>45751</v>
      </c>
      <c r="G655" s="17">
        <f>F655+6*7</f>
        <v>45793</v>
      </c>
      <c r="H655" s="14">
        <f>G655-F655</f>
        <v>42</v>
      </c>
      <c r="I655" s="14">
        <f>ROUND(D655/E655,3)</f>
        <v>4.7E-2</v>
      </c>
      <c r="J655" s="14">
        <f>I655*24</f>
        <v>1.1280000000000001</v>
      </c>
      <c r="K655" s="14">
        <f>VLOOKUP($C655,Rotation!$A$2:$J$10,2,FALSE)</f>
        <v>1</v>
      </c>
      <c r="L655" s="14">
        <f>VLOOKUP($C655,Rotation!$A$2:$J$10,3,FALSE)</f>
        <v>1</v>
      </c>
      <c r="M655" s="14">
        <f>VLOOKUP($C655,Rotation!$A$2:$J$10,4,FALSE)</f>
        <v>1</v>
      </c>
      <c r="N655" s="14">
        <f>VLOOKUP($C655,Rotation!$A$2:$J$10,5,FALSE)</f>
        <v>0</v>
      </c>
      <c r="O655" s="14">
        <f>VLOOKUP($C655,Rotation!$A$2:$J$10,6,FALSE)</f>
        <v>0</v>
      </c>
      <c r="P655" s="14">
        <f>VLOOKUP($C655,Rotation!$A$2:$J$10,7,FALSE)</f>
        <v>0</v>
      </c>
      <c r="Q655" s="14">
        <f>VLOOKUP($C655,Rotation!$A$2:$J$10,8,FALSE)</f>
        <v>0</v>
      </c>
      <c r="R655" s="14">
        <f>VLOOKUP($C655,Rotation!$A$2:$J$10,9,FALSE)</f>
        <v>0</v>
      </c>
      <c r="S655" s="14">
        <f>VLOOKUP($C655,Rotation!$A$2:$J$10,10,FALSE)</f>
        <v>0</v>
      </c>
    </row>
    <row r="656" spans="1:19" ht="18">
      <c r="A656" s="14">
        <v>654</v>
      </c>
      <c r="B656" s="14" t="s">
        <v>69</v>
      </c>
      <c r="C656" s="14" t="str">
        <f>VLOOKUP(B656,Family!B:C,2,FALSE)</f>
        <v>A</v>
      </c>
      <c r="D656" s="15">
        <v>19</v>
      </c>
      <c r="E656" s="14">
        <f>ROUND(VLOOKUP(C656,'Production Plan'!A:B,2,FALSE),2)</f>
        <v>407.17</v>
      </c>
      <c r="F656" s="16">
        <v>45751</v>
      </c>
      <c r="G656" s="17">
        <f>F656+6*7</f>
        <v>45793</v>
      </c>
      <c r="H656" s="14">
        <f>G656-F656</f>
        <v>42</v>
      </c>
      <c r="I656" s="14">
        <f>ROUND(D656/E656,3)</f>
        <v>4.7E-2</v>
      </c>
      <c r="J656" s="14">
        <f>I656*24</f>
        <v>1.1280000000000001</v>
      </c>
      <c r="K656" s="14">
        <f>VLOOKUP($C656,Rotation!$A$2:$J$10,2,FALSE)</f>
        <v>1</v>
      </c>
      <c r="L656" s="14">
        <f>VLOOKUP($C656,Rotation!$A$2:$J$10,3,FALSE)</f>
        <v>1</v>
      </c>
      <c r="M656" s="14">
        <f>VLOOKUP($C656,Rotation!$A$2:$J$10,4,FALSE)</f>
        <v>1</v>
      </c>
      <c r="N656" s="14">
        <f>VLOOKUP($C656,Rotation!$A$2:$J$10,5,FALSE)</f>
        <v>0</v>
      </c>
      <c r="O656" s="14">
        <f>VLOOKUP($C656,Rotation!$A$2:$J$10,6,FALSE)</f>
        <v>0</v>
      </c>
      <c r="P656" s="14">
        <f>VLOOKUP($C656,Rotation!$A$2:$J$10,7,FALSE)</f>
        <v>0</v>
      </c>
      <c r="Q656" s="14">
        <f>VLOOKUP($C656,Rotation!$A$2:$J$10,8,FALSE)</f>
        <v>0</v>
      </c>
      <c r="R656" s="14">
        <f>VLOOKUP($C656,Rotation!$A$2:$J$10,9,FALSE)</f>
        <v>0</v>
      </c>
      <c r="S656" s="14">
        <f>VLOOKUP($C656,Rotation!$A$2:$J$10,10,FALSE)</f>
        <v>0</v>
      </c>
    </row>
    <row r="657" spans="1:19" ht="18">
      <c r="A657" s="14">
        <v>655</v>
      </c>
      <c r="B657" s="14" t="s">
        <v>69</v>
      </c>
      <c r="C657" s="14" t="str">
        <f>VLOOKUP(B657,Family!B:C,2,FALSE)</f>
        <v>A</v>
      </c>
      <c r="D657" s="15">
        <v>19</v>
      </c>
      <c r="E657" s="14">
        <f>ROUND(VLOOKUP(C657,'Production Plan'!A:B,2,FALSE),2)</f>
        <v>407.17</v>
      </c>
      <c r="F657" s="16">
        <v>45751</v>
      </c>
      <c r="G657" s="17">
        <f>F657+6*7</f>
        <v>45793</v>
      </c>
      <c r="H657" s="14">
        <f>G657-F657</f>
        <v>42</v>
      </c>
      <c r="I657" s="14">
        <f>ROUND(D657/E657,3)</f>
        <v>4.7E-2</v>
      </c>
      <c r="J657" s="14">
        <f>I657*24</f>
        <v>1.1280000000000001</v>
      </c>
      <c r="K657" s="14">
        <f>VLOOKUP($C657,Rotation!$A$2:$J$10,2,FALSE)</f>
        <v>1</v>
      </c>
      <c r="L657" s="14">
        <f>VLOOKUP($C657,Rotation!$A$2:$J$10,3,FALSE)</f>
        <v>1</v>
      </c>
      <c r="M657" s="14">
        <f>VLOOKUP($C657,Rotation!$A$2:$J$10,4,FALSE)</f>
        <v>1</v>
      </c>
      <c r="N657" s="14">
        <f>VLOOKUP($C657,Rotation!$A$2:$J$10,5,FALSE)</f>
        <v>0</v>
      </c>
      <c r="O657" s="14">
        <f>VLOOKUP($C657,Rotation!$A$2:$J$10,6,FALSE)</f>
        <v>0</v>
      </c>
      <c r="P657" s="14">
        <f>VLOOKUP($C657,Rotation!$A$2:$J$10,7,FALSE)</f>
        <v>0</v>
      </c>
      <c r="Q657" s="14">
        <f>VLOOKUP($C657,Rotation!$A$2:$J$10,8,FALSE)</f>
        <v>0</v>
      </c>
      <c r="R657" s="14">
        <f>VLOOKUP($C657,Rotation!$A$2:$J$10,9,FALSE)</f>
        <v>0</v>
      </c>
      <c r="S657" s="14">
        <f>VLOOKUP($C657,Rotation!$A$2:$J$10,10,FALSE)</f>
        <v>0</v>
      </c>
    </row>
    <row r="658" spans="1:19" ht="18">
      <c r="A658" s="14">
        <v>656</v>
      </c>
      <c r="B658" s="14" t="s">
        <v>65</v>
      </c>
      <c r="C658" s="14" t="str">
        <f>VLOOKUP(B658,Family!B:C,2,FALSE)</f>
        <v>A</v>
      </c>
      <c r="D658" s="15">
        <v>19</v>
      </c>
      <c r="E658" s="14">
        <f>ROUND(VLOOKUP(C658,'Production Plan'!A:B,2,FALSE),2)</f>
        <v>407.17</v>
      </c>
      <c r="F658" s="16">
        <v>45792</v>
      </c>
      <c r="G658" s="17">
        <f>F658+6*7</f>
        <v>45834</v>
      </c>
      <c r="H658" s="14">
        <f>G658-F658</f>
        <v>42</v>
      </c>
      <c r="I658" s="14">
        <f>ROUND(D658/E658,3)</f>
        <v>4.7E-2</v>
      </c>
      <c r="J658" s="14">
        <f>I658*24</f>
        <v>1.1280000000000001</v>
      </c>
      <c r="K658" s="14">
        <f>VLOOKUP($C658,Rotation!$A$2:$J$10,2,FALSE)</f>
        <v>1</v>
      </c>
      <c r="L658" s="14">
        <f>VLOOKUP($C658,Rotation!$A$2:$J$10,3,FALSE)</f>
        <v>1</v>
      </c>
      <c r="M658" s="14">
        <f>VLOOKUP($C658,Rotation!$A$2:$J$10,4,FALSE)</f>
        <v>1</v>
      </c>
      <c r="N658" s="14">
        <f>VLOOKUP($C658,Rotation!$A$2:$J$10,5,FALSE)</f>
        <v>0</v>
      </c>
      <c r="O658" s="14">
        <f>VLOOKUP($C658,Rotation!$A$2:$J$10,6,FALSE)</f>
        <v>0</v>
      </c>
      <c r="P658" s="14">
        <f>VLOOKUP($C658,Rotation!$A$2:$J$10,7,FALSE)</f>
        <v>0</v>
      </c>
      <c r="Q658" s="14">
        <f>VLOOKUP($C658,Rotation!$A$2:$J$10,8,FALSE)</f>
        <v>0</v>
      </c>
      <c r="R658" s="14">
        <f>VLOOKUP($C658,Rotation!$A$2:$J$10,9,FALSE)</f>
        <v>0</v>
      </c>
      <c r="S658" s="14">
        <f>VLOOKUP($C658,Rotation!$A$2:$J$10,10,FALSE)</f>
        <v>0</v>
      </c>
    </row>
    <row r="659" spans="1:19" ht="18">
      <c r="A659" s="14">
        <v>657</v>
      </c>
      <c r="B659" s="14" t="s">
        <v>65</v>
      </c>
      <c r="C659" s="14" t="str">
        <f>VLOOKUP(B659,Family!B:C,2,FALSE)</f>
        <v>A</v>
      </c>
      <c r="D659" s="15">
        <v>19</v>
      </c>
      <c r="E659" s="14">
        <f>ROUND(VLOOKUP(C659,'Production Plan'!A:B,2,FALSE),2)</f>
        <v>407.17</v>
      </c>
      <c r="F659" s="16">
        <v>45792</v>
      </c>
      <c r="G659" s="17">
        <f>F659+6*7</f>
        <v>45834</v>
      </c>
      <c r="H659" s="14">
        <f>G659-F659</f>
        <v>42</v>
      </c>
      <c r="I659" s="14">
        <f>ROUND(D659/E659,3)</f>
        <v>4.7E-2</v>
      </c>
      <c r="J659" s="14">
        <f>I659*24</f>
        <v>1.1280000000000001</v>
      </c>
      <c r="K659" s="14">
        <f>VLOOKUP($C659,Rotation!$A$2:$J$10,2,FALSE)</f>
        <v>1</v>
      </c>
      <c r="L659" s="14">
        <f>VLOOKUP($C659,Rotation!$A$2:$J$10,3,FALSE)</f>
        <v>1</v>
      </c>
      <c r="M659" s="14">
        <f>VLOOKUP($C659,Rotation!$A$2:$J$10,4,FALSE)</f>
        <v>1</v>
      </c>
      <c r="N659" s="14">
        <f>VLOOKUP($C659,Rotation!$A$2:$J$10,5,FALSE)</f>
        <v>0</v>
      </c>
      <c r="O659" s="14">
        <f>VLOOKUP($C659,Rotation!$A$2:$J$10,6,FALSE)</f>
        <v>0</v>
      </c>
      <c r="P659" s="14">
        <f>VLOOKUP($C659,Rotation!$A$2:$J$10,7,FALSE)</f>
        <v>0</v>
      </c>
      <c r="Q659" s="14">
        <f>VLOOKUP($C659,Rotation!$A$2:$J$10,8,FALSE)</f>
        <v>0</v>
      </c>
      <c r="R659" s="14">
        <f>VLOOKUP($C659,Rotation!$A$2:$J$10,9,FALSE)</f>
        <v>0</v>
      </c>
      <c r="S659" s="14">
        <f>VLOOKUP($C659,Rotation!$A$2:$J$10,10,FALSE)</f>
        <v>0</v>
      </c>
    </row>
    <row r="660" spans="1:19" ht="18">
      <c r="A660" s="14">
        <v>658</v>
      </c>
      <c r="B660" s="14" t="s">
        <v>65</v>
      </c>
      <c r="C660" s="14" t="str">
        <f>VLOOKUP(B660,Family!B:C,2,FALSE)</f>
        <v>A</v>
      </c>
      <c r="D660" s="15">
        <v>19</v>
      </c>
      <c r="E660" s="14">
        <f>ROUND(VLOOKUP(C660,'Production Plan'!A:B,2,FALSE),2)</f>
        <v>407.17</v>
      </c>
      <c r="F660" s="16">
        <v>45792</v>
      </c>
      <c r="G660" s="17">
        <f>F660+6*7</f>
        <v>45834</v>
      </c>
      <c r="H660" s="14">
        <f>G660-F660</f>
        <v>42</v>
      </c>
      <c r="I660" s="14">
        <f>ROUND(D660/E660,3)</f>
        <v>4.7E-2</v>
      </c>
      <c r="J660" s="14">
        <f>I660*24</f>
        <v>1.1280000000000001</v>
      </c>
      <c r="K660" s="14">
        <f>VLOOKUP($C660,Rotation!$A$2:$J$10,2,FALSE)</f>
        <v>1</v>
      </c>
      <c r="L660" s="14">
        <f>VLOOKUP($C660,Rotation!$A$2:$J$10,3,FALSE)</f>
        <v>1</v>
      </c>
      <c r="M660" s="14">
        <f>VLOOKUP($C660,Rotation!$A$2:$J$10,4,FALSE)</f>
        <v>1</v>
      </c>
      <c r="N660" s="14">
        <f>VLOOKUP($C660,Rotation!$A$2:$J$10,5,FALSE)</f>
        <v>0</v>
      </c>
      <c r="O660" s="14">
        <f>VLOOKUP($C660,Rotation!$A$2:$J$10,6,FALSE)</f>
        <v>0</v>
      </c>
      <c r="P660" s="14">
        <f>VLOOKUP($C660,Rotation!$A$2:$J$10,7,FALSE)</f>
        <v>0</v>
      </c>
      <c r="Q660" s="14">
        <f>VLOOKUP($C660,Rotation!$A$2:$J$10,8,FALSE)</f>
        <v>0</v>
      </c>
      <c r="R660" s="14">
        <f>VLOOKUP($C660,Rotation!$A$2:$J$10,9,FALSE)</f>
        <v>0</v>
      </c>
      <c r="S660" s="14">
        <f>VLOOKUP($C660,Rotation!$A$2:$J$10,10,FALSE)</f>
        <v>0</v>
      </c>
    </row>
    <row r="661" spans="1:19" ht="18">
      <c r="A661" s="14">
        <v>659</v>
      </c>
      <c r="B661" s="14" t="s">
        <v>64</v>
      </c>
      <c r="C661" s="14" t="str">
        <f>VLOOKUP(B661,Family!B:C,2,FALSE)</f>
        <v>A</v>
      </c>
      <c r="D661" s="15">
        <v>111</v>
      </c>
      <c r="E661" s="14">
        <f>ROUND(VLOOKUP(C661,'Production Plan'!A:B,2,FALSE),2)</f>
        <v>407.17</v>
      </c>
      <c r="F661" s="16">
        <v>45793</v>
      </c>
      <c r="G661" s="17">
        <f>F661+6*7</f>
        <v>45835</v>
      </c>
      <c r="H661" s="14">
        <f>G661-F661</f>
        <v>42</v>
      </c>
      <c r="I661" s="14">
        <f>ROUND(D661/E661,3)</f>
        <v>0.27300000000000002</v>
      </c>
      <c r="J661" s="14">
        <f>I661*24</f>
        <v>6.5520000000000005</v>
      </c>
      <c r="K661" s="14">
        <f>VLOOKUP($C661,Rotation!$A$2:$J$10,2,FALSE)</f>
        <v>1</v>
      </c>
      <c r="L661" s="14">
        <f>VLOOKUP($C661,Rotation!$A$2:$J$10,3,FALSE)</f>
        <v>1</v>
      </c>
      <c r="M661" s="14">
        <f>VLOOKUP($C661,Rotation!$A$2:$J$10,4,FALSE)</f>
        <v>1</v>
      </c>
      <c r="N661" s="14">
        <f>VLOOKUP($C661,Rotation!$A$2:$J$10,5,FALSE)</f>
        <v>0</v>
      </c>
      <c r="O661" s="14">
        <f>VLOOKUP($C661,Rotation!$A$2:$J$10,6,FALSE)</f>
        <v>0</v>
      </c>
      <c r="P661" s="14">
        <f>VLOOKUP($C661,Rotation!$A$2:$J$10,7,FALSE)</f>
        <v>0</v>
      </c>
      <c r="Q661" s="14">
        <f>VLOOKUP($C661,Rotation!$A$2:$J$10,8,FALSE)</f>
        <v>0</v>
      </c>
      <c r="R661" s="14">
        <f>VLOOKUP($C661,Rotation!$A$2:$J$10,9,FALSE)</f>
        <v>0</v>
      </c>
      <c r="S661" s="14">
        <f>VLOOKUP($C661,Rotation!$A$2:$J$10,10,FALSE)</f>
        <v>0</v>
      </c>
    </row>
    <row r="662" spans="1:19" ht="18">
      <c r="A662" s="14">
        <v>660</v>
      </c>
      <c r="B662" s="14" t="s">
        <v>64</v>
      </c>
      <c r="C662" s="14" t="str">
        <f>VLOOKUP(B662,Family!B:C,2,FALSE)</f>
        <v>A</v>
      </c>
      <c r="D662" s="15">
        <v>93</v>
      </c>
      <c r="E662" s="14">
        <f>ROUND(VLOOKUP(C662,'Production Plan'!A:B,2,FALSE),2)</f>
        <v>407.17</v>
      </c>
      <c r="F662" s="16">
        <v>45793</v>
      </c>
      <c r="G662" s="17">
        <f>F662+6*7</f>
        <v>45835</v>
      </c>
      <c r="H662" s="14">
        <f>G662-F662</f>
        <v>42</v>
      </c>
      <c r="I662" s="14">
        <f>ROUND(D662/E662,3)</f>
        <v>0.22800000000000001</v>
      </c>
      <c r="J662" s="14">
        <f>I662*24</f>
        <v>5.4720000000000004</v>
      </c>
      <c r="K662" s="14">
        <f>VLOOKUP($C662,Rotation!$A$2:$J$10,2,FALSE)</f>
        <v>1</v>
      </c>
      <c r="L662" s="14">
        <f>VLOOKUP($C662,Rotation!$A$2:$J$10,3,FALSE)</f>
        <v>1</v>
      </c>
      <c r="M662" s="14">
        <f>VLOOKUP($C662,Rotation!$A$2:$J$10,4,FALSE)</f>
        <v>1</v>
      </c>
      <c r="N662" s="14">
        <f>VLOOKUP($C662,Rotation!$A$2:$J$10,5,FALSE)</f>
        <v>0</v>
      </c>
      <c r="O662" s="14">
        <f>VLOOKUP($C662,Rotation!$A$2:$J$10,6,FALSE)</f>
        <v>0</v>
      </c>
      <c r="P662" s="14">
        <f>VLOOKUP($C662,Rotation!$A$2:$J$10,7,FALSE)</f>
        <v>0</v>
      </c>
      <c r="Q662" s="14">
        <f>VLOOKUP($C662,Rotation!$A$2:$J$10,8,FALSE)</f>
        <v>0</v>
      </c>
      <c r="R662" s="14">
        <f>VLOOKUP($C662,Rotation!$A$2:$J$10,9,FALSE)</f>
        <v>0</v>
      </c>
      <c r="S662" s="14">
        <f>VLOOKUP($C662,Rotation!$A$2:$J$10,10,FALSE)</f>
        <v>0</v>
      </c>
    </row>
    <row r="663" spans="1:19" ht="18">
      <c r="A663" s="14">
        <v>661</v>
      </c>
      <c r="B663" s="14" t="s">
        <v>85</v>
      </c>
      <c r="C663" s="14" t="str">
        <f>VLOOKUP(B663,Family!B:C,2,FALSE)</f>
        <v>E</v>
      </c>
      <c r="D663" s="15">
        <v>19</v>
      </c>
      <c r="E663" s="14">
        <f>ROUND(VLOOKUP(C663,'Production Plan'!A:B,2,FALSE),2)</f>
        <v>333.66</v>
      </c>
      <c r="F663" s="16">
        <v>45835</v>
      </c>
      <c r="G663" s="17">
        <f>F663+6*7</f>
        <v>45877</v>
      </c>
      <c r="H663" s="14">
        <f>G663-F663</f>
        <v>42</v>
      </c>
      <c r="I663" s="14">
        <f>ROUND(D663/E663,3)</f>
        <v>5.7000000000000002E-2</v>
      </c>
      <c r="J663" s="14">
        <f>I663*24</f>
        <v>1.3680000000000001</v>
      </c>
      <c r="K663" s="14">
        <f>VLOOKUP($C663,Rotation!$A$2:$J$10,2,FALSE)</f>
        <v>1</v>
      </c>
      <c r="L663" s="14">
        <f>VLOOKUP($C663,Rotation!$A$2:$J$10,3,FALSE)</f>
        <v>0</v>
      </c>
      <c r="M663" s="14">
        <f>VLOOKUP($C663,Rotation!$A$2:$J$10,4,FALSE)</f>
        <v>0</v>
      </c>
      <c r="N663" s="14">
        <f>VLOOKUP($C663,Rotation!$A$2:$J$10,5,FALSE)</f>
        <v>0</v>
      </c>
      <c r="O663" s="14">
        <f>VLOOKUP($C663,Rotation!$A$2:$J$10,6,FALSE)</f>
        <v>0</v>
      </c>
      <c r="P663" s="14">
        <f>VLOOKUP($C663,Rotation!$A$2:$J$10,7,FALSE)</f>
        <v>1</v>
      </c>
      <c r="Q663" s="14">
        <f>VLOOKUP($C663,Rotation!$A$2:$J$10,8,FALSE)</f>
        <v>0</v>
      </c>
      <c r="R663" s="14">
        <f>VLOOKUP($C663,Rotation!$A$2:$J$10,9,FALSE)</f>
        <v>0</v>
      </c>
      <c r="S663" s="14">
        <f>VLOOKUP($C663,Rotation!$A$2:$J$10,10,FALSE)</f>
        <v>0</v>
      </c>
    </row>
    <row r="664" spans="1:19" ht="18">
      <c r="A664" s="14">
        <v>662</v>
      </c>
      <c r="B664" s="14" t="s">
        <v>85</v>
      </c>
      <c r="C664" s="14" t="str">
        <f>VLOOKUP(B664,Family!B:C,2,FALSE)</f>
        <v>E</v>
      </c>
      <c r="D664" s="15">
        <v>19</v>
      </c>
      <c r="E664" s="14">
        <f>ROUND(VLOOKUP(C664,'Production Plan'!A:B,2,FALSE),2)</f>
        <v>333.66</v>
      </c>
      <c r="F664" s="16">
        <v>45835</v>
      </c>
      <c r="G664" s="17">
        <f>F664+6*7</f>
        <v>45877</v>
      </c>
      <c r="H664" s="14">
        <f>G664-F664</f>
        <v>42</v>
      </c>
      <c r="I664" s="14">
        <f>ROUND(D664/E664,3)</f>
        <v>5.7000000000000002E-2</v>
      </c>
      <c r="J664" s="14">
        <f>I664*24</f>
        <v>1.3680000000000001</v>
      </c>
      <c r="K664" s="14">
        <f>VLOOKUP($C664,Rotation!$A$2:$J$10,2,FALSE)</f>
        <v>1</v>
      </c>
      <c r="L664" s="14">
        <f>VLOOKUP($C664,Rotation!$A$2:$J$10,3,FALSE)</f>
        <v>0</v>
      </c>
      <c r="M664" s="14">
        <f>VLOOKUP($C664,Rotation!$A$2:$J$10,4,FALSE)</f>
        <v>0</v>
      </c>
      <c r="N664" s="14">
        <f>VLOOKUP($C664,Rotation!$A$2:$J$10,5,FALSE)</f>
        <v>0</v>
      </c>
      <c r="O664" s="14">
        <f>VLOOKUP($C664,Rotation!$A$2:$J$10,6,FALSE)</f>
        <v>0</v>
      </c>
      <c r="P664" s="14">
        <f>VLOOKUP($C664,Rotation!$A$2:$J$10,7,FALSE)</f>
        <v>1</v>
      </c>
      <c r="Q664" s="14">
        <f>VLOOKUP($C664,Rotation!$A$2:$J$10,8,FALSE)</f>
        <v>0</v>
      </c>
      <c r="R664" s="14">
        <f>VLOOKUP($C664,Rotation!$A$2:$J$10,9,FALSE)</f>
        <v>0</v>
      </c>
      <c r="S664" s="14">
        <f>VLOOKUP($C664,Rotation!$A$2:$J$10,10,FALSE)</f>
        <v>0</v>
      </c>
    </row>
    <row r="665" spans="1:19" ht="18">
      <c r="A665" s="14">
        <v>663</v>
      </c>
      <c r="B665" s="14" t="s">
        <v>64</v>
      </c>
      <c r="C665" s="14" t="str">
        <f>VLOOKUP(B665,Family!B:C,2,FALSE)</f>
        <v>A</v>
      </c>
      <c r="D665" s="15">
        <v>111</v>
      </c>
      <c r="E665" s="14">
        <f>ROUND(VLOOKUP(C665,'Production Plan'!A:B,2,FALSE),2)</f>
        <v>407.17</v>
      </c>
      <c r="F665" s="16">
        <v>45833</v>
      </c>
      <c r="G665" s="17">
        <f>F665+6*7</f>
        <v>45875</v>
      </c>
      <c r="H665" s="14">
        <f>G665-F665</f>
        <v>42</v>
      </c>
      <c r="I665" s="14">
        <f>ROUND(D665/E665,3)</f>
        <v>0.27300000000000002</v>
      </c>
      <c r="J665" s="14">
        <f>I665*24</f>
        <v>6.5520000000000005</v>
      </c>
      <c r="K665" s="14">
        <f>VLOOKUP($C665,Rotation!$A$2:$J$10,2,FALSE)</f>
        <v>1</v>
      </c>
      <c r="L665" s="14">
        <f>VLOOKUP($C665,Rotation!$A$2:$J$10,3,FALSE)</f>
        <v>1</v>
      </c>
      <c r="M665" s="14">
        <f>VLOOKUP($C665,Rotation!$A$2:$J$10,4,FALSE)</f>
        <v>1</v>
      </c>
      <c r="N665" s="14">
        <f>VLOOKUP($C665,Rotation!$A$2:$J$10,5,FALSE)</f>
        <v>0</v>
      </c>
      <c r="O665" s="14">
        <f>VLOOKUP($C665,Rotation!$A$2:$J$10,6,FALSE)</f>
        <v>0</v>
      </c>
      <c r="P665" s="14">
        <f>VLOOKUP($C665,Rotation!$A$2:$J$10,7,FALSE)</f>
        <v>0</v>
      </c>
      <c r="Q665" s="14">
        <f>VLOOKUP($C665,Rotation!$A$2:$J$10,8,FALSE)</f>
        <v>0</v>
      </c>
      <c r="R665" s="14">
        <f>VLOOKUP($C665,Rotation!$A$2:$J$10,9,FALSE)</f>
        <v>0</v>
      </c>
      <c r="S665" s="14">
        <f>VLOOKUP($C665,Rotation!$A$2:$J$10,10,FALSE)</f>
        <v>0</v>
      </c>
    </row>
    <row r="666" spans="1:19" ht="18">
      <c r="A666" s="14">
        <v>664</v>
      </c>
      <c r="B666" s="14" t="s">
        <v>64</v>
      </c>
      <c r="C666" s="14" t="str">
        <f>VLOOKUP(B666,Family!B:C,2,FALSE)</f>
        <v>A</v>
      </c>
      <c r="D666" s="15">
        <v>111</v>
      </c>
      <c r="E666" s="14">
        <f>ROUND(VLOOKUP(C666,'Production Plan'!A:B,2,FALSE),2)</f>
        <v>407.17</v>
      </c>
      <c r="F666" s="16">
        <v>45835</v>
      </c>
      <c r="G666" s="17">
        <f>F666+6*7</f>
        <v>45877</v>
      </c>
      <c r="H666" s="14">
        <f>G666-F666</f>
        <v>42</v>
      </c>
      <c r="I666" s="14">
        <f>ROUND(D666/E666,3)</f>
        <v>0.27300000000000002</v>
      </c>
      <c r="J666" s="14">
        <f>I666*24</f>
        <v>6.5520000000000005</v>
      </c>
      <c r="K666" s="14">
        <f>VLOOKUP($C666,Rotation!$A$2:$J$10,2,FALSE)</f>
        <v>1</v>
      </c>
      <c r="L666" s="14">
        <f>VLOOKUP($C666,Rotation!$A$2:$J$10,3,FALSE)</f>
        <v>1</v>
      </c>
      <c r="M666" s="14">
        <f>VLOOKUP($C666,Rotation!$A$2:$J$10,4,FALSE)</f>
        <v>1</v>
      </c>
      <c r="N666" s="14">
        <f>VLOOKUP($C666,Rotation!$A$2:$J$10,5,FALSE)</f>
        <v>0</v>
      </c>
      <c r="O666" s="14">
        <f>VLOOKUP($C666,Rotation!$A$2:$J$10,6,FALSE)</f>
        <v>0</v>
      </c>
      <c r="P666" s="14">
        <f>VLOOKUP($C666,Rotation!$A$2:$J$10,7,FALSE)</f>
        <v>0</v>
      </c>
      <c r="Q666" s="14">
        <f>VLOOKUP($C666,Rotation!$A$2:$J$10,8,FALSE)</f>
        <v>0</v>
      </c>
      <c r="R666" s="14">
        <f>VLOOKUP($C666,Rotation!$A$2:$J$10,9,FALSE)</f>
        <v>0</v>
      </c>
      <c r="S666" s="14">
        <f>VLOOKUP($C666,Rotation!$A$2:$J$10,10,FALSE)</f>
        <v>0</v>
      </c>
    </row>
    <row r="667" spans="1:19" ht="18">
      <c r="A667" s="14">
        <v>665</v>
      </c>
      <c r="B667" s="14" t="s">
        <v>98</v>
      </c>
      <c r="C667" s="14" t="str">
        <f>VLOOKUP(B667,Family!B:C,2,FALSE)</f>
        <v>H</v>
      </c>
      <c r="D667" s="15">
        <v>19</v>
      </c>
      <c r="E667" s="14">
        <f>ROUND(VLOOKUP(C667,'Production Plan'!A:B,2,FALSE),2)</f>
        <v>402.02</v>
      </c>
      <c r="F667" s="16">
        <v>45706</v>
      </c>
      <c r="G667" s="17">
        <f>F667+6*7</f>
        <v>45748</v>
      </c>
      <c r="H667" s="14">
        <f>G667-F667</f>
        <v>42</v>
      </c>
      <c r="I667" s="14">
        <f>ROUND(D667/E667,3)</f>
        <v>4.7E-2</v>
      </c>
      <c r="J667" s="14">
        <f>I667*24</f>
        <v>1.1280000000000001</v>
      </c>
      <c r="K667" s="14">
        <f>VLOOKUP($C667,Rotation!$A$2:$J$10,2,FALSE)</f>
        <v>0</v>
      </c>
      <c r="L667" s="14">
        <f>VLOOKUP($C667,Rotation!$A$2:$J$10,3,FALSE)</f>
        <v>0</v>
      </c>
      <c r="M667" s="14">
        <f>VLOOKUP($C667,Rotation!$A$2:$J$10,4,FALSE)</f>
        <v>1</v>
      </c>
      <c r="N667" s="14">
        <f>VLOOKUP($C667,Rotation!$A$2:$J$10,5,FALSE)</f>
        <v>1</v>
      </c>
      <c r="O667" s="14">
        <f>VLOOKUP($C667,Rotation!$A$2:$J$10,6,FALSE)</f>
        <v>0</v>
      </c>
      <c r="P667" s="14">
        <f>VLOOKUP($C667,Rotation!$A$2:$J$10,7,FALSE)</f>
        <v>0</v>
      </c>
      <c r="Q667" s="14">
        <f>VLOOKUP($C667,Rotation!$A$2:$J$10,8,FALSE)</f>
        <v>0</v>
      </c>
      <c r="R667" s="14">
        <f>VLOOKUP($C667,Rotation!$A$2:$J$10,9,FALSE)</f>
        <v>0</v>
      </c>
      <c r="S667" s="14">
        <f>VLOOKUP($C667,Rotation!$A$2:$J$10,10,FALSE)</f>
        <v>0</v>
      </c>
    </row>
    <row r="668" spans="1:19" ht="18">
      <c r="A668" s="14">
        <v>666</v>
      </c>
      <c r="B668" s="14" t="s">
        <v>85</v>
      </c>
      <c r="C668" s="14" t="str">
        <f>VLOOKUP(B668,Family!B:C,2,FALSE)</f>
        <v>E</v>
      </c>
      <c r="D668" s="15">
        <v>19</v>
      </c>
      <c r="E668" s="14">
        <f>ROUND(VLOOKUP(C668,'Production Plan'!A:B,2,FALSE),2)</f>
        <v>333.66</v>
      </c>
      <c r="F668" s="16">
        <v>45761</v>
      </c>
      <c r="G668" s="17">
        <f>F668+6*7</f>
        <v>45803</v>
      </c>
      <c r="H668" s="14">
        <f>G668-F668</f>
        <v>42</v>
      </c>
      <c r="I668" s="14">
        <f>ROUND(D668/E668,3)</f>
        <v>5.7000000000000002E-2</v>
      </c>
      <c r="J668" s="14">
        <f>I668*24</f>
        <v>1.3680000000000001</v>
      </c>
      <c r="K668" s="14">
        <f>VLOOKUP($C668,Rotation!$A$2:$J$10,2,FALSE)</f>
        <v>1</v>
      </c>
      <c r="L668" s="14">
        <f>VLOOKUP($C668,Rotation!$A$2:$J$10,3,FALSE)</f>
        <v>0</v>
      </c>
      <c r="M668" s="14">
        <f>VLOOKUP($C668,Rotation!$A$2:$J$10,4,FALSE)</f>
        <v>0</v>
      </c>
      <c r="N668" s="14">
        <f>VLOOKUP($C668,Rotation!$A$2:$J$10,5,FALSE)</f>
        <v>0</v>
      </c>
      <c r="O668" s="14">
        <f>VLOOKUP($C668,Rotation!$A$2:$J$10,6,FALSE)</f>
        <v>0</v>
      </c>
      <c r="P668" s="14">
        <f>VLOOKUP($C668,Rotation!$A$2:$J$10,7,FALSE)</f>
        <v>1</v>
      </c>
      <c r="Q668" s="14">
        <f>VLOOKUP($C668,Rotation!$A$2:$J$10,8,FALSE)</f>
        <v>0</v>
      </c>
      <c r="R668" s="14">
        <f>VLOOKUP($C668,Rotation!$A$2:$J$10,9,FALSE)</f>
        <v>0</v>
      </c>
      <c r="S668" s="14">
        <f>VLOOKUP($C668,Rotation!$A$2:$J$10,10,FALSE)</f>
        <v>0</v>
      </c>
    </row>
    <row r="669" spans="1:19" ht="18">
      <c r="A669" s="14">
        <v>667</v>
      </c>
      <c r="B669" s="14" t="s">
        <v>85</v>
      </c>
      <c r="C669" s="14" t="str">
        <f>VLOOKUP(B669,Family!B:C,2,FALSE)</f>
        <v>E</v>
      </c>
      <c r="D669" s="15">
        <v>19</v>
      </c>
      <c r="E669" s="14">
        <f>ROUND(VLOOKUP(C669,'Production Plan'!A:B,2,FALSE),2)</f>
        <v>333.66</v>
      </c>
      <c r="F669" s="16">
        <v>45833</v>
      </c>
      <c r="G669" s="17">
        <f>F669+6*7</f>
        <v>45875</v>
      </c>
      <c r="H669" s="14">
        <f>G669-F669</f>
        <v>42</v>
      </c>
      <c r="I669" s="14">
        <f>ROUND(D669/E669,3)</f>
        <v>5.7000000000000002E-2</v>
      </c>
      <c r="J669" s="14">
        <f>I669*24</f>
        <v>1.3680000000000001</v>
      </c>
      <c r="K669" s="14">
        <f>VLOOKUP($C669,Rotation!$A$2:$J$10,2,FALSE)</f>
        <v>1</v>
      </c>
      <c r="L669" s="14">
        <f>VLOOKUP($C669,Rotation!$A$2:$J$10,3,FALSE)</f>
        <v>0</v>
      </c>
      <c r="M669" s="14">
        <f>VLOOKUP($C669,Rotation!$A$2:$J$10,4,FALSE)</f>
        <v>0</v>
      </c>
      <c r="N669" s="14">
        <f>VLOOKUP($C669,Rotation!$A$2:$J$10,5,FALSE)</f>
        <v>0</v>
      </c>
      <c r="O669" s="14">
        <f>VLOOKUP($C669,Rotation!$A$2:$J$10,6,FALSE)</f>
        <v>0</v>
      </c>
      <c r="P669" s="14">
        <f>VLOOKUP($C669,Rotation!$A$2:$J$10,7,FALSE)</f>
        <v>1</v>
      </c>
      <c r="Q669" s="14">
        <f>VLOOKUP($C669,Rotation!$A$2:$J$10,8,FALSE)</f>
        <v>0</v>
      </c>
      <c r="R669" s="14">
        <f>VLOOKUP($C669,Rotation!$A$2:$J$10,9,FALSE)</f>
        <v>0</v>
      </c>
      <c r="S669" s="14">
        <f>VLOOKUP($C669,Rotation!$A$2:$J$10,10,FALSE)</f>
        <v>0</v>
      </c>
    </row>
    <row r="670" spans="1:19" ht="18">
      <c r="A670" s="14">
        <v>668</v>
      </c>
      <c r="B670" s="14" t="s">
        <v>105</v>
      </c>
      <c r="C670" s="14" t="str">
        <f>VLOOKUP(B670,Family!B:C,2,FALSE)</f>
        <v>N</v>
      </c>
      <c r="D670" s="15">
        <v>406</v>
      </c>
      <c r="E670" s="14">
        <f>ROUND(VLOOKUP(C670,'Production Plan'!A:B,2,FALSE),2)</f>
        <v>334.18</v>
      </c>
      <c r="F670" s="16">
        <v>45786</v>
      </c>
      <c r="G670" s="17">
        <f>F670+6*7</f>
        <v>45828</v>
      </c>
      <c r="H670" s="14">
        <f>G670-F670</f>
        <v>42</v>
      </c>
      <c r="I670" s="14">
        <f>ROUND(D670/E670,3)</f>
        <v>1.2150000000000001</v>
      </c>
      <c r="J670" s="14">
        <f>I670*24</f>
        <v>29.160000000000004</v>
      </c>
      <c r="K670" s="14">
        <f>VLOOKUP($C670,Rotation!$A$2:$J$10,2,FALSE)</f>
        <v>1</v>
      </c>
      <c r="L670" s="14">
        <f>VLOOKUP($C670,Rotation!$A$2:$J$10,3,FALSE)</f>
        <v>0</v>
      </c>
      <c r="M670" s="14">
        <f>VLOOKUP($C670,Rotation!$A$2:$J$10,4,FALSE)</f>
        <v>0</v>
      </c>
      <c r="N670" s="14">
        <f>VLOOKUP($C670,Rotation!$A$2:$J$10,5,FALSE)</f>
        <v>0</v>
      </c>
      <c r="O670" s="14">
        <f>VLOOKUP($C670,Rotation!$A$2:$J$10,6,FALSE)</f>
        <v>0</v>
      </c>
      <c r="P670" s="14">
        <f>VLOOKUP($C670,Rotation!$A$2:$J$10,7,FALSE)</f>
        <v>0</v>
      </c>
      <c r="Q670" s="14">
        <f>VLOOKUP($C670,Rotation!$A$2:$J$10,8,FALSE)</f>
        <v>1</v>
      </c>
      <c r="R670" s="14">
        <f>VLOOKUP($C670,Rotation!$A$2:$J$10,9,FALSE)</f>
        <v>0</v>
      </c>
      <c r="S670" s="14">
        <f>VLOOKUP($C670,Rotation!$A$2:$J$10,10,FALSE)</f>
        <v>0</v>
      </c>
    </row>
    <row r="671" spans="1:19" ht="18">
      <c r="A671" s="14">
        <v>669</v>
      </c>
      <c r="B671" s="14" t="s">
        <v>69</v>
      </c>
      <c r="C671" s="14" t="str">
        <f>VLOOKUP(B671,Family!B:C,2,FALSE)</f>
        <v>A</v>
      </c>
      <c r="D671" s="15">
        <v>19</v>
      </c>
      <c r="E671" s="14">
        <f>ROUND(VLOOKUP(C671,'Production Plan'!A:B,2,FALSE),2)</f>
        <v>407.17</v>
      </c>
      <c r="F671" s="16">
        <v>45751</v>
      </c>
      <c r="G671" s="17">
        <f>F671+6*7</f>
        <v>45793</v>
      </c>
      <c r="H671" s="14">
        <f>G671-F671</f>
        <v>42</v>
      </c>
      <c r="I671" s="14">
        <f>ROUND(D671/E671,3)</f>
        <v>4.7E-2</v>
      </c>
      <c r="J671" s="14">
        <f>I671*24</f>
        <v>1.1280000000000001</v>
      </c>
      <c r="K671" s="14">
        <f>VLOOKUP($C671,Rotation!$A$2:$J$10,2,FALSE)</f>
        <v>1</v>
      </c>
      <c r="L671" s="14">
        <f>VLOOKUP($C671,Rotation!$A$2:$J$10,3,FALSE)</f>
        <v>1</v>
      </c>
      <c r="M671" s="14">
        <f>VLOOKUP($C671,Rotation!$A$2:$J$10,4,FALSE)</f>
        <v>1</v>
      </c>
      <c r="N671" s="14">
        <f>VLOOKUP($C671,Rotation!$A$2:$J$10,5,FALSE)</f>
        <v>0</v>
      </c>
      <c r="O671" s="14">
        <f>VLOOKUP($C671,Rotation!$A$2:$J$10,6,FALSE)</f>
        <v>0</v>
      </c>
      <c r="P671" s="14">
        <f>VLOOKUP($C671,Rotation!$A$2:$J$10,7,FALSE)</f>
        <v>0</v>
      </c>
      <c r="Q671" s="14">
        <f>VLOOKUP($C671,Rotation!$A$2:$J$10,8,FALSE)</f>
        <v>0</v>
      </c>
      <c r="R671" s="14">
        <f>VLOOKUP($C671,Rotation!$A$2:$J$10,9,FALSE)</f>
        <v>0</v>
      </c>
      <c r="S671" s="14">
        <f>VLOOKUP($C671,Rotation!$A$2:$J$10,10,FALSE)</f>
        <v>0</v>
      </c>
    </row>
    <row r="672" spans="1:19" ht="18">
      <c r="A672" s="14">
        <v>670</v>
      </c>
      <c r="B672" s="14" t="s">
        <v>69</v>
      </c>
      <c r="C672" s="14" t="str">
        <f>VLOOKUP(B672,Family!B:C,2,FALSE)</f>
        <v>A</v>
      </c>
      <c r="D672" s="15">
        <v>19</v>
      </c>
      <c r="E672" s="14">
        <f>ROUND(VLOOKUP(C672,'Production Plan'!A:B,2,FALSE),2)</f>
        <v>407.17</v>
      </c>
      <c r="F672" s="16">
        <v>45751</v>
      </c>
      <c r="G672" s="17">
        <f>F672+6*7</f>
        <v>45793</v>
      </c>
      <c r="H672" s="14">
        <f>G672-F672</f>
        <v>42</v>
      </c>
      <c r="I672" s="14">
        <f>ROUND(D672/E672,3)</f>
        <v>4.7E-2</v>
      </c>
      <c r="J672" s="14">
        <f>I672*24</f>
        <v>1.1280000000000001</v>
      </c>
      <c r="K672" s="14">
        <f>VLOOKUP($C672,Rotation!$A$2:$J$10,2,FALSE)</f>
        <v>1</v>
      </c>
      <c r="L672" s="14">
        <f>VLOOKUP($C672,Rotation!$A$2:$J$10,3,FALSE)</f>
        <v>1</v>
      </c>
      <c r="M672" s="14">
        <f>VLOOKUP($C672,Rotation!$A$2:$J$10,4,FALSE)</f>
        <v>1</v>
      </c>
      <c r="N672" s="14">
        <f>VLOOKUP($C672,Rotation!$A$2:$J$10,5,FALSE)</f>
        <v>0</v>
      </c>
      <c r="O672" s="14">
        <f>VLOOKUP($C672,Rotation!$A$2:$J$10,6,FALSE)</f>
        <v>0</v>
      </c>
      <c r="P672" s="14">
        <f>VLOOKUP($C672,Rotation!$A$2:$J$10,7,FALSE)</f>
        <v>0</v>
      </c>
      <c r="Q672" s="14">
        <f>VLOOKUP($C672,Rotation!$A$2:$J$10,8,FALSE)</f>
        <v>0</v>
      </c>
      <c r="R672" s="14">
        <f>VLOOKUP($C672,Rotation!$A$2:$J$10,9,FALSE)</f>
        <v>0</v>
      </c>
      <c r="S672" s="14">
        <f>VLOOKUP($C672,Rotation!$A$2:$J$10,10,FALSE)</f>
        <v>0</v>
      </c>
    </row>
    <row r="673" spans="1:19" ht="18">
      <c r="A673" s="14">
        <v>671</v>
      </c>
      <c r="B673" s="14" t="s">
        <v>85</v>
      </c>
      <c r="C673" s="14" t="str">
        <f>VLOOKUP(B673,Family!B:C,2,FALSE)</f>
        <v>E</v>
      </c>
      <c r="D673" s="15">
        <v>19</v>
      </c>
      <c r="E673" s="14">
        <f>ROUND(VLOOKUP(C673,'Production Plan'!A:B,2,FALSE),2)</f>
        <v>333.66</v>
      </c>
      <c r="F673" s="16">
        <v>45761</v>
      </c>
      <c r="G673" s="17">
        <f>F673+6*7</f>
        <v>45803</v>
      </c>
      <c r="H673" s="14">
        <f>G673-F673</f>
        <v>42</v>
      </c>
      <c r="I673" s="14">
        <f>ROUND(D673/E673,3)</f>
        <v>5.7000000000000002E-2</v>
      </c>
      <c r="J673" s="14">
        <f>I673*24</f>
        <v>1.3680000000000001</v>
      </c>
      <c r="K673" s="14">
        <f>VLOOKUP($C673,Rotation!$A$2:$J$10,2,FALSE)</f>
        <v>1</v>
      </c>
      <c r="L673" s="14">
        <f>VLOOKUP($C673,Rotation!$A$2:$J$10,3,FALSE)</f>
        <v>0</v>
      </c>
      <c r="M673" s="14">
        <f>VLOOKUP($C673,Rotation!$A$2:$J$10,4,FALSE)</f>
        <v>0</v>
      </c>
      <c r="N673" s="14">
        <f>VLOOKUP($C673,Rotation!$A$2:$J$10,5,FALSE)</f>
        <v>0</v>
      </c>
      <c r="O673" s="14">
        <f>VLOOKUP($C673,Rotation!$A$2:$J$10,6,FALSE)</f>
        <v>0</v>
      </c>
      <c r="P673" s="14">
        <f>VLOOKUP($C673,Rotation!$A$2:$J$10,7,FALSE)</f>
        <v>1</v>
      </c>
      <c r="Q673" s="14">
        <f>VLOOKUP($C673,Rotation!$A$2:$J$10,8,FALSE)</f>
        <v>0</v>
      </c>
      <c r="R673" s="14">
        <f>VLOOKUP($C673,Rotation!$A$2:$J$10,9,FALSE)</f>
        <v>0</v>
      </c>
      <c r="S673" s="14">
        <f>VLOOKUP($C673,Rotation!$A$2:$J$10,10,FALSE)</f>
        <v>0</v>
      </c>
    </row>
    <row r="674" spans="1:19" ht="18">
      <c r="A674" s="14">
        <v>672</v>
      </c>
      <c r="B674" s="14" t="s">
        <v>77</v>
      </c>
      <c r="C674" s="14" t="str">
        <f>VLOOKUP(B674,Family!B:C,2,FALSE)</f>
        <v>E</v>
      </c>
      <c r="D674" s="15">
        <v>18</v>
      </c>
      <c r="E674" s="14">
        <f>ROUND(VLOOKUP(C674,'Production Plan'!A:B,2,FALSE),2)</f>
        <v>333.66</v>
      </c>
      <c r="F674" s="16">
        <v>45761</v>
      </c>
      <c r="G674" s="17">
        <f>F674+6*7</f>
        <v>45803</v>
      </c>
      <c r="H674" s="14">
        <f>G674-F674</f>
        <v>42</v>
      </c>
      <c r="I674" s="14">
        <f>ROUND(D674/E674,3)</f>
        <v>5.3999999999999999E-2</v>
      </c>
      <c r="J674" s="14">
        <f>I674*24</f>
        <v>1.296</v>
      </c>
      <c r="K674" s="14">
        <f>VLOOKUP($C674,Rotation!$A$2:$J$10,2,FALSE)</f>
        <v>1</v>
      </c>
      <c r="L674" s="14">
        <f>VLOOKUP($C674,Rotation!$A$2:$J$10,3,FALSE)</f>
        <v>0</v>
      </c>
      <c r="M674" s="14">
        <f>VLOOKUP($C674,Rotation!$A$2:$J$10,4,FALSE)</f>
        <v>0</v>
      </c>
      <c r="N674" s="14">
        <f>VLOOKUP($C674,Rotation!$A$2:$J$10,5,FALSE)</f>
        <v>0</v>
      </c>
      <c r="O674" s="14">
        <f>VLOOKUP($C674,Rotation!$A$2:$J$10,6,FALSE)</f>
        <v>0</v>
      </c>
      <c r="P674" s="14">
        <f>VLOOKUP($C674,Rotation!$A$2:$J$10,7,FALSE)</f>
        <v>1</v>
      </c>
      <c r="Q674" s="14">
        <f>VLOOKUP($C674,Rotation!$A$2:$J$10,8,FALSE)</f>
        <v>0</v>
      </c>
      <c r="R674" s="14">
        <f>VLOOKUP($C674,Rotation!$A$2:$J$10,9,FALSE)</f>
        <v>0</v>
      </c>
      <c r="S674" s="14">
        <f>VLOOKUP($C674,Rotation!$A$2:$J$10,10,FALSE)</f>
        <v>0</v>
      </c>
    </row>
    <row r="675" spans="1:19" ht="18">
      <c r="A675" s="14">
        <v>673</v>
      </c>
      <c r="B675" s="14" t="s">
        <v>65</v>
      </c>
      <c r="C675" s="14" t="str">
        <f>VLOOKUP(B675,Family!B:C,2,FALSE)</f>
        <v>A</v>
      </c>
      <c r="D675" s="15">
        <v>19</v>
      </c>
      <c r="E675" s="14">
        <f>ROUND(VLOOKUP(C675,'Production Plan'!A:B,2,FALSE),2)</f>
        <v>407.17</v>
      </c>
      <c r="F675" s="16">
        <v>45792</v>
      </c>
      <c r="G675" s="17">
        <f>F675+6*7</f>
        <v>45834</v>
      </c>
      <c r="H675" s="14">
        <f>G675-F675</f>
        <v>42</v>
      </c>
      <c r="I675" s="14">
        <f>ROUND(D675/E675,3)</f>
        <v>4.7E-2</v>
      </c>
      <c r="J675" s="14">
        <f>I675*24</f>
        <v>1.1280000000000001</v>
      </c>
      <c r="K675" s="14">
        <f>VLOOKUP($C675,Rotation!$A$2:$J$10,2,FALSE)</f>
        <v>1</v>
      </c>
      <c r="L675" s="14">
        <f>VLOOKUP($C675,Rotation!$A$2:$J$10,3,FALSE)</f>
        <v>1</v>
      </c>
      <c r="M675" s="14">
        <f>VLOOKUP($C675,Rotation!$A$2:$J$10,4,FALSE)</f>
        <v>1</v>
      </c>
      <c r="N675" s="14">
        <f>VLOOKUP($C675,Rotation!$A$2:$J$10,5,FALSE)</f>
        <v>0</v>
      </c>
      <c r="O675" s="14">
        <f>VLOOKUP($C675,Rotation!$A$2:$J$10,6,FALSE)</f>
        <v>0</v>
      </c>
      <c r="P675" s="14">
        <f>VLOOKUP($C675,Rotation!$A$2:$J$10,7,FALSE)</f>
        <v>0</v>
      </c>
      <c r="Q675" s="14">
        <f>VLOOKUP($C675,Rotation!$A$2:$J$10,8,FALSE)</f>
        <v>0</v>
      </c>
      <c r="R675" s="14">
        <f>VLOOKUP($C675,Rotation!$A$2:$J$10,9,FALSE)</f>
        <v>0</v>
      </c>
      <c r="S675" s="14">
        <f>VLOOKUP($C675,Rotation!$A$2:$J$10,10,FALSE)</f>
        <v>0</v>
      </c>
    </row>
    <row r="676" spans="1:19" ht="18">
      <c r="A676" s="14">
        <v>674</v>
      </c>
      <c r="B676" s="14" t="s">
        <v>77</v>
      </c>
      <c r="C676" s="14" t="str">
        <f>VLOOKUP(B676,Family!B:C,2,FALSE)</f>
        <v>E</v>
      </c>
      <c r="D676" s="15">
        <v>18</v>
      </c>
      <c r="E676" s="14">
        <f>ROUND(VLOOKUP(C676,'Production Plan'!A:B,2,FALSE),2)</f>
        <v>333.66</v>
      </c>
      <c r="F676" s="16">
        <v>45790</v>
      </c>
      <c r="G676" s="17">
        <f>F676+6*7</f>
        <v>45832</v>
      </c>
      <c r="H676" s="14">
        <f>G676-F676</f>
        <v>42</v>
      </c>
      <c r="I676" s="14">
        <f>ROUND(D676/E676,3)</f>
        <v>5.3999999999999999E-2</v>
      </c>
      <c r="J676" s="14">
        <f>I676*24</f>
        <v>1.296</v>
      </c>
      <c r="K676" s="14">
        <f>VLOOKUP($C676,Rotation!$A$2:$J$10,2,FALSE)</f>
        <v>1</v>
      </c>
      <c r="L676" s="14">
        <f>VLOOKUP($C676,Rotation!$A$2:$J$10,3,FALSE)</f>
        <v>0</v>
      </c>
      <c r="M676" s="14">
        <f>VLOOKUP($C676,Rotation!$A$2:$J$10,4,FALSE)</f>
        <v>0</v>
      </c>
      <c r="N676" s="14">
        <f>VLOOKUP($C676,Rotation!$A$2:$J$10,5,FALSE)</f>
        <v>0</v>
      </c>
      <c r="O676" s="14">
        <f>VLOOKUP($C676,Rotation!$A$2:$J$10,6,FALSE)</f>
        <v>0</v>
      </c>
      <c r="P676" s="14">
        <f>VLOOKUP($C676,Rotation!$A$2:$J$10,7,FALSE)</f>
        <v>1</v>
      </c>
      <c r="Q676" s="14">
        <f>VLOOKUP($C676,Rotation!$A$2:$J$10,8,FALSE)</f>
        <v>0</v>
      </c>
      <c r="R676" s="14">
        <f>VLOOKUP($C676,Rotation!$A$2:$J$10,9,FALSE)</f>
        <v>0</v>
      </c>
      <c r="S676" s="14">
        <f>VLOOKUP($C676,Rotation!$A$2:$J$10,10,FALSE)</f>
        <v>0</v>
      </c>
    </row>
    <row r="677" spans="1:19" ht="18">
      <c r="A677" s="14">
        <v>675</v>
      </c>
      <c r="B677" s="14" t="s">
        <v>85</v>
      </c>
      <c r="C677" s="14" t="str">
        <f>VLOOKUP(B677,Family!B:C,2,FALSE)</f>
        <v>E</v>
      </c>
      <c r="D677" s="15">
        <v>19</v>
      </c>
      <c r="E677" s="14">
        <f>ROUND(VLOOKUP(C677,'Production Plan'!A:B,2,FALSE),2)</f>
        <v>333.66</v>
      </c>
      <c r="F677" s="16">
        <v>45835</v>
      </c>
      <c r="G677" s="17">
        <f>F677+6*7</f>
        <v>45877</v>
      </c>
      <c r="H677" s="14">
        <f>G677-F677</f>
        <v>42</v>
      </c>
      <c r="I677" s="14">
        <f>ROUND(D677/E677,3)</f>
        <v>5.7000000000000002E-2</v>
      </c>
      <c r="J677" s="14">
        <f>I677*24</f>
        <v>1.3680000000000001</v>
      </c>
      <c r="K677" s="14">
        <f>VLOOKUP($C677,Rotation!$A$2:$J$10,2,FALSE)</f>
        <v>1</v>
      </c>
      <c r="L677" s="14">
        <f>VLOOKUP($C677,Rotation!$A$2:$J$10,3,FALSE)</f>
        <v>0</v>
      </c>
      <c r="M677" s="14">
        <f>VLOOKUP($C677,Rotation!$A$2:$J$10,4,FALSE)</f>
        <v>0</v>
      </c>
      <c r="N677" s="14">
        <f>VLOOKUP($C677,Rotation!$A$2:$J$10,5,FALSE)</f>
        <v>0</v>
      </c>
      <c r="O677" s="14">
        <f>VLOOKUP($C677,Rotation!$A$2:$J$10,6,FALSE)</f>
        <v>0</v>
      </c>
      <c r="P677" s="14">
        <f>VLOOKUP($C677,Rotation!$A$2:$J$10,7,FALSE)</f>
        <v>1</v>
      </c>
      <c r="Q677" s="14">
        <f>VLOOKUP($C677,Rotation!$A$2:$J$10,8,FALSE)</f>
        <v>0</v>
      </c>
      <c r="R677" s="14">
        <f>VLOOKUP($C677,Rotation!$A$2:$J$10,9,FALSE)</f>
        <v>0</v>
      </c>
      <c r="S677" s="14">
        <f>VLOOKUP($C677,Rotation!$A$2:$J$10,10,FALSE)</f>
        <v>0</v>
      </c>
    </row>
    <row r="678" spans="1:19" ht="18">
      <c r="A678" s="14">
        <v>676</v>
      </c>
      <c r="B678" s="14" t="s">
        <v>85</v>
      </c>
      <c r="C678" s="14" t="str">
        <f>VLOOKUP(B678,Family!B:C,2,FALSE)</f>
        <v>E</v>
      </c>
      <c r="D678" s="15">
        <v>19</v>
      </c>
      <c r="E678" s="14">
        <f>ROUND(VLOOKUP(C678,'Production Plan'!A:B,2,FALSE),2)</f>
        <v>333.66</v>
      </c>
      <c r="F678" s="16">
        <v>45835</v>
      </c>
      <c r="G678" s="17">
        <f>F678+6*7</f>
        <v>45877</v>
      </c>
      <c r="H678" s="14">
        <f>G678-F678</f>
        <v>42</v>
      </c>
      <c r="I678" s="14">
        <f>ROUND(D678/E678,3)</f>
        <v>5.7000000000000002E-2</v>
      </c>
      <c r="J678" s="14">
        <f>I678*24</f>
        <v>1.3680000000000001</v>
      </c>
      <c r="K678" s="14">
        <f>VLOOKUP($C678,Rotation!$A$2:$J$10,2,FALSE)</f>
        <v>1</v>
      </c>
      <c r="L678" s="14">
        <f>VLOOKUP($C678,Rotation!$A$2:$J$10,3,FALSE)</f>
        <v>0</v>
      </c>
      <c r="M678" s="14">
        <f>VLOOKUP($C678,Rotation!$A$2:$J$10,4,FALSE)</f>
        <v>0</v>
      </c>
      <c r="N678" s="14">
        <f>VLOOKUP($C678,Rotation!$A$2:$J$10,5,FALSE)</f>
        <v>0</v>
      </c>
      <c r="O678" s="14">
        <f>VLOOKUP($C678,Rotation!$A$2:$J$10,6,FALSE)</f>
        <v>0</v>
      </c>
      <c r="P678" s="14">
        <f>VLOOKUP($C678,Rotation!$A$2:$J$10,7,FALSE)</f>
        <v>1</v>
      </c>
      <c r="Q678" s="14">
        <f>VLOOKUP($C678,Rotation!$A$2:$J$10,8,FALSE)</f>
        <v>0</v>
      </c>
      <c r="R678" s="14">
        <f>VLOOKUP($C678,Rotation!$A$2:$J$10,9,FALSE)</f>
        <v>0</v>
      </c>
      <c r="S678" s="14">
        <f>VLOOKUP($C678,Rotation!$A$2:$J$10,10,FALSE)</f>
        <v>0</v>
      </c>
    </row>
    <row r="679" spans="1:19" ht="18">
      <c r="A679" s="14">
        <v>677</v>
      </c>
      <c r="B679" s="14" t="s">
        <v>85</v>
      </c>
      <c r="C679" s="14" t="str">
        <f>VLOOKUP(B679,Family!B:C,2,FALSE)</f>
        <v>E</v>
      </c>
      <c r="D679" s="15">
        <v>19</v>
      </c>
      <c r="E679" s="14">
        <f>ROUND(VLOOKUP(C679,'Production Plan'!A:B,2,FALSE),2)</f>
        <v>333.66</v>
      </c>
      <c r="F679" s="16">
        <v>45835</v>
      </c>
      <c r="G679" s="17">
        <f>F679+6*7</f>
        <v>45877</v>
      </c>
      <c r="H679" s="14">
        <f>G679-F679</f>
        <v>42</v>
      </c>
      <c r="I679" s="14">
        <f>ROUND(D679/E679,3)</f>
        <v>5.7000000000000002E-2</v>
      </c>
      <c r="J679" s="14">
        <f>I679*24</f>
        <v>1.3680000000000001</v>
      </c>
      <c r="K679" s="14">
        <f>VLOOKUP($C679,Rotation!$A$2:$J$10,2,FALSE)</f>
        <v>1</v>
      </c>
      <c r="L679" s="14">
        <f>VLOOKUP($C679,Rotation!$A$2:$J$10,3,FALSE)</f>
        <v>0</v>
      </c>
      <c r="M679" s="14">
        <f>VLOOKUP($C679,Rotation!$A$2:$J$10,4,FALSE)</f>
        <v>0</v>
      </c>
      <c r="N679" s="14">
        <f>VLOOKUP($C679,Rotation!$A$2:$J$10,5,FALSE)</f>
        <v>0</v>
      </c>
      <c r="O679" s="14">
        <f>VLOOKUP($C679,Rotation!$A$2:$J$10,6,FALSE)</f>
        <v>0</v>
      </c>
      <c r="P679" s="14">
        <f>VLOOKUP($C679,Rotation!$A$2:$J$10,7,FALSE)</f>
        <v>1</v>
      </c>
      <c r="Q679" s="14">
        <f>VLOOKUP($C679,Rotation!$A$2:$J$10,8,FALSE)</f>
        <v>0</v>
      </c>
      <c r="R679" s="14">
        <f>VLOOKUP($C679,Rotation!$A$2:$J$10,9,FALSE)</f>
        <v>0</v>
      </c>
      <c r="S679" s="14">
        <f>VLOOKUP($C679,Rotation!$A$2:$J$10,10,FALSE)</f>
        <v>0</v>
      </c>
    </row>
    <row r="680" spans="1:19" ht="18">
      <c r="A680" s="14">
        <v>678</v>
      </c>
      <c r="B680" s="14" t="s">
        <v>98</v>
      </c>
      <c r="C680" s="14" t="str">
        <f>VLOOKUP(B680,Family!B:C,2,FALSE)</f>
        <v>H</v>
      </c>
      <c r="D680" s="15">
        <v>19</v>
      </c>
      <c r="E680" s="14">
        <f>ROUND(VLOOKUP(C680,'Production Plan'!A:B,2,FALSE),2)</f>
        <v>402.02</v>
      </c>
      <c r="F680" s="16">
        <v>45706</v>
      </c>
      <c r="G680" s="17">
        <f>F680+6*7</f>
        <v>45748</v>
      </c>
      <c r="H680" s="14">
        <f>G680-F680</f>
        <v>42</v>
      </c>
      <c r="I680" s="14">
        <f>ROUND(D680/E680,3)</f>
        <v>4.7E-2</v>
      </c>
      <c r="J680" s="14">
        <f>I680*24</f>
        <v>1.1280000000000001</v>
      </c>
      <c r="K680" s="14">
        <f>VLOOKUP($C680,Rotation!$A$2:$J$10,2,FALSE)</f>
        <v>0</v>
      </c>
      <c r="L680" s="14">
        <f>VLOOKUP($C680,Rotation!$A$2:$J$10,3,FALSE)</f>
        <v>0</v>
      </c>
      <c r="M680" s="14">
        <f>VLOOKUP($C680,Rotation!$A$2:$J$10,4,FALSE)</f>
        <v>1</v>
      </c>
      <c r="N680" s="14">
        <f>VLOOKUP($C680,Rotation!$A$2:$J$10,5,FALSE)</f>
        <v>1</v>
      </c>
      <c r="O680" s="14">
        <f>VLOOKUP($C680,Rotation!$A$2:$J$10,6,FALSE)</f>
        <v>0</v>
      </c>
      <c r="P680" s="14">
        <f>VLOOKUP($C680,Rotation!$A$2:$J$10,7,FALSE)</f>
        <v>0</v>
      </c>
      <c r="Q680" s="14">
        <f>VLOOKUP($C680,Rotation!$A$2:$J$10,8,FALSE)</f>
        <v>0</v>
      </c>
      <c r="R680" s="14">
        <f>VLOOKUP($C680,Rotation!$A$2:$J$10,9,FALSE)</f>
        <v>0</v>
      </c>
      <c r="S680" s="14">
        <f>VLOOKUP($C680,Rotation!$A$2:$J$10,10,FALSE)</f>
        <v>0</v>
      </c>
    </row>
    <row r="681" spans="1:19" ht="18">
      <c r="A681" s="14">
        <v>679</v>
      </c>
      <c r="B681" s="14" t="s">
        <v>106</v>
      </c>
      <c r="C681" s="14" t="str">
        <f>VLOOKUP(B681,Family!B:C,2,FALSE)</f>
        <v>P</v>
      </c>
      <c r="D681" s="15">
        <v>19</v>
      </c>
      <c r="E681" s="14">
        <f>ROUND(VLOOKUP(C681,'Production Plan'!A:B,2,FALSE),2)</f>
        <v>409.15</v>
      </c>
      <c r="F681" s="16">
        <v>45799</v>
      </c>
      <c r="G681" s="17">
        <f>F681+6*7</f>
        <v>45841</v>
      </c>
      <c r="H681" s="14">
        <f>G681-F681</f>
        <v>42</v>
      </c>
      <c r="I681" s="14">
        <f>ROUND(D681/E681,3)</f>
        <v>4.5999999999999999E-2</v>
      </c>
      <c r="J681" s="14">
        <f>I681*24</f>
        <v>1.1040000000000001</v>
      </c>
      <c r="K681" s="14">
        <f>VLOOKUP($C681,Rotation!$A$2:$J$10,2,FALSE)</f>
        <v>1</v>
      </c>
      <c r="L681" s="14">
        <f>VLOOKUP($C681,Rotation!$A$2:$J$10,3,FALSE)</f>
        <v>1</v>
      </c>
      <c r="M681" s="14">
        <f>VLOOKUP($C681,Rotation!$A$2:$J$10,4,FALSE)</f>
        <v>0</v>
      </c>
      <c r="N681" s="14">
        <f>VLOOKUP($C681,Rotation!$A$2:$J$10,5,FALSE)</f>
        <v>0</v>
      </c>
      <c r="O681" s="14">
        <f>VLOOKUP($C681,Rotation!$A$2:$J$10,6,FALSE)</f>
        <v>0</v>
      </c>
      <c r="P681" s="14">
        <f>VLOOKUP($C681,Rotation!$A$2:$J$10,7,FALSE)</f>
        <v>0</v>
      </c>
      <c r="Q681" s="14">
        <f>VLOOKUP($C681,Rotation!$A$2:$J$10,8,FALSE)</f>
        <v>0</v>
      </c>
      <c r="R681" s="14">
        <f>VLOOKUP($C681,Rotation!$A$2:$J$10,9,FALSE)</f>
        <v>0</v>
      </c>
      <c r="S681" s="14">
        <f>VLOOKUP($C681,Rotation!$A$2:$J$10,10,FALSE)</f>
        <v>0</v>
      </c>
    </row>
    <row r="682" spans="1:19" ht="18">
      <c r="A682" s="14">
        <v>680</v>
      </c>
      <c r="B682" s="14" t="s">
        <v>106</v>
      </c>
      <c r="C682" s="14" t="str">
        <f>VLOOKUP(B682,Family!B:C,2,FALSE)</f>
        <v>P</v>
      </c>
      <c r="D682" s="15">
        <v>19</v>
      </c>
      <c r="E682" s="14">
        <f>ROUND(VLOOKUP(C682,'Production Plan'!A:B,2,FALSE),2)</f>
        <v>409.15</v>
      </c>
      <c r="F682" s="16">
        <v>45799</v>
      </c>
      <c r="G682" s="17">
        <f>F682+6*7</f>
        <v>45841</v>
      </c>
      <c r="H682" s="14">
        <f>G682-F682</f>
        <v>42</v>
      </c>
      <c r="I682" s="14">
        <f>ROUND(D682/E682,3)</f>
        <v>4.5999999999999999E-2</v>
      </c>
      <c r="J682" s="14">
        <f>I682*24</f>
        <v>1.1040000000000001</v>
      </c>
      <c r="K682" s="14">
        <f>VLOOKUP($C682,Rotation!$A$2:$J$10,2,FALSE)</f>
        <v>1</v>
      </c>
      <c r="L682" s="14">
        <f>VLOOKUP($C682,Rotation!$A$2:$J$10,3,FALSE)</f>
        <v>1</v>
      </c>
      <c r="M682" s="14">
        <f>VLOOKUP($C682,Rotation!$A$2:$J$10,4,FALSE)</f>
        <v>0</v>
      </c>
      <c r="N682" s="14">
        <f>VLOOKUP($C682,Rotation!$A$2:$J$10,5,FALSE)</f>
        <v>0</v>
      </c>
      <c r="O682" s="14">
        <f>VLOOKUP($C682,Rotation!$A$2:$J$10,6,FALSE)</f>
        <v>0</v>
      </c>
      <c r="P682" s="14">
        <f>VLOOKUP($C682,Rotation!$A$2:$J$10,7,FALSE)</f>
        <v>0</v>
      </c>
      <c r="Q682" s="14">
        <f>VLOOKUP($C682,Rotation!$A$2:$J$10,8,FALSE)</f>
        <v>0</v>
      </c>
      <c r="R682" s="14">
        <f>VLOOKUP($C682,Rotation!$A$2:$J$10,9,FALSE)</f>
        <v>0</v>
      </c>
      <c r="S682" s="14">
        <f>VLOOKUP($C682,Rotation!$A$2:$J$10,10,FALSE)</f>
        <v>0</v>
      </c>
    </row>
    <row r="683" spans="1:19" ht="18">
      <c r="A683" s="14">
        <v>681</v>
      </c>
      <c r="B683" s="14" t="s">
        <v>69</v>
      </c>
      <c r="C683" s="14" t="str">
        <f>VLOOKUP(B683,Family!B:C,2,FALSE)</f>
        <v>A</v>
      </c>
      <c r="D683" s="15">
        <v>19</v>
      </c>
      <c r="E683" s="14">
        <f>ROUND(VLOOKUP(C683,'Production Plan'!A:B,2,FALSE),2)</f>
        <v>407.17</v>
      </c>
      <c r="F683" s="16">
        <v>45751</v>
      </c>
      <c r="G683" s="17">
        <f>F683+6*7</f>
        <v>45793</v>
      </c>
      <c r="H683" s="14">
        <f>G683-F683</f>
        <v>42</v>
      </c>
      <c r="I683" s="14">
        <f>ROUND(D683/E683,3)</f>
        <v>4.7E-2</v>
      </c>
      <c r="J683" s="14">
        <f>I683*24</f>
        <v>1.1280000000000001</v>
      </c>
      <c r="K683" s="14">
        <f>VLOOKUP($C683,Rotation!$A$2:$J$10,2,FALSE)</f>
        <v>1</v>
      </c>
      <c r="L683" s="14">
        <f>VLOOKUP($C683,Rotation!$A$2:$J$10,3,FALSE)</f>
        <v>1</v>
      </c>
      <c r="M683" s="14">
        <f>VLOOKUP($C683,Rotation!$A$2:$J$10,4,FALSE)</f>
        <v>1</v>
      </c>
      <c r="N683" s="14">
        <f>VLOOKUP($C683,Rotation!$A$2:$J$10,5,FALSE)</f>
        <v>0</v>
      </c>
      <c r="O683" s="14">
        <f>VLOOKUP($C683,Rotation!$A$2:$J$10,6,FALSE)</f>
        <v>0</v>
      </c>
      <c r="P683" s="14">
        <f>VLOOKUP($C683,Rotation!$A$2:$J$10,7,FALSE)</f>
        <v>0</v>
      </c>
      <c r="Q683" s="14">
        <f>VLOOKUP($C683,Rotation!$A$2:$J$10,8,FALSE)</f>
        <v>0</v>
      </c>
      <c r="R683" s="14">
        <f>VLOOKUP($C683,Rotation!$A$2:$J$10,9,FALSE)</f>
        <v>0</v>
      </c>
      <c r="S683" s="14">
        <f>VLOOKUP($C683,Rotation!$A$2:$J$10,10,FALSE)</f>
        <v>0</v>
      </c>
    </row>
    <row r="684" spans="1:19" ht="18">
      <c r="A684" s="14">
        <v>682</v>
      </c>
      <c r="B684" s="14" t="s">
        <v>69</v>
      </c>
      <c r="C684" s="14" t="str">
        <f>VLOOKUP(B684,Family!B:C,2,FALSE)</f>
        <v>A</v>
      </c>
      <c r="D684" s="15">
        <v>19</v>
      </c>
      <c r="E684" s="14">
        <f>ROUND(VLOOKUP(C684,'Production Plan'!A:B,2,FALSE),2)</f>
        <v>407.17</v>
      </c>
      <c r="F684" s="16">
        <v>45751</v>
      </c>
      <c r="G684" s="17">
        <f>F684+6*7</f>
        <v>45793</v>
      </c>
      <c r="H684" s="14">
        <f>G684-F684</f>
        <v>42</v>
      </c>
      <c r="I684" s="14">
        <f>ROUND(D684/E684,3)</f>
        <v>4.7E-2</v>
      </c>
      <c r="J684" s="14">
        <f>I684*24</f>
        <v>1.1280000000000001</v>
      </c>
      <c r="K684" s="14">
        <f>VLOOKUP($C684,Rotation!$A$2:$J$10,2,FALSE)</f>
        <v>1</v>
      </c>
      <c r="L684" s="14">
        <f>VLOOKUP($C684,Rotation!$A$2:$J$10,3,FALSE)</f>
        <v>1</v>
      </c>
      <c r="M684" s="14">
        <f>VLOOKUP($C684,Rotation!$A$2:$J$10,4,FALSE)</f>
        <v>1</v>
      </c>
      <c r="N684" s="14">
        <f>VLOOKUP($C684,Rotation!$A$2:$J$10,5,FALSE)</f>
        <v>0</v>
      </c>
      <c r="O684" s="14">
        <f>VLOOKUP($C684,Rotation!$A$2:$J$10,6,FALSE)</f>
        <v>0</v>
      </c>
      <c r="P684" s="14">
        <f>VLOOKUP($C684,Rotation!$A$2:$J$10,7,FALSE)</f>
        <v>0</v>
      </c>
      <c r="Q684" s="14">
        <f>VLOOKUP($C684,Rotation!$A$2:$J$10,8,FALSE)</f>
        <v>0</v>
      </c>
      <c r="R684" s="14">
        <f>VLOOKUP($C684,Rotation!$A$2:$J$10,9,FALSE)</f>
        <v>0</v>
      </c>
      <c r="S684" s="14">
        <f>VLOOKUP($C684,Rotation!$A$2:$J$10,10,FALSE)</f>
        <v>0</v>
      </c>
    </row>
    <row r="685" spans="1:19" ht="18">
      <c r="A685" s="14">
        <v>683</v>
      </c>
      <c r="B685" s="14" t="s">
        <v>85</v>
      </c>
      <c r="C685" s="14" t="str">
        <f>VLOOKUP(B685,Family!B:C,2,FALSE)</f>
        <v>E</v>
      </c>
      <c r="D685" s="15">
        <v>19</v>
      </c>
      <c r="E685" s="14">
        <f>ROUND(VLOOKUP(C685,'Production Plan'!A:B,2,FALSE),2)</f>
        <v>333.66</v>
      </c>
      <c r="F685" s="16">
        <v>45761</v>
      </c>
      <c r="G685" s="17">
        <f>F685+6*7</f>
        <v>45803</v>
      </c>
      <c r="H685" s="14">
        <f>G685-F685</f>
        <v>42</v>
      </c>
      <c r="I685" s="14">
        <f>ROUND(D685/E685,3)</f>
        <v>5.7000000000000002E-2</v>
      </c>
      <c r="J685" s="14">
        <f>I685*24</f>
        <v>1.3680000000000001</v>
      </c>
      <c r="K685" s="14">
        <f>VLOOKUP($C685,Rotation!$A$2:$J$10,2,FALSE)</f>
        <v>1</v>
      </c>
      <c r="L685" s="14">
        <f>VLOOKUP($C685,Rotation!$A$2:$J$10,3,FALSE)</f>
        <v>0</v>
      </c>
      <c r="M685" s="14">
        <f>VLOOKUP($C685,Rotation!$A$2:$J$10,4,FALSE)</f>
        <v>0</v>
      </c>
      <c r="N685" s="14">
        <f>VLOOKUP($C685,Rotation!$A$2:$J$10,5,FALSE)</f>
        <v>0</v>
      </c>
      <c r="O685" s="14">
        <f>VLOOKUP($C685,Rotation!$A$2:$J$10,6,FALSE)</f>
        <v>0</v>
      </c>
      <c r="P685" s="14">
        <f>VLOOKUP($C685,Rotation!$A$2:$J$10,7,FALSE)</f>
        <v>1</v>
      </c>
      <c r="Q685" s="14">
        <f>VLOOKUP($C685,Rotation!$A$2:$J$10,8,FALSE)</f>
        <v>0</v>
      </c>
      <c r="R685" s="14">
        <f>VLOOKUP($C685,Rotation!$A$2:$J$10,9,FALSE)</f>
        <v>0</v>
      </c>
      <c r="S685" s="14">
        <f>VLOOKUP($C685,Rotation!$A$2:$J$10,10,FALSE)</f>
        <v>0</v>
      </c>
    </row>
    <row r="686" spans="1:19" ht="18">
      <c r="A686" s="14">
        <v>684</v>
      </c>
      <c r="B686" s="14" t="s">
        <v>87</v>
      </c>
      <c r="C686" s="14" t="str">
        <f>VLOOKUP(B686,Family!B:C,2,FALSE)</f>
        <v>E</v>
      </c>
      <c r="D686" s="15">
        <v>18</v>
      </c>
      <c r="E686" s="14">
        <f>ROUND(VLOOKUP(C686,'Production Plan'!A:B,2,FALSE),2)</f>
        <v>333.66</v>
      </c>
      <c r="F686" s="16">
        <v>45811</v>
      </c>
      <c r="G686" s="17">
        <f>F686+6*7</f>
        <v>45853</v>
      </c>
      <c r="H686" s="14">
        <f>G686-F686</f>
        <v>42</v>
      </c>
      <c r="I686" s="14">
        <f>ROUND(D686/E686,3)</f>
        <v>5.3999999999999999E-2</v>
      </c>
      <c r="J686" s="14">
        <f>I686*24</f>
        <v>1.296</v>
      </c>
      <c r="K686" s="14">
        <f>VLOOKUP($C686,Rotation!$A$2:$J$10,2,FALSE)</f>
        <v>1</v>
      </c>
      <c r="L686" s="14">
        <f>VLOOKUP($C686,Rotation!$A$2:$J$10,3,FALSE)</f>
        <v>0</v>
      </c>
      <c r="M686" s="14">
        <f>VLOOKUP($C686,Rotation!$A$2:$J$10,4,FALSE)</f>
        <v>0</v>
      </c>
      <c r="N686" s="14">
        <f>VLOOKUP($C686,Rotation!$A$2:$J$10,5,FALSE)</f>
        <v>0</v>
      </c>
      <c r="O686" s="14">
        <f>VLOOKUP($C686,Rotation!$A$2:$J$10,6,FALSE)</f>
        <v>0</v>
      </c>
      <c r="P686" s="14">
        <f>VLOOKUP($C686,Rotation!$A$2:$J$10,7,FALSE)</f>
        <v>1</v>
      </c>
      <c r="Q686" s="14">
        <f>VLOOKUP($C686,Rotation!$A$2:$J$10,8,FALSE)</f>
        <v>0</v>
      </c>
      <c r="R686" s="14">
        <f>VLOOKUP($C686,Rotation!$A$2:$J$10,9,FALSE)</f>
        <v>0</v>
      </c>
      <c r="S686" s="14">
        <f>VLOOKUP($C686,Rotation!$A$2:$J$10,10,FALSE)</f>
        <v>0</v>
      </c>
    </row>
    <row r="687" spans="1:19" ht="18">
      <c r="A687" s="14">
        <v>685</v>
      </c>
      <c r="B687" s="14" t="s">
        <v>74</v>
      </c>
      <c r="C687" s="14" t="str">
        <f>VLOOKUP(B687,Family!B:C,2,FALSE)</f>
        <v>A</v>
      </c>
      <c r="D687" s="15">
        <v>152</v>
      </c>
      <c r="E687" s="14">
        <f>ROUND(VLOOKUP(C687,'Production Plan'!A:B,2,FALSE),2)</f>
        <v>407.17</v>
      </c>
      <c r="F687" s="16">
        <v>45805</v>
      </c>
      <c r="G687" s="17">
        <f>F687+6*7</f>
        <v>45847</v>
      </c>
      <c r="H687" s="14">
        <f>G687-F687</f>
        <v>42</v>
      </c>
      <c r="I687" s="14">
        <f>ROUND(D687/E687,3)</f>
        <v>0.373</v>
      </c>
      <c r="J687" s="14">
        <f>I687*24</f>
        <v>8.952</v>
      </c>
      <c r="K687" s="14">
        <f>VLOOKUP($C687,Rotation!$A$2:$J$10,2,FALSE)</f>
        <v>1</v>
      </c>
      <c r="L687" s="14">
        <f>VLOOKUP($C687,Rotation!$A$2:$J$10,3,FALSE)</f>
        <v>1</v>
      </c>
      <c r="M687" s="14">
        <f>VLOOKUP($C687,Rotation!$A$2:$J$10,4,FALSE)</f>
        <v>1</v>
      </c>
      <c r="N687" s="14">
        <f>VLOOKUP($C687,Rotation!$A$2:$J$10,5,FALSE)</f>
        <v>0</v>
      </c>
      <c r="O687" s="14">
        <f>VLOOKUP($C687,Rotation!$A$2:$J$10,6,FALSE)</f>
        <v>0</v>
      </c>
      <c r="P687" s="14">
        <f>VLOOKUP($C687,Rotation!$A$2:$J$10,7,FALSE)</f>
        <v>0</v>
      </c>
      <c r="Q687" s="14">
        <f>VLOOKUP($C687,Rotation!$A$2:$J$10,8,FALSE)</f>
        <v>0</v>
      </c>
      <c r="R687" s="14">
        <f>VLOOKUP($C687,Rotation!$A$2:$J$10,9,FALSE)</f>
        <v>0</v>
      </c>
      <c r="S687" s="14">
        <f>VLOOKUP($C687,Rotation!$A$2:$J$10,10,FALSE)</f>
        <v>0</v>
      </c>
    </row>
    <row r="688" spans="1:19" ht="18">
      <c r="A688" s="14">
        <v>686</v>
      </c>
      <c r="B688" s="14" t="s">
        <v>69</v>
      </c>
      <c r="C688" s="14" t="str">
        <f>VLOOKUP(B688,Family!B:C,2,FALSE)</f>
        <v>A</v>
      </c>
      <c r="D688" s="15">
        <v>312</v>
      </c>
      <c r="E688" s="14">
        <f>ROUND(VLOOKUP(C688,'Production Plan'!A:B,2,FALSE),2)</f>
        <v>407.17</v>
      </c>
      <c r="F688" s="16">
        <v>45820</v>
      </c>
      <c r="G688" s="17">
        <f>F688+6*7</f>
        <v>45862</v>
      </c>
      <c r="H688" s="14">
        <f>G688-F688</f>
        <v>42</v>
      </c>
      <c r="I688" s="14">
        <f>ROUND(D688/E688,3)</f>
        <v>0.76600000000000001</v>
      </c>
      <c r="J688" s="14">
        <f>I688*24</f>
        <v>18.384</v>
      </c>
      <c r="K688" s="14">
        <f>VLOOKUP($C688,Rotation!$A$2:$J$10,2,FALSE)</f>
        <v>1</v>
      </c>
      <c r="L688" s="14">
        <f>VLOOKUP($C688,Rotation!$A$2:$J$10,3,FALSE)</f>
        <v>1</v>
      </c>
      <c r="M688" s="14">
        <f>VLOOKUP($C688,Rotation!$A$2:$J$10,4,FALSE)</f>
        <v>1</v>
      </c>
      <c r="N688" s="14">
        <f>VLOOKUP($C688,Rotation!$A$2:$J$10,5,FALSE)</f>
        <v>0</v>
      </c>
      <c r="O688" s="14">
        <f>VLOOKUP($C688,Rotation!$A$2:$J$10,6,FALSE)</f>
        <v>0</v>
      </c>
      <c r="P688" s="14">
        <f>VLOOKUP($C688,Rotation!$A$2:$J$10,7,FALSE)</f>
        <v>0</v>
      </c>
      <c r="Q688" s="14">
        <f>VLOOKUP($C688,Rotation!$A$2:$J$10,8,FALSE)</f>
        <v>0</v>
      </c>
      <c r="R688" s="14">
        <f>VLOOKUP($C688,Rotation!$A$2:$J$10,9,FALSE)</f>
        <v>0</v>
      </c>
      <c r="S688" s="14">
        <f>VLOOKUP($C688,Rotation!$A$2:$J$10,10,FALSE)</f>
        <v>0</v>
      </c>
    </row>
    <row r="689" spans="1:19" ht="18">
      <c r="A689" s="14">
        <v>687</v>
      </c>
      <c r="B689" s="14" t="s">
        <v>100</v>
      </c>
      <c r="C689" s="14" t="str">
        <f>VLOOKUP(B689,Family!B:C,2,FALSE)</f>
        <v>H</v>
      </c>
      <c r="D689" s="15">
        <v>304</v>
      </c>
      <c r="E689" s="14">
        <f>ROUND(VLOOKUP(C689,'Production Plan'!A:B,2,FALSE),2)</f>
        <v>402.02</v>
      </c>
      <c r="F689" s="16">
        <v>45820</v>
      </c>
      <c r="G689" s="17">
        <f>F689+6*7</f>
        <v>45862</v>
      </c>
      <c r="H689" s="14">
        <f>G689-F689</f>
        <v>42</v>
      </c>
      <c r="I689" s="14">
        <f>ROUND(D689/E689,3)</f>
        <v>0.75600000000000001</v>
      </c>
      <c r="J689" s="14">
        <f>I689*24</f>
        <v>18.143999999999998</v>
      </c>
      <c r="K689" s="14">
        <f>VLOOKUP($C689,Rotation!$A$2:$J$10,2,FALSE)</f>
        <v>0</v>
      </c>
      <c r="L689" s="14">
        <f>VLOOKUP($C689,Rotation!$A$2:$J$10,3,FALSE)</f>
        <v>0</v>
      </c>
      <c r="M689" s="14">
        <f>VLOOKUP($C689,Rotation!$A$2:$J$10,4,FALSE)</f>
        <v>1</v>
      </c>
      <c r="N689" s="14">
        <f>VLOOKUP($C689,Rotation!$A$2:$J$10,5,FALSE)</f>
        <v>1</v>
      </c>
      <c r="O689" s="14">
        <f>VLOOKUP($C689,Rotation!$A$2:$J$10,6,FALSE)</f>
        <v>0</v>
      </c>
      <c r="P689" s="14">
        <f>VLOOKUP($C689,Rotation!$A$2:$J$10,7,FALSE)</f>
        <v>0</v>
      </c>
      <c r="Q689" s="14">
        <f>VLOOKUP($C689,Rotation!$A$2:$J$10,8,FALSE)</f>
        <v>0</v>
      </c>
      <c r="R689" s="14">
        <f>VLOOKUP($C689,Rotation!$A$2:$J$10,9,FALSE)</f>
        <v>0</v>
      </c>
      <c r="S689" s="14">
        <f>VLOOKUP($C689,Rotation!$A$2:$J$10,10,FALSE)</f>
        <v>0</v>
      </c>
    </row>
    <row r="690" spans="1:19" ht="18">
      <c r="A690" s="14">
        <v>688</v>
      </c>
      <c r="B690" s="14" t="s">
        <v>85</v>
      </c>
      <c r="C690" s="14" t="str">
        <f>VLOOKUP(B690,Family!B:C,2,FALSE)</f>
        <v>E</v>
      </c>
      <c r="D690" s="15">
        <v>19</v>
      </c>
      <c r="E690" s="14">
        <f>ROUND(VLOOKUP(C690,'Production Plan'!A:B,2,FALSE),2)</f>
        <v>333.66</v>
      </c>
      <c r="F690" s="16">
        <v>45835</v>
      </c>
      <c r="G690" s="17">
        <f>F690+6*7</f>
        <v>45877</v>
      </c>
      <c r="H690" s="14">
        <f>G690-F690</f>
        <v>42</v>
      </c>
      <c r="I690" s="14">
        <f>ROUND(D690/E690,3)</f>
        <v>5.7000000000000002E-2</v>
      </c>
      <c r="J690" s="14">
        <f>I690*24</f>
        <v>1.3680000000000001</v>
      </c>
      <c r="K690" s="14">
        <f>VLOOKUP($C690,Rotation!$A$2:$J$10,2,FALSE)</f>
        <v>1</v>
      </c>
      <c r="L690" s="14">
        <f>VLOOKUP($C690,Rotation!$A$2:$J$10,3,FALSE)</f>
        <v>0</v>
      </c>
      <c r="M690" s="14">
        <f>VLOOKUP($C690,Rotation!$A$2:$J$10,4,FALSE)</f>
        <v>0</v>
      </c>
      <c r="N690" s="14">
        <f>VLOOKUP($C690,Rotation!$A$2:$J$10,5,FALSE)</f>
        <v>0</v>
      </c>
      <c r="O690" s="14">
        <f>VLOOKUP($C690,Rotation!$A$2:$J$10,6,FALSE)</f>
        <v>0</v>
      </c>
      <c r="P690" s="14">
        <f>VLOOKUP($C690,Rotation!$A$2:$J$10,7,FALSE)</f>
        <v>1</v>
      </c>
      <c r="Q690" s="14">
        <f>VLOOKUP($C690,Rotation!$A$2:$J$10,8,FALSE)</f>
        <v>0</v>
      </c>
      <c r="R690" s="14">
        <f>VLOOKUP($C690,Rotation!$A$2:$J$10,9,FALSE)</f>
        <v>0</v>
      </c>
      <c r="S690" s="14">
        <f>VLOOKUP($C690,Rotation!$A$2:$J$10,10,FALSE)</f>
        <v>0</v>
      </c>
    </row>
    <row r="691" spans="1:19" ht="18">
      <c r="A691" s="14">
        <v>689</v>
      </c>
      <c r="B691" s="14" t="s">
        <v>98</v>
      </c>
      <c r="C691" s="14" t="str">
        <f>VLOOKUP(B691,Family!B:C,2,FALSE)</f>
        <v>H</v>
      </c>
      <c r="D691" s="15">
        <v>19</v>
      </c>
      <c r="E691" s="14">
        <f>ROUND(VLOOKUP(C691,'Production Plan'!A:B,2,FALSE),2)</f>
        <v>402.02</v>
      </c>
      <c r="F691" s="16">
        <v>45706</v>
      </c>
      <c r="G691" s="17">
        <f>F691+6*7</f>
        <v>45748</v>
      </c>
      <c r="H691" s="14">
        <f>G691-F691</f>
        <v>42</v>
      </c>
      <c r="I691" s="14">
        <f>ROUND(D691/E691,3)</f>
        <v>4.7E-2</v>
      </c>
      <c r="J691" s="14">
        <f>I691*24</f>
        <v>1.1280000000000001</v>
      </c>
      <c r="K691" s="14">
        <f>VLOOKUP($C691,Rotation!$A$2:$J$10,2,FALSE)</f>
        <v>0</v>
      </c>
      <c r="L691" s="14">
        <f>VLOOKUP($C691,Rotation!$A$2:$J$10,3,FALSE)</f>
        <v>0</v>
      </c>
      <c r="M691" s="14">
        <f>VLOOKUP($C691,Rotation!$A$2:$J$10,4,FALSE)</f>
        <v>1</v>
      </c>
      <c r="N691" s="14">
        <f>VLOOKUP($C691,Rotation!$A$2:$J$10,5,FALSE)</f>
        <v>1</v>
      </c>
      <c r="O691" s="14">
        <f>VLOOKUP($C691,Rotation!$A$2:$J$10,6,FALSE)</f>
        <v>0</v>
      </c>
      <c r="P691" s="14">
        <f>VLOOKUP($C691,Rotation!$A$2:$J$10,7,FALSE)</f>
        <v>0</v>
      </c>
      <c r="Q691" s="14">
        <f>VLOOKUP($C691,Rotation!$A$2:$J$10,8,FALSE)</f>
        <v>0</v>
      </c>
      <c r="R691" s="14">
        <f>VLOOKUP($C691,Rotation!$A$2:$J$10,9,FALSE)</f>
        <v>0</v>
      </c>
      <c r="S691" s="14">
        <f>VLOOKUP($C691,Rotation!$A$2:$J$10,10,FALSE)</f>
        <v>0</v>
      </c>
    </row>
    <row r="692" spans="1:19" ht="18">
      <c r="A692" s="14">
        <v>690</v>
      </c>
      <c r="B692" s="14" t="s">
        <v>93</v>
      </c>
      <c r="C692" s="14" t="str">
        <f>VLOOKUP(B692,Family!B:C,2,FALSE)</f>
        <v>F</v>
      </c>
      <c r="D692" s="15">
        <v>500</v>
      </c>
      <c r="E692" s="14">
        <f>ROUND(VLOOKUP(C692,'Production Plan'!A:B,2,FALSE),2)</f>
        <v>394.98</v>
      </c>
      <c r="F692" s="16">
        <v>45748</v>
      </c>
      <c r="G692" s="17">
        <f>F692+6*7</f>
        <v>45790</v>
      </c>
      <c r="H692" s="14">
        <f>G692-F692</f>
        <v>42</v>
      </c>
      <c r="I692" s="14">
        <f>ROUND(D692/E692,3)</f>
        <v>1.266</v>
      </c>
      <c r="J692" s="14">
        <f>I692*24</f>
        <v>30.384</v>
      </c>
      <c r="K692" s="14">
        <f>VLOOKUP($C692,Rotation!$A$2:$J$10,2,FALSE)</f>
        <v>1</v>
      </c>
      <c r="L692" s="14">
        <f>VLOOKUP($C692,Rotation!$A$2:$J$10,3,FALSE)</f>
        <v>0</v>
      </c>
      <c r="M692" s="14">
        <f>VLOOKUP($C692,Rotation!$A$2:$J$10,4,FALSE)</f>
        <v>0</v>
      </c>
      <c r="N692" s="14">
        <f>VLOOKUP($C692,Rotation!$A$2:$J$10,5,FALSE)</f>
        <v>1</v>
      </c>
      <c r="O692" s="14">
        <f>VLOOKUP($C692,Rotation!$A$2:$J$10,6,FALSE)</f>
        <v>1</v>
      </c>
      <c r="P692" s="14">
        <f>VLOOKUP($C692,Rotation!$A$2:$J$10,7,FALSE)</f>
        <v>1</v>
      </c>
      <c r="Q692" s="14">
        <f>VLOOKUP($C692,Rotation!$A$2:$J$10,8,FALSE)</f>
        <v>1</v>
      </c>
      <c r="R692" s="14">
        <f>VLOOKUP($C692,Rotation!$A$2:$J$10,9,FALSE)</f>
        <v>1</v>
      </c>
      <c r="S692" s="14">
        <f>VLOOKUP($C692,Rotation!$A$2:$J$10,10,FALSE)</f>
        <v>1</v>
      </c>
    </row>
    <row r="693" spans="1:19" ht="18">
      <c r="A693" s="14">
        <v>691</v>
      </c>
      <c r="B693" s="14" t="s">
        <v>111</v>
      </c>
      <c r="C693" s="14" t="str">
        <f>VLOOKUP(B693,Family!B:C,2,FALSE)</f>
        <v>N</v>
      </c>
      <c r="D693" s="15">
        <v>67</v>
      </c>
      <c r="E693" s="14">
        <f>ROUND(VLOOKUP(C693,'Production Plan'!A:B,2,FALSE),2)</f>
        <v>334.18</v>
      </c>
      <c r="F693" s="16">
        <v>45758</v>
      </c>
      <c r="G693" s="17">
        <f>F693+6*7</f>
        <v>45800</v>
      </c>
      <c r="H693" s="14">
        <f>G693-F693</f>
        <v>42</v>
      </c>
      <c r="I693" s="14">
        <f>ROUND(D693/E693,3)</f>
        <v>0.2</v>
      </c>
      <c r="J693" s="14">
        <f>I693*24</f>
        <v>4.8000000000000007</v>
      </c>
      <c r="K693" s="14">
        <f>VLOOKUP($C693,Rotation!$A$2:$J$10,2,FALSE)</f>
        <v>1</v>
      </c>
      <c r="L693" s="14">
        <f>VLOOKUP($C693,Rotation!$A$2:$J$10,3,FALSE)</f>
        <v>0</v>
      </c>
      <c r="M693" s="14">
        <f>VLOOKUP($C693,Rotation!$A$2:$J$10,4,FALSE)</f>
        <v>0</v>
      </c>
      <c r="N693" s="14">
        <f>VLOOKUP($C693,Rotation!$A$2:$J$10,5,FALSE)</f>
        <v>0</v>
      </c>
      <c r="O693" s="14">
        <f>VLOOKUP($C693,Rotation!$A$2:$J$10,6,FALSE)</f>
        <v>0</v>
      </c>
      <c r="P693" s="14">
        <f>VLOOKUP($C693,Rotation!$A$2:$J$10,7,FALSE)</f>
        <v>0</v>
      </c>
      <c r="Q693" s="14">
        <f>VLOOKUP($C693,Rotation!$A$2:$J$10,8,FALSE)</f>
        <v>1</v>
      </c>
      <c r="R693" s="14">
        <f>VLOOKUP($C693,Rotation!$A$2:$J$10,9,FALSE)</f>
        <v>0</v>
      </c>
      <c r="S693" s="14">
        <f>VLOOKUP($C693,Rotation!$A$2:$J$10,10,FALSE)</f>
        <v>0</v>
      </c>
    </row>
    <row r="694" spans="1:19" ht="18">
      <c r="A694" s="14">
        <v>692</v>
      </c>
      <c r="B694" s="14" t="s">
        <v>69</v>
      </c>
      <c r="C694" s="14" t="str">
        <f>VLOOKUP(B694,Family!B:C,2,FALSE)</f>
        <v>A</v>
      </c>
      <c r="D694" s="15">
        <v>19</v>
      </c>
      <c r="E694" s="14">
        <f>ROUND(VLOOKUP(C694,'Production Plan'!A:B,2,FALSE),2)</f>
        <v>407.17</v>
      </c>
      <c r="F694" s="16">
        <v>45751</v>
      </c>
      <c r="G694" s="17">
        <f>F694+6*7</f>
        <v>45793</v>
      </c>
      <c r="H694" s="14">
        <f>G694-F694</f>
        <v>42</v>
      </c>
      <c r="I694" s="14">
        <f>ROUND(D694/E694,3)</f>
        <v>4.7E-2</v>
      </c>
      <c r="J694" s="14">
        <f>I694*24</f>
        <v>1.1280000000000001</v>
      </c>
      <c r="K694" s="14">
        <f>VLOOKUP($C694,Rotation!$A$2:$J$10,2,FALSE)</f>
        <v>1</v>
      </c>
      <c r="L694" s="14">
        <f>VLOOKUP($C694,Rotation!$A$2:$J$10,3,FALSE)</f>
        <v>1</v>
      </c>
      <c r="M694" s="14">
        <f>VLOOKUP($C694,Rotation!$A$2:$J$10,4,FALSE)</f>
        <v>1</v>
      </c>
      <c r="N694" s="14">
        <f>VLOOKUP($C694,Rotation!$A$2:$J$10,5,FALSE)</f>
        <v>0</v>
      </c>
      <c r="O694" s="14">
        <f>VLOOKUP($C694,Rotation!$A$2:$J$10,6,FALSE)</f>
        <v>0</v>
      </c>
      <c r="P694" s="14">
        <f>VLOOKUP($C694,Rotation!$A$2:$J$10,7,FALSE)</f>
        <v>0</v>
      </c>
      <c r="Q694" s="14">
        <f>VLOOKUP($C694,Rotation!$A$2:$J$10,8,FALSE)</f>
        <v>0</v>
      </c>
      <c r="R694" s="14">
        <f>VLOOKUP($C694,Rotation!$A$2:$J$10,9,FALSE)</f>
        <v>0</v>
      </c>
      <c r="S694" s="14">
        <f>VLOOKUP($C694,Rotation!$A$2:$J$10,10,FALSE)</f>
        <v>0</v>
      </c>
    </row>
    <row r="695" spans="1:19" ht="18">
      <c r="A695" s="14">
        <v>693</v>
      </c>
      <c r="B695" s="14" t="s">
        <v>69</v>
      </c>
      <c r="C695" s="14" t="str">
        <f>VLOOKUP(B695,Family!B:C,2,FALSE)</f>
        <v>A</v>
      </c>
      <c r="D695" s="15">
        <v>19</v>
      </c>
      <c r="E695" s="14">
        <f>ROUND(VLOOKUP(C695,'Production Plan'!A:B,2,FALSE),2)</f>
        <v>407.17</v>
      </c>
      <c r="F695" s="16">
        <v>45751</v>
      </c>
      <c r="G695" s="17">
        <f>F695+6*7</f>
        <v>45793</v>
      </c>
      <c r="H695" s="14">
        <f>G695-F695</f>
        <v>42</v>
      </c>
      <c r="I695" s="14">
        <f>ROUND(D695/E695,3)</f>
        <v>4.7E-2</v>
      </c>
      <c r="J695" s="14">
        <f>I695*24</f>
        <v>1.1280000000000001</v>
      </c>
      <c r="K695" s="14">
        <f>VLOOKUP($C695,Rotation!$A$2:$J$10,2,FALSE)</f>
        <v>1</v>
      </c>
      <c r="L695" s="14">
        <f>VLOOKUP($C695,Rotation!$A$2:$J$10,3,FALSE)</f>
        <v>1</v>
      </c>
      <c r="M695" s="14">
        <f>VLOOKUP($C695,Rotation!$A$2:$J$10,4,FALSE)</f>
        <v>1</v>
      </c>
      <c r="N695" s="14">
        <f>VLOOKUP($C695,Rotation!$A$2:$J$10,5,FALSE)</f>
        <v>0</v>
      </c>
      <c r="O695" s="14">
        <f>VLOOKUP($C695,Rotation!$A$2:$J$10,6,FALSE)</f>
        <v>0</v>
      </c>
      <c r="P695" s="14">
        <f>VLOOKUP($C695,Rotation!$A$2:$J$10,7,FALSE)</f>
        <v>0</v>
      </c>
      <c r="Q695" s="14">
        <f>VLOOKUP($C695,Rotation!$A$2:$J$10,8,FALSE)</f>
        <v>0</v>
      </c>
      <c r="R695" s="14">
        <f>VLOOKUP($C695,Rotation!$A$2:$J$10,9,FALSE)</f>
        <v>0</v>
      </c>
      <c r="S695" s="14">
        <f>VLOOKUP($C695,Rotation!$A$2:$J$10,10,FALSE)</f>
        <v>0</v>
      </c>
    </row>
    <row r="696" spans="1:19" ht="18">
      <c r="A696" s="14">
        <v>694</v>
      </c>
      <c r="B696" s="14" t="s">
        <v>85</v>
      </c>
      <c r="C696" s="14" t="str">
        <f>VLOOKUP(B696,Family!B:C,2,FALSE)</f>
        <v>E</v>
      </c>
      <c r="D696" s="15">
        <v>19</v>
      </c>
      <c r="E696" s="14">
        <f>ROUND(VLOOKUP(C696,'Production Plan'!A:B,2,FALSE),2)</f>
        <v>333.66</v>
      </c>
      <c r="F696" s="16">
        <v>45761</v>
      </c>
      <c r="G696" s="17">
        <f>F696+6*7</f>
        <v>45803</v>
      </c>
      <c r="H696" s="14">
        <f>G696-F696</f>
        <v>42</v>
      </c>
      <c r="I696" s="14">
        <f>ROUND(D696/E696,3)</f>
        <v>5.7000000000000002E-2</v>
      </c>
      <c r="J696" s="14">
        <f>I696*24</f>
        <v>1.3680000000000001</v>
      </c>
      <c r="K696" s="14">
        <f>VLOOKUP($C696,Rotation!$A$2:$J$10,2,FALSE)</f>
        <v>1</v>
      </c>
      <c r="L696" s="14">
        <f>VLOOKUP($C696,Rotation!$A$2:$J$10,3,FALSE)</f>
        <v>0</v>
      </c>
      <c r="M696" s="14">
        <f>VLOOKUP($C696,Rotation!$A$2:$J$10,4,FALSE)</f>
        <v>0</v>
      </c>
      <c r="N696" s="14">
        <f>VLOOKUP($C696,Rotation!$A$2:$J$10,5,FALSE)</f>
        <v>0</v>
      </c>
      <c r="O696" s="14">
        <f>VLOOKUP($C696,Rotation!$A$2:$J$10,6,FALSE)</f>
        <v>0</v>
      </c>
      <c r="P696" s="14">
        <f>VLOOKUP($C696,Rotation!$A$2:$J$10,7,FALSE)</f>
        <v>1</v>
      </c>
      <c r="Q696" s="14">
        <f>VLOOKUP($C696,Rotation!$A$2:$J$10,8,FALSE)</f>
        <v>0</v>
      </c>
      <c r="R696" s="14">
        <f>VLOOKUP($C696,Rotation!$A$2:$J$10,9,FALSE)</f>
        <v>0</v>
      </c>
      <c r="S696" s="14">
        <f>VLOOKUP($C696,Rotation!$A$2:$J$10,10,FALSE)</f>
        <v>0</v>
      </c>
    </row>
    <row r="697" spans="1:19" ht="18">
      <c r="A697" s="14">
        <v>695</v>
      </c>
      <c r="B697" s="14" t="s">
        <v>77</v>
      </c>
      <c r="C697" s="14" t="str">
        <f>VLOOKUP(B697,Family!B:C,2,FALSE)</f>
        <v>E</v>
      </c>
      <c r="D697" s="15">
        <v>18</v>
      </c>
      <c r="E697" s="14">
        <f>ROUND(VLOOKUP(C697,'Production Plan'!A:B,2,FALSE),2)</f>
        <v>333.66</v>
      </c>
      <c r="F697" s="16">
        <v>45761</v>
      </c>
      <c r="G697" s="17">
        <f>F697+6*7</f>
        <v>45803</v>
      </c>
      <c r="H697" s="14">
        <f>G697-F697</f>
        <v>42</v>
      </c>
      <c r="I697" s="14">
        <f>ROUND(D697/E697,3)</f>
        <v>5.3999999999999999E-2</v>
      </c>
      <c r="J697" s="14">
        <f>I697*24</f>
        <v>1.296</v>
      </c>
      <c r="K697" s="14">
        <f>VLOOKUP($C697,Rotation!$A$2:$J$10,2,FALSE)</f>
        <v>1</v>
      </c>
      <c r="L697" s="14">
        <f>VLOOKUP($C697,Rotation!$A$2:$J$10,3,FALSE)</f>
        <v>0</v>
      </c>
      <c r="M697" s="14">
        <f>VLOOKUP($C697,Rotation!$A$2:$J$10,4,FALSE)</f>
        <v>0</v>
      </c>
      <c r="N697" s="14">
        <f>VLOOKUP($C697,Rotation!$A$2:$J$10,5,FALSE)</f>
        <v>0</v>
      </c>
      <c r="O697" s="14">
        <f>VLOOKUP($C697,Rotation!$A$2:$J$10,6,FALSE)</f>
        <v>0</v>
      </c>
      <c r="P697" s="14">
        <f>VLOOKUP($C697,Rotation!$A$2:$J$10,7,FALSE)</f>
        <v>1</v>
      </c>
      <c r="Q697" s="14">
        <f>VLOOKUP($C697,Rotation!$A$2:$J$10,8,FALSE)</f>
        <v>0</v>
      </c>
      <c r="R697" s="14">
        <f>VLOOKUP($C697,Rotation!$A$2:$J$10,9,FALSE)</f>
        <v>0</v>
      </c>
      <c r="S697" s="14">
        <f>VLOOKUP($C697,Rotation!$A$2:$J$10,10,FALSE)</f>
        <v>0</v>
      </c>
    </row>
    <row r="698" spans="1:19" ht="18">
      <c r="A698" s="14">
        <v>696</v>
      </c>
      <c r="B698" s="14" t="s">
        <v>65</v>
      </c>
      <c r="C698" s="14" t="str">
        <f>VLOOKUP(B698,Family!B:C,2,FALSE)</f>
        <v>A</v>
      </c>
      <c r="D698" s="15">
        <v>19</v>
      </c>
      <c r="E698" s="14">
        <f>ROUND(VLOOKUP(C698,'Production Plan'!A:B,2,FALSE),2)</f>
        <v>407.17</v>
      </c>
      <c r="F698" s="16">
        <v>45792</v>
      </c>
      <c r="G698" s="17">
        <f>F698+6*7</f>
        <v>45834</v>
      </c>
      <c r="H698" s="14">
        <f>G698-F698</f>
        <v>42</v>
      </c>
      <c r="I698" s="14">
        <f>ROUND(D698/E698,3)</f>
        <v>4.7E-2</v>
      </c>
      <c r="J698" s="14">
        <f>I698*24</f>
        <v>1.1280000000000001</v>
      </c>
      <c r="K698" s="14">
        <f>VLOOKUP($C698,Rotation!$A$2:$J$10,2,FALSE)</f>
        <v>1</v>
      </c>
      <c r="L698" s="14">
        <f>VLOOKUP($C698,Rotation!$A$2:$J$10,3,FALSE)</f>
        <v>1</v>
      </c>
      <c r="M698" s="14">
        <f>VLOOKUP($C698,Rotation!$A$2:$J$10,4,FALSE)</f>
        <v>1</v>
      </c>
      <c r="N698" s="14">
        <f>VLOOKUP($C698,Rotation!$A$2:$J$10,5,FALSE)</f>
        <v>0</v>
      </c>
      <c r="O698" s="14">
        <f>VLOOKUP($C698,Rotation!$A$2:$J$10,6,FALSE)</f>
        <v>0</v>
      </c>
      <c r="P698" s="14">
        <f>VLOOKUP($C698,Rotation!$A$2:$J$10,7,FALSE)</f>
        <v>0</v>
      </c>
      <c r="Q698" s="14">
        <f>VLOOKUP($C698,Rotation!$A$2:$J$10,8,FALSE)</f>
        <v>0</v>
      </c>
      <c r="R698" s="14">
        <f>VLOOKUP($C698,Rotation!$A$2:$J$10,9,FALSE)</f>
        <v>0</v>
      </c>
      <c r="S698" s="14">
        <f>VLOOKUP($C698,Rotation!$A$2:$J$10,10,FALSE)</f>
        <v>0</v>
      </c>
    </row>
    <row r="699" spans="1:19" ht="18">
      <c r="A699" s="14">
        <v>697</v>
      </c>
      <c r="B699" s="14" t="s">
        <v>66</v>
      </c>
      <c r="C699" s="14" t="str">
        <f>VLOOKUP(B699,Family!B:C,2,FALSE)</f>
        <v>A</v>
      </c>
      <c r="D699" s="15">
        <v>54</v>
      </c>
      <c r="E699" s="14">
        <f>ROUND(VLOOKUP(C699,'Production Plan'!A:B,2,FALSE),2)</f>
        <v>407.17</v>
      </c>
      <c r="F699" s="16">
        <v>45804</v>
      </c>
      <c r="G699" s="17">
        <f>F699+6*7</f>
        <v>45846</v>
      </c>
      <c r="H699" s="14">
        <f>G699-F699</f>
        <v>42</v>
      </c>
      <c r="I699" s="14">
        <f>ROUND(D699/E699,3)</f>
        <v>0.13300000000000001</v>
      </c>
      <c r="J699" s="14">
        <f>I699*24</f>
        <v>3.1920000000000002</v>
      </c>
      <c r="K699" s="14">
        <f>VLOOKUP($C699,Rotation!$A$2:$J$10,2,FALSE)</f>
        <v>1</v>
      </c>
      <c r="L699" s="14">
        <f>VLOOKUP($C699,Rotation!$A$2:$J$10,3,FALSE)</f>
        <v>1</v>
      </c>
      <c r="M699" s="14">
        <f>VLOOKUP($C699,Rotation!$A$2:$J$10,4,FALSE)</f>
        <v>1</v>
      </c>
      <c r="N699" s="14">
        <f>VLOOKUP($C699,Rotation!$A$2:$J$10,5,FALSE)</f>
        <v>0</v>
      </c>
      <c r="O699" s="14">
        <f>VLOOKUP($C699,Rotation!$A$2:$J$10,6,FALSE)</f>
        <v>0</v>
      </c>
      <c r="P699" s="14">
        <f>VLOOKUP($C699,Rotation!$A$2:$J$10,7,FALSE)</f>
        <v>0</v>
      </c>
      <c r="Q699" s="14">
        <f>VLOOKUP($C699,Rotation!$A$2:$J$10,8,FALSE)</f>
        <v>0</v>
      </c>
      <c r="R699" s="14">
        <f>VLOOKUP($C699,Rotation!$A$2:$J$10,9,FALSE)</f>
        <v>0</v>
      </c>
      <c r="S699" s="14">
        <f>VLOOKUP($C699,Rotation!$A$2:$J$10,10,FALSE)</f>
        <v>0</v>
      </c>
    </row>
    <row r="700" spans="1:19" ht="18">
      <c r="A700" s="14">
        <v>698</v>
      </c>
      <c r="B700" s="14" t="s">
        <v>66</v>
      </c>
      <c r="C700" s="14" t="str">
        <f>VLOOKUP(B700,Family!B:C,2,FALSE)</f>
        <v>A</v>
      </c>
      <c r="D700" s="15">
        <v>54</v>
      </c>
      <c r="E700" s="14">
        <f>ROUND(VLOOKUP(C700,'Production Plan'!A:B,2,FALSE),2)</f>
        <v>407.17</v>
      </c>
      <c r="F700" s="16">
        <v>45804</v>
      </c>
      <c r="G700" s="17">
        <f>F700+6*7</f>
        <v>45846</v>
      </c>
      <c r="H700" s="14">
        <f>G700-F700</f>
        <v>42</v>
      </c>
      <c r="I700" s="14">
        <f>ROUND(D700/E700,3)</f>
        <v>0.13300000000000001</v>
      </c>
      <c r="J700" s="14">
        <f>I700*24</f>
        <v>3.1920000000000002</v>
      </c>
      <c r="K700" s="14">
        <f>VLOOKUP($C700,Rotation!$A$2:$J$10,2,FALSE)</f>
        <v>1</v>
      </c>
      <c r="L700" s="14">
        <f>VLOOKUP($C700,Rotation!$A$2:$J$10,3,FALSE)</f>
        <v>1</v>
      </c>
      <c r="M700" s="14">
        <f>VLOOKUP($C700,Rotation!$A$2:$J$10,4,FALSE)</f>
        <v>1</v>
      </c>
      <c r="N700" s="14">
        <f>VLOOKUP($C700,Rotation!$A$2:$J$10,5,FALSE)</f>
        <v>0</v>
      </c>
      <c r="O700" s="14">
        <f>VLOOKUP($C700,Rotation!$A$2:$J$10,6,FALSE)</f>
        <v>0</v>
      </c>
      <c r="P700" s="14">
        <f>VLOOKUP($C700,Rotation!$A$2:$J$10,7,FALSE)</f>
        <v>0</v>
      </c>
      <c r="Q700" s="14">
        <f>VLOOKUP($C700,Rotation!$A$2:$J$10,8,FALSE)</f>
        <v>0</v>
      </c>
      <c r="R700" s="14">
        <f>VLOOKUP($C700,Rotation!$A$2:$J$10,9,FALSE)</f>
        <v>0</v>
      </c>
      <c r="S700" s="14">
        <f>VLOOKUP($C700,Rotation!$A$2:$J$10,10,FALSE)</f>
        <v>0</v>
      </c>
    </row>
    <row r="701" spans="1:19" ht="18">
      <c r="A701" s="14">
        <v>699</v>
      </c>
      <c r="B701" s="14" t="s">
        <v>66</v>
      </c>
      <c r="C701" s="14" t="str">
        <f>VLOOKUP(B701,Family!B:C,2,FALSE)</f>
        <v>A</v>
      </c>
      <c r="D701" s="15">
        <v>54</v>
      </c>
      <c r="E701" s="14">
        <f>ROUND(VLOOKUP(C701,'Production Plan'!A:B,2,FALSE),2)</f>
        <v>407.17</v>
      </c>
      <c r="F701" s="16">
        <v>45804</v>
      </c>
      <c r="G701" s="17">
        <f>F701+6*7</f>
        <v>45846</v>
      </c>
      <c r="H701" s="14">
        <f>G701-F701</f>
        <v>42</v>
      </c>
      <c r="I701" s="14">
        <f>ROUND(D701/E701,3)</f>
        <v>0.13300000000000001</v>
      </c>
      <c r="J701" s="14">
        <f>I701*24</f>
        <v>3.1920000000000002</v>
      </c>
      <c r="K701" s="14">
        <f>VLOOKUP($C701,Rotation!$A$2:$J$10,2,FALSE)</f>
        <v>1</v>
      </c>
      <c r="L701" s="14">
        <f>VLOOKUP($C701,Rotation!$A$2:$J$10,3,FALSE)</f>
        <v>1</v>
      </c>
      <c r="M701" s="14">
        <f>VLOOKUP($C701,Rotation!$A$2:$J$10,4,FALSE)</f>
        <v>1</v>
      </c>
      <c r="N701" s="14">
        <f>VLOOKUP($C701,Rotation!$A$2:$J$10,5,FALSE)</f>
        <v>0</v>
      </c>
      <c r="O701" s="14">
        <f>VLOOKUP($C701,Rotation!$A$2:$J$10,6,FALSE)</f>
        <v>0</v>
      </c>
      <c r="P701" s="14">
        <f>VLOOKUP($C701,Rotation!$A$2:$J$10,7,FALSE)</f>
        <v>0</v>
      </c>
      <c r="Q701" s="14">
        <f>VLOOKUP($C701,Rotation!$A$2:$J$10,8,FALSE)</f>
        <v>0</v>
      </c>
      <c r="R701" s="14">
        <f>VLOOKUP($C701,Rotation!$A$2:$J$10,9,FALSE)</f>
        <v>0</v>
      </c>
      <c r="S701" s="14">
        <f>VLOOKUP($C701,Rotation!$A$2:$J$10,10,FALSE)</f>
        <v>0</v>
      </c>
    </row>
    <row r="702" spans="1:19" ht="18">
      <c r="A702" s="14">
        <v>700</v>
      </c>
      <c r="B702" s="14" t="s">
        <v>66</v>
      </c>
      <c r="C702" s="14" t="str">
        <f>VLOOKUP(B702,Family!B:C,2,FALSE)</f>
        <v>A</v>
      </c>
      <c r="D702" s="15">
        <v>54</v>
      </c>
      <c r="E702" s="14">
        <f>ROUND(VLOOKUP(C702,'Production Plan'!A:B,2,FALSE),2)</f>
        <v>407.17</v>
      </c>
      <c r="F702" s="16">
        <v>45804</v>
      </c>
      <c r="G702" s="17">
        <f>F702+6*7</f>
        <v>45846</v>
      </c>
      <c r="H702" s="14">
        <f>G702-F702</f>
        <v>42</v>
      </c>
      <c r="I702" s="14">
        <f>ROUND(D702/E702,3)</f>
        <v>0.13300000000000001</v>
      </c>
      <c r="J702" s="14">
        <f>I702*24</f>
        <v>3.1920000000000002</v>
      </c>
      <c r="K702" s="14">
        <f>VLOOKUP($C702,Rotation!$A$2:$J$10,2,FALSE)</f>
        <v>1</v>
      </c>
      <c r="L702" s="14">
        <f>VLOOKUP($C702,Rotation!$A$2:$J$10,3,FALSE)</f>
        <v>1</v>
      </c>
      <c r="M702" s="14">
        <f>VLOOKUP($C702,Rotation!$A$2:$J$10,4,FALSE)</f>
        <v>1</v>
      </c>
      <c r="N702" s="14">
        <f>VLOOKUP($C702,Rotation!$A$2:$J$10,5,FALSE)</f>
        <v>0</v>
      </c>
      <c r="O702" s="14">
        <f>VLOOKUP($C702,Rotation!$A$2:$J$10,6,FALSE)</f>
        <v>0</v>
      </c>
      <c r="P702" s="14">
        <f>VLOOKUP($C702,Rotation!$A$2:$J$10,7,FALSE)</f>
        <v>0</v>
      </c>
      <c r="Q702" s="14">
        <f>VLOOKUP($C702,Rotation!$A$2:$J$10,8,FALSE)</f>
        <v>0</v>
      </c>
      <c r="R702" s="14">
        <f>VLOOKUP($C702,Rotation!$A$2:$J$10,9,FALSE)</f>
        <v>0</v>
      </c>
      <c r="S702" s="14">
        <f>VLOOKUP($C702,Rotation!$A$2:$J$10,10,FALSE)</f>
        <v>0</v>
      </c>
    </row>
    <row r="703" spans="1:19" ht="18">
      <c r="A703" s="14">
        <v>701</v>
      </c>
      <c r="B703" s="14" t="s">
        <v>109</v>
      </c>
      <c r="C703" s="14" t="str">
        <f>VLOOKUP(B703,Family!B:C,2,FALSE)</f>
        <v>V</v>
      </c>
      <c r="D703" s="15">
        <v>550</v>
      </c>
      <c r="E703" s="14">
        <f>ROUND(VLOOKUP(C703,'Production Plan'!A:B,2,FALSE),2)</f>
        <v>334.18</v>
      </c>
      <c r="F703" s="16">
        <v>45819</v>
      </c>
      <c r="G703" s="17">
        <f>F703+6*7</f>
        <v>45861</v>
      </c>
      <c r="H703" s="14">
        <f>G703-F703</f>
        <v>42</v>
      </c>
      <c r="I703" s="14">
        <f>ROUND(D703/E703,3)</f>
        <v>1.6459999999999999</v>
      </c>
      <c r="J703" s="14">
        <f>I703*24</f>
        <v>39.503999999999998</v>
      </c>
      <c r="K703" s="14">
        <f>VLOOKUP($C703,Rotation!$A$2:$J$10,2,FALSE)</f>
        <v>1</v>
      </c>
      <c r="L703" s="14">
        <f>VLOOKUP($C703,Rotation!$A$2:$J$10,3,FALSE)</f>
        <v>0</v>
      </c>
      <c r="M703" s="14">
        <f>VLOOKUP($C703,Rotation!$A$2:$J$10,4,FALSE)</f>
        <v>0</v>
      </c>
      <c r="N703" s="14">
        <f>VLOOKUP($C703,Rotation!$A$2:$J$10,5,FALSE)</f>
        <v>0</v>
      </c>
      <c r="O703" s="14">
        <f>VLOOKUP($C703,Rotation!$A$2:$J$10,6,FALSE)</f>
        <v>0</v>
      </c>
      <c r="P703" s="14">
        <f>VLOOKUP($C703,Rotation!$A$2:$J$10,7,FALSE)</f>
        <v>0</v>
      </c>
      <c r="Q703" s="14">
        <f>VLOOKUP($C703,Rotation!$A$2:$J$10,8,FALSE)</f>
        <v>0</v>
      </c>
      <c r="R703" s="14">
        <f>VLOOKUP($C703,Rotation!$A$2:$J$10,9,FALSE)</f>
        <v>0</v>
      </c>
      <c r="S703" s="14">
        <f>VLOOKUP($C703,Rotation!$A$2:$J$10,10,FALSE)</f>
        <v>1</v>
      </c>
    </row>
    <row r="704" spans="1:19" ht="18">
      <c r="A704" s="14">
        <v>702</v>
      </c>
      <c r="B704" s="14" t="s">
        <v>65</v>
      </c>
      <c r="C704" s="14" t="str">
        <f>VLOOKUP(B704,Family!B:C,2,FALSE)</f>
        <v>A</v>
      </c>
      <c r="D704" s="15">
        <v>38</v>
      </c>
      <c r="E704" s="14">
        <f>ROUND(VLOOKUP(C704,'Production Plan'!A:B,2,FALSE),2)</f>
        <v>407.17</v>
      </c>
      <c r="F704" s="16">
        <v>45813</v>
      </c>
      <c r="G704" s="17">
        <f>F704+6*7</f>
        <v>45855</v>
      </c>
      <c r="H704" s="14">
        <f>G704-F704</f>
        <v>42</v>
      </c>
      <c r="I704" s="14">
        <f>ROUND(D704/E704,3)</f>
        <v>9.2999999999999999E-2</v>
      </c>
      <c r="J704" s="14">
        <f>I704*24</f>
        <v>2.2320000000000002</v>
      </c>
      <c r="K704" s="14">
        <f>VLOOKUP($C704,Rotation!$A$2:$J$10,2,FALSE)</f>
        <v>1</v>
      </c>
      <c r="L704" s="14">
        <f>VLOOKUP($C704,Rotation!$A$2:$J$10,3,FALSE)</f>
        <v>1</v>
      </c>
      <c r="M704" s="14">
        <f>VLOOKUP($C704,Rotation!$A$2:$J$10,4,FALSE)</f>
        <v>1</v>
      </c>
      <c r="N704" s="14">
        <f>VLOOKUP($C704,Rotation!$A$2:$J$10,5,FALSE)</f>
        <v>0</v>
      </c>
      <c r="O704" s="14">
        <f>VLOOKUP($C704,Rotation!$A$2:$J$10,6,FALSE)</f>
        <v>0</v>
      </c>
      <c r="P704" s="14">
        <f>VLOOKUP($C704,Rotation!$A$2:$J$10,7,FALSE)</f>
        <v>0</v>
      </c>
      <c r="Q704" s="14">
        <f>VLOOKUP($C704,Rotation!$A$2:$J$10,8,FALSE)</f>
        <v>0</v>
      </c>
      <c r="R704" s="14">
        <f>VLOOKUP($C704,Rotation!$A$2:$J$10,9,FALSE)</f>
        <v>0</v>
      </c>
      <c r="S704" s="14">
        <f>VLOOKUP($C704,Rotation!$A$2:$J$10,10,FALSE)</f>
        <v>0</v>
      </c>
    </row>
    <row r="705" spans="1:19" ht="18">
      <c r="A705" s="14">
        <v>703</v>
      </c>
      <c r="B705" s="14" t="s">
        <v>65</v>
      </c>
      <c r="C705" s="14" t="str">
        <f>VLOOKUP(B705,Family!B:C,2,FALSE)</f>
        <v>A</v>
      </c>
      <c r="D705" s="15">
        <v>57</v>
      </c>
      <c r="E705" s="14">
        <f>ROUND(VLOOKUP(C705,'Production Plan'!A:B,2,FALSE),2)</f>
        <v>407.17</v>
      </c>
      <c r="F705" s="16">
        <v>45813</v>
      </c>
      <c r="G705" s="17">
        <f>F705+6*7</f>
        <v>45855</v>
      </c>
      <c r="H705" s="14">
        <f>G705-F705</f>
        <v>42</v>
      </c>
      <c r="I705" s="14">
        <f>ROUND(D705/E705,3)</f>
        <v>0.14000000000000001</v>
      </c>
      <c r="J705" s="14">
        <f>I705*24</f>
        <v>3.3600000000000003</v>
      </c>
      <c r="K705" s="14">
        <f>VLOOKUP($C705,Rotation!$A$2:$J$10,2,FALSE)</f>
        <v>1</v>
      </c>
      <c r="L705" s="14">
        <f>VLOOKUP($C705,Rotation!$A$2:$J$10,3,FALSE)</f>
        <v>1</v>
      </c>
      <c r="M705" s="14">
        <f>VLOOKUP($C705,Rotation!$A$2:$J$10,4,FALSE)</f>
        <v>1</v>
      </c>
      <c r="N705" s="14">
        <f>VLOOKUP($C705,Rotation!$A$2:$J$10,5,FALSE)</f>
        <v>0</v>
      </c>
      <c r="O705" s="14">
        <f>VLOOKUP($C705,Rotation!$A$2:$J$10,6,FALSE)</f>
        <v>0</v>
      </c>
      <c r="P705" s="14">
        <f>VLOOKUP($C705,Rotation!$A$2:$J$10,7,FALSE)</f>
        <v>0</v>
      </c>
      <c r="Q705" s="14">
        <f>VLOOKUP($C705,Rotation!$A$2:$J$10,8,FALSE)</f>
        <v>0</v>
      </c>
      <c r="R705" s="14">
        <f>VLOOKUP($C705,Rotation!$A$2:$J$10,9,FALSE)</f>
        <v>0</v>
      </c>
      <c r="S705" s="14">
        <f>VLOOKUP($C705,Rotation!$A$2:$J$10,10,FALSE)</f>
        <v>0</v>
      </c>
    </row>
    <row r="706" spans="1:19" ht="18">
      <c r="A706" s="14">
        <v>704</v>
      </c>
      <c r="B706" s="14" t="s">
        <v>98</v>
      </c>
      <c r="C706" s="14" t="str">
        <f>VLOOKUP(B706,Family!B:C,2,FALSE)</f>
        <v>H</v>
      </c>
      <c r="D706" s="15">
        <v>19</v>
      </c>
      <c r="E706" s="14">
        <f>ROUND(VLOOKUP(C706,'Production Plan'!A:B,2,FALSE),2)</f>
        <v>402.02</v>
      </c>
      <c r="F706" s="16">
        <v>45706</v>
      </c>
      <c r="G706" s="17">
        <f>F706+6*7</f>
        <v>45748</v>
      </c>
      <c r="H706" s="14">
        <f>G706-F706</f>
        <v>42</v>
      </c>
      <c r="I706" s="14">
        <f>ROUND(D706/E706,3)</f>
        <v>4.7E-2</v>
      </c>
      <c r="J706" s="14">
        <f>I706*24</f>
        <v>1.1280000000000001</v>
      </c>
      <c r="K706" s="14">
        <f>VLOOKUP($C706,Rotation!$A$2:$J$10,2,FALSE)</f>
        <v>0</v>
      </c>
      <c r="L706" s="14">
        <f>VLOOKUP($C706,Rotation!$A$2:$J$10,3,FALSE)</f>
        <v>0</v>
      </c>
      <c r="M706" s="14">
        <f>VLOOKUP($C706,Rotation!$A$2:$J$10,4,FALSE)</f>
        <v>1</v>
      </c>
      <c r="N706" s="14">
        <f>VLOOKUP($C706,Rotation!$A$2:$J$10,5,FALSE)</f>
        <v>1</v>
      </c>
      <c r="O706" s="14">
        <f>VLOOKUP($C706,Rotation!$A$2:$J$10,6,FALSE)</f>
        <v>0</v>
      </c>
      <c r="P706" s="14">
        <f>VLOOKUP($C706,Rotation!$A$2:$J$10,7,FALSE)</f>
        <v>0</v>
      </c>
      <c r="Q706" s="14">
        <f>VLOOKUP($C706,Rotation!$A$2:$J$10,8,FALSE)</f>
        <v>0</v>
      </c>
      <c r="R706" s="14">
        <f>VLOOKUP($C706,Rotation!$A$2:$J$10,9,FALSE)</f>
        <v>0</v>
      </c>
      <c r="S706" s="14">
        <f>VLOOKUP($C706,Rotation!$A$2:$J$10,10,FALSE)</f>
        <v>0</v>
      </c>
    </row>
    <row r="707" spans="1:19" ht="18">
      <c r="A707" s="14">
        <v>705</v>
      </c>
      <c r="B707" s="14" t="s">
        <v>69</v>
      </c>
      <c r="C707" s="14" t="str">
        <f>VLOOKUP(B707,Family!B:C,2,FALSE)</f>
        <v>A</v>
      </c>
      <c r="D707" s="15">
        <v>19</v>
      </c>
      <c r="E707" s="14">
        <f>ROUND(VLOOKUP(C707,'Production Plan'!A:B,2,FALSE),2)</f>
        <v>407.17</v>
      </c>
      <c r="F707" s="16">
        <v>45751</v>
      </c>
      <c r="G707" s="17">
        <f>F707+6*7</f>
        <v>45793</v>
      </c>
      <c r="H707" s="14">
        <f>G707-F707</f>
        <v>42</v>
      </c>
      <c r="I707" s="14">
        <f>ROUND(D707/E707,3)</f>
        <v>4.7E-2</v>
      </c>
      <c r="J707" s="14">
        <f>I707*24</f>
        <v>1.1280000000000001</v>
      </c>
      <c r="K707" s="14">
        <f>VLOOKUP($C707,Rotation!$A$2:$J$10,2,FALSE)</f>
        <v>1</v>
      </c>
      <c r="L707" s="14">
        <f>VLOOKUP($C707,Rotation!$A$2:$J$10,3,FALSE)</f>
        <v>1</v>
      </c>
      <c r="M707" s="14">
        <f>VLOOKUP($C707,Rotation!$A$2:$J$10,4,FALSE)</f>
        <v>1</v>
      </c>
      <c r="N707" s="14">
        <f>VLOOKUP($C707,Rotation!$A$2:$J$10,5,FALSE)</f>
        <v>0</v>
      </c>
      <c r="O707" s="14">
        <f>VLOOKUP($C707,Rotation!$A$2:$J$10,6,FALSE)</f>
        <v>0</v>
      </c>
      <c r="P707" s="14">
        <f>VLOOKUP($C707,Rotation!$A$2:$J$10,7,FALSE)</f>
        <v>0</v>
      </c>
      <c r="Q707" s="14">
        <f>VLOOKUP($C707,Rotation!$A$2:$J$10,8,FALSE)</f>
        <v>0</v>
      </c>
      <c r="R707" s="14">
        <f>VLOOKUP($C707,Rotation!$A$2:$J$10,9,FALSE)</f>
        <v>0</v>
      </c>
      <c r="S707" s="14">
        <f>VLOOKUP($C707,Rotation!$A$2:$J$10,10,FALSE)</f>
        <v>0</v>
      </c>
    </row>
    <row r="708" spans="1:19" ht="18">
      <c r="A708" s="14">
        <v>706</v>
      </c>
      <c r="B708" s="14" t="s">
        <v>69</v>
      </c>
      <c r="C708" s="14" t="str">
        <f>VLOOKUP(B708,Family!B:C,2,FALSE)</f>
        <v>A</v>
      </c>
      <c r="D708" s="15">
        <v>19</v>
      </c>
      <c r="E708" s="14">
        <f>ROUND(VLOOKUP(C708,'Production Plan'!A:B,2,FALSE),2)</f>
        <v>407.17</v>
      </c>
      <c r="F708" s="16">
        <v>45751</v>
      </c>
      <c r="G708" s="17">
        <f>F708+6*7</f>
        <v>45793</v>
      </c>
      <c r="H708" s="14">
        <f>G708-F708</f>
        <v>42</v>
      </c>
      <c r="I708" s="14">
        <f>ROUND(D708/E708,3)</f>
        <v>4.7E-2</v>
      </c>
      <c r="J708" s="14">
        <f>I708*24</f>
        <v>1.1280000000000001</v>
      </c>
      <c r="K708" s="14">
        <f>VLOOKUP($C708,Rotation!$A$2:$J$10,2,FALSE)</f>
        <v>1</v>
      </c>
      <c r="L708" s="14">
        <f>VLOOKUP($C708,Rotation!$A$2:$J$10,3,FALSE)</f>
        <v>1</v>
      </c>
      <c r="M708" s="14">
        <f>VLOOKUP($C708,Rotation!$A$2:$J$10,4,FALSE)</f>
        <v>1</v>
      </c>
      <c r="N708" s="14">
        <f>VLOOKUP($C708,Rotation!$A$2:$J$10,5,FALSE)</f>
        <v>0</v>
      </c>
      <c r="O708" s="14">
        <f>VLOOKUP($C708,Rotation!$A$2:$J$10,6,FALSE)</f>
        <v>0</v>
      </c>
      <c r="P708" s="14">
        <f>VLOOKUP($C708,Rotation!$A$2:$J$10,7,FALSE)</f>
        <v>0</v>
      </c>
      <c r="Q708" s="14">
        <f>VLOOKUP($C708,Rotation!$A$2:$J$10,8,FALSE)</f>
        <v>0</v>
      </c>
      <c r="R708" s="14">
        <f>VLOOKUP($C708,Rotation!$A$2:$J$10,9,FALSE)</f>
        <v>0</v>
      </c>
      <c r="S708" s="14">
        <f>VLOOKUP($C708,Rotation!$A$2:$J$10,10,FALSE)</f>
        <v>0</v>
      </c>
    </row>
    <row r="709" spans="1:19" ht="18">
      <c r="A709" s="14">
        <v>707</v>
      </c>
      <c r="B709" s="14" t="s">
        <v>77</v>
      </c>
      <c r="C709" s="14" t="str">
        <f>VLOOKUP(B709,Family!B:C,2,FALSE)</f>
        <v>E</v>
      </c>
      <c r="D709" s="15">
        <v>18</v>
      </c>
      <c r="E709" s="14">
        <f>ROUND(VLOOKUP(C709,'Production Plan'!A:B,2,FALSE),2)</f>
        <v>333.66</v>
      </c>
      <c r="F709" s="16">
        <v>45761</v>
      </c>
      <c r="G709" s="17">
        <f>F709+6*7</f>
        <v>45803</v>
      </c>
      <c r="H709" s="14">
        <f>G709-F709</f>
        <v>42</v>
      </c>
      <c r="I709" s="14">
        <f>ROUND(D709/E709,3)</f>
        <v>5.3999999999999999E-2</v>
      </c>
      <c r="J709" s="14">
        <f>I709*24</f>
        <v>1.296</v>
      </c>
      <c r="K709" s="14">
        <f>VLOOKUP($C709,Rotation!$A$2:$J$10,2,FALSE)</f>
        <v>1</v>
      </c>
      <c r="L709" s="14">
        <f>VLOOKUP($C709,Rotation!$A$2:$J$10,3,FALSE)</f>
        <v>0</v>
      </c>
      <c r="M709" s="14">
        <f>VLOOKUP($C709,Rotation!$A$2:$J$10,4,FALSE)</f>
        <v>0</v>
      </c>
      <c r="N709" s="14">
        <f>VLOOKUP($C709,Rotation!$A$2:$J$10,5,FALSE)</f>
        <v>0</v>
      </c>
      <c r="O709" s="14">
        <f>VLOOKUP($C709,Rotation!$A$2:$J$10,6,FALSE)</f>
        <v>0</v>
      </c>
      <c r="P709" s="14">
        <f>VLOOKUP($C709,Rotation!$A$2:$J$10,7,FALSE)</f>
        <v>1</v>
      </c>
      <c r="Q709" s="14">
        <f>VLOOKUP($C709,Rotation!$A$2:$J$10,8,FALSE)</f>
        <v>0</v>
      </c>
      <c r="R709" s="14">
        <f>VLOOKUP($C709,Rotation!$A$2:$J$10,9,FALSE)</f>
        <v>0</v>
      </c>
      <c r="S709" s="14">
        <f>VLOOKUP($C709,Rotation!$A$2:$J$10,10,FALSE)</f>
        <v>0</v>
      </c>
    </row>
    <row r="710" spans="1:19" ht="18">
      <c r="A710" s="14">
        <v>708</v>
      </c>
      <c r="B710" s="14" t="s">
        <v>98</v>
      </c>
      <c r="C710" s="14" t="str">
        <f>VLOOKUP(B710,Family!B:C,2,FALSE)</f>
        <v>H</v>
      </c>
      <c r="D710" s="15">
        <v>19</v>
      </c>
      <c r="E710" s="14">
        <f>ROUND(VLOOKUP(C710,'Production Plan'!A:B,2,FALSE),2)</f>
        <v>402.02</v>
      </c>
      <c r="F710" s="16">
        <v>45706</v>
      </c>
      <c r="G710" s="17">
        <f>F710+6*7</f>
        <v>45748</v>
      </c>
      <c r="H710" s="14">
        <f>G710-F710</f>
        <v>42</v>
      </c>
      <c r="I710" s="14">
        <f>ROUND(D710/E710,3)</f>
        <v>4.7E-2</v>
      </c>
      <c r="J710" s="14">
        <f>I710*24</f>
        <v>1.1280000000000001</v>
      </c>
      <c r="K710" s="14">
        <f>VLOOKUP($C710,Rotation!$A$2:$J$10,2,FALSE)</f>
        <v>0</v>
      </c>
      <c r="L710" s="14">
        <f>VLOOKUP($C710,Rotation!$A$2:$J$10,3,FALSE)</f>
        <v>0</v>
      </c>
      <c r="M710" s="14">
        <f>VLOOKUP($C710,Rotation!$A$2:$J$10,4,FALSE)</f>
        <v>1</v>
      </c>
      <c r="N710" s="14">
        <f>VLOOKUP($C710,Rotation!$A$2:$J$10,5,FALSE)</f>
        <v>1</v>
      </c>
      <c r="O710" s="14">
        <f>VLOOKUP($C710,Rotation!$A$2:$J$10,6,FALSE)</f>
        <v>0</v>
      </c>
      <c r="P710" s="14">
        <f>VLOOKUP($C710,Rotation!$A$2:$J$10,7,FALSE)</f>
        <v>0</v>
      </c>
      <c r="Q710" s="14">
        <f>VLOOKUP($C710,Rotation!$A$2:$J$10,8,FALSE)</f>
        <v>0</v>
      </c>
      <c r="R710" s="14">
        <f>VLOOKUP($C710,Rotation!$A$2:$J$10,9,FALSE)</f>
        <v>0</v>
      </c>
      <c r="S710" s="14">
        <f>VLOOKUP($C710,Rotation!$A$2:$J$10,10,FALSE)</f>
        <v>0</v>
      </c>
    </row>
    <row r="711" spans="1:19" ht="18">
      <c r="A711" s="14">
        <v>709</v>
      </c>
      <c r="B711" s="14" t="s">
        <v>112</v>
      </c>
      <c r="C711" s="14" t="str">
        <f>VLOOKUP(B711,Family!B:C,2,FALSE)</f>
        <v>N</v>
      </c>
      <c r="D711" s="15">
        <v>70</v>
      </c>
      <c r="E711" s="14">
        <f>ROUND(VLOOKUP(C711,'Production Plan'!A:B,2,FALSE),2)</f>
        <v>334.18</v>
      </c>
      <c r="F711" s="16">
        <v>45690</v>
      </c>
      <c r="G711" s="17">
        <f>F711+6*7</f>
        <v>45732</v>
      </c>
      <c r="H711" s="14">
        <f>G711-F711</f>
        <v>42</v>
      </c>
      <c r="I711" s="14">
        <f>ROUND(D711/E711,3)</f>
        <v>0.20899999999999999</v>
      </c>
      <c r="J711" s="14">
        <f>I711*24</f>
        <v>5.016</v>
      </c>
      <c r="K711" s="14">
        <f>VLOOKUP($C711,Rotation!$A$2:$J$10,2,FALSE)</f>
        <v>1</v>
      </c>
      <c r="L711" s="14">
        <f>VLOOKUP($C711,Rotation!$A$2:$J$10,3,FALSE)</f>
        <v>0</v>
      </c>
      <c r="M711" s="14">
        <f>VLOOKUP($C711,Rotation!$A$2:$J$10,4,FALSE)</f>
        <v>0</v>
      </c>
      <c r="N711" s="14">
        <f>VLOOKUP($C711,Rotation!$A$2:$J$10,5,FALSE)</f>
        <v>0</v>
      </c>
      <c r="O711" s="14">
        <f>VLOOKUP($C711,Rotation!$A$2:$J$10,6,FALSE)</f>
        <v>0</v>
      </c>
      <c r="P711" s="14">
        <f>VLOOKUP($C711,Rotation!$A$2:$J$10,7,FALSE)</f>
        <v>0</v>
      </c>
      <c r="Q711" s="14">
        <f>VLOOKUP($C711,Rotation!$A$2:$J$10,8,FALSE)</f>
        <v>1</v>
      </c>
      <c r="R711" s="14">
        <f>VLOOKUP($C711,Rotation!$A$2:$J$10,9,FALSE)</f>
        <v>0</v>
      </c>
      <c r="S711" s="14">
        <f>VLOOKUP($C711,Rotation!$A$2:$J$10,10,FALSE)</f>
        <v>0</v>
      </c>
    </row>
    <row r="712" spans="1:19" ht="18">
      <c r="A712" s="14">
        <v>710</v>
      </c>
      <c r="B712" s="14" t="s">
        <v>93</v>
      </c>
      <c r="C712" s="14" t="str">
        <f>VLOOKUP(B712,Family!B:C,2,FALSE)</f>
        <v>F</v>
      </c>
      <c r="D712" s="15">
        <v>678</v>
      </c>
      <c r="E712" s="14">
        <f>ROUND(VLOOKUP(C712,'Production Plan'!A:B,2,FALSE),2)</f>
        <v>394.98</v>
      </c>
      <c r="F712" s="16">
        <v>45694</v>
      </c>
      <c r="G712" s="17">
        <f>F712+6*7</f>
        <v>45736</v>
      </c>
      <c r="H712" s="14">
        <f>G712-F712</f>
        <v>42</v>
      </c>
      <c r="I712" s="14">
        <f>ROUND(D712/E712,3)</f>
        <v>1.7170000000000001</v>
      </c>
      <c r="J712" s="14">
        <f>I712*24</f>
        <v>41.207999999999998</v>
      </c>
      <c r="K712" s="14">
        <f>VLOOKUP($C712,Rotation!$A$2:$J$10,2,FALSE)</f>
        <v>1</v>
      </c>
      <c r="L712" s="14">
        <f>VLOOKUP($C712,Rotation!$A$2:$J$10,3,FALSE)</f>
        <v>0</v>
      </c>
      <c r="M712" s="14">
        <f>VLOOKUP($C712,Rotation!$A$2:$J$10,4,FALSE)</f>
        <v>0</v>
      </c>
      <c r="N712" s="14">
        <f>VLOOKUP($C712,Rotation!$A$2:$J$10,5,FALSE)</f>
        <v>1</v>
      </c>
      <c r="O712" s="14">
        <f>VLOOKUP($C712,Rotation!$A$2:$J$10,6,FALSE)</f>
        <v>1</v>
      </c>
      <c r="P712" s="14">
        <f>VLOOKUP($C712,Rotation!$A$2:$J$10,7,FALSE)</f>
        <v>1</v>
      </c>
      <c r="Q712" s="14">
        <f>VLOOKUP($C712,Rotation!$A$2:$J$10,8,FALSE)</f>
        <v>1</v>
      </c>
      <c r="R712" s="14">
        <f>VLOOKUP($C712,Rotation!$A$2:$J$10,9,FALSE)</f>
        <v>1</v>
      </c>
      <c r="S712" s="14">
        <f>VLOOKUP($C712,Rotation!$A$2:$J$10,10,FALSE)</f>
        <v>1</v>
      </c>
    </row>
    <row r="713" spans="1:19" ht="18">
      <c r="A713" s="14">
        <v>711</v>
      </c>
      <c r="B713" s="14" t="s">
        <v>80</v>
      </c>
      <c r="C713" s="14" t="str">
        <f>VLOOKUP(B713,Family!B:C,2,FALSE)</f>
        <v>C</v>
      </c>
      <c r="D713" s="15">
        <v>19</v>
      </c>
      <c r="E713" s="14">
        <f>ROUND(VLOOKUP(C713,'Production Plan'!A:B,2,FALSE),2)</f>
        <v>411.11</v>
      </c>
      <c r="F713" s="16">
        <v>45722</v>
      </c>
      <c r="G713" s="17">
        <f>F713+6*7</f>
        <v>45764</v>
      </c>
      <c r="H713" s="14">
        <f>G713-F713</f>
        <v>42</v>
      </c>
      <c r="I713" s="14">
        <f>ROUND(D713/E713,3)</f>
        <v>4.5999999999999999E-2</v>
      </c>
      <c r="J713" s="14">
        <f>I713*24</f>
        <v>1.1040000000000001</v>
      </c>
      <c r="K713" s="14">
        <f>VLOOKUP($C713,Rotation!$A$2:$J$10,2,FALSE)</f>
        <v>1</v>
      </c>
      <c r="L713" s="14">
        <f>VLOOKUP($C713,Rotation!$A$2:$J$10,3,FALSE)</f>
        <v>0</v>
      </c>
      <c r="M713" s="14">
        <f>VLOOKUP($C713,Rotation!$A$2:$J$10,4,FALSE)</f>
        <v>0</v>
      </c>
      <c r="N713" s="14">
        <f>VLOOKUP($C713,Rotation!$A$2:$J$10,5,FALSE)</f>
        <v>0</v>
      </c>
      <c r="O713" s="14">
        <f>VLOOKUP($C713,Rotation!$A$2:$J$10,6,FALSE)</f>
        <v>1</v>
      </c>
      <c r="P713" s="14">
        <f>VLOOKUP($C713,Rotation!$A$2:$J$10,7,FALSE)</f>
        <v>0</v>
      </c>
      <c r="Q713" s="14">
        <f>VLOOKUP($C713,Rotation!$A$2:$J$10,8,FALSE)</f>
        <v>0</v>
      </c>
      <c r="R713" s="14">
        <f>VLOOKUP($C713,Rotation!$A$2:$J$10,9,FALSE)</f>
        <v>0</v>
      </c>
      <c r="S713" s="14">
        <f>VLOOKUP($C713,Rotation!$A$2:$J$10,10,FALSE)</f>
        <v>0</v>
      </c>
    </row>
    <row r="714" spans="1:19" ht="18">
      <c r="A714" s="14">
        <v>712</v>
      </c>
      <c r="B714" s="14" t="s">
        <v>65</v>
      </c>
      <c r="C714" s="14" t="str">
        <f>VLOOKUP(B714,Family!B:C,2,FALSE)</f>
        <v>A</v>
      </c>
      <c r="D714" s="15">
        <v>10</v>
      </c>
      <c r="E714" s="14">
        <f>ROUND(VLOOKUP(C714,'Production Plan'!A:B,2,FALSE),2)</f>
        <v>407.17</v>
      </c>
      <c r="F714" s="16">
        <v>45735</v>
      </c>
      <c r="G714" s="17">
        <f>F714+6*7</f>
        <v>45777</v>
      </c>
      <c r="H714" s="14">
        <f>G714-F714</f>
        <v>42</v>
      </c>
      <c r="I714" s="14">
        <f>ROUND(D714/E714,3)</f>
        <v>2.5000000000000001E-2</v>
      </c>
      <c r="J714" s="14">
        <f>I714*24</f>
        <v>0.60000000000000009</v>
      </c>
      <c r="K714" s="14">
        <f>VLOOKUP($C714,Rotation!$A$2:$J$10,2,FALSE)</f>
        <v>1</v>
      </c>
      <c r="L714" s="14">
        <f>VLOOKUP($C714,Rotation!$A$2:$J$10,3,FALSE)</f>
        <v>1</v>
      </c>
      <c r="M714" s="14">
        <f>VLOOKUP($C714,Rotation!$A$2:$J$10,4,FALSE)</f>
        <v>1</v>
      </c>
      <c r="N714" s="14">
        <f>VLOOKUP($C714,Rotation!$A$2:$J$10,5,FALSE)</f>
        <v>0</v>
      </c>
      <c r="O714" s="14">
        <f>VLOOKUP($C714,Rotation!$A$2:$J$10,6,FALSE)</f>
        <v>0</v>
      </c>
      <c r="P714" s="14">
        <f>VLOOKUP($C714,Rotation!$A$2:$J$10,7,FALSE)</f>
        <v>0</v>
      </c>
      <c r="Q714" s="14">
        <f>VLOOKUP($C714,Rotation!$A$2:$J$10,8,FALSE)</f>
        <v>0</v>
      </c>
      <c r="R714" s="14">
        <f>VLOOKUP($C714,Rotation!$A$2:$J$10,9,FALSE)</f>
        <v>0</v>
      </c>
      <c r="S714" s="14">
        <f>VLOOKUP($C714,Rotation!$A$2:$J$10,10,FALSE)</f>
        <v>0</v>
      </c>
    </row>
    <row r="715" spans="1:19" ht="18">
      <c r="A715" s="14">
        <v>713</v>
      </c>
      <c r="B715" s="14" t="s">
        <v>93</v>
      </c>
      <c r="C715" s="14" t="str">
        <f>VLOOKUP(B715,Family!B:C,2,FALSE)</f>
        <v>F</v>
      </c>
      <c r="D715" s="15">
        <v>500</v>
      </c>
      <c r="E715" s="14">
        <f>ROUND(VLOOKUP(C715,'Production Plan'!A:B,2,FALSE),2)</f>
        <v>394.98</v>
      </c>
      <c r="F715" s="16">
        <v>45750</v>
      </c>
      <c r="G715" s="17">
        <f>F715+6*7</f>
        <v>45792</v>
      </c>
      <c r="H715" s="14">
        <f>G715-F715</f>
        <v>42</v>
      </c>
      <c r="I715" s="14">
        <f>ROUND(D715/E715,3)</f>
        <v>1.266</v>
      </c>
      <c r="J715" s="14">
        <f>I715*24</f>
        <v>30.384</v>
      </c>
      <c r="K715" s="14">
        <f>VLOOKUP($C715,Rotation!$A$2:$J$10,2,FALSE)</f>
        <v>1</v>
      </c>
      <c r="L715" s="14">
        <f>VLOOKUP($C715,Rotation!$A$2:$J$10,3,FALSE)</f>
        <v>0</v>
      </c>
      <c r="M715" s="14">
        <f>VLOOKUP($C715,Rotation!$A$2:$J$10,4,FALSE)</f>
        <v>0</v>
      </c>
      <c r="N715" s="14">
        <f>VLOOKUP($C715,Rotation!$A$2:$J$10,5,FALSE)</f>
        <v>1</v>
      </c>
      <c r="O715" s="14">
        <f>VLOOKUP($C715,Rotation!$A$2:$J$10,6,FALSE)</f>
        <v>1</v>
      </c>
      <c r="P715" s="14">
        <f>VLOOKUP($C715,Rotation!$A$2:$J$10,7,FALSE)</f>
        <v>1</v>
      </c>
      <c r="Q715" s="14">
        <f>VLOOKUP($C715,Rotation!$A$2:$J$10,8,FALSE)</f>
        <v>1</v>
      </c>
      <c r="R715" s="14">
        <f>VLOOKUP($C715,Rotation!$A$2:$J$10,9,FALSE)</f>
        <v>1</v>
      </c>
      <c r="S715" s="14">
        <f>VLOOKUP($C715,Rotation!$A$2:$J$10,10,FALSE)</f>
        <v>1</v>
      </c>
    </row>
    <row r="716" spans="1:19" ht="18">
      <c r="A716" s="14">
        <v>714</v>
      </c>
      <c r="B716" s="14" t="s">
        <v>105</v>
      </c>
      <c r="C716" s="14" t="str">
        <f>VLOOKUP(B716,Family!B:C,2,FALSE)</f>
        <v>N</v>
      </c>
      <c r="D716" s="15">
        <v>358</v>
      </c>
      <c r="E716" s="14">
        <f>ROUND(VLOOKUP(C716,'Production Plan'!A:B,2,FALSE),2)</f>
        <v>334.18</v>
      </c>
      <c r="F716" s="16">
        <v>45807</v>
      </c>
      <c r="G716" s="17">
        <f>F716+6*7</f>
        <v>45849</v>
      </c>
      <c r="H716" s="14">
        <f>G716-F716</f>
        <v>42</v>
      </c>
      <c r="I716" s="14">
        <f>ROUND(D716/E716,3)</f>
        <v>1.071</v>
      </c>
      <c r="J716" s="14">
        <f>I716*24</f>
        <v>25.704000000000001</v>
      </c>
      <c r="K716" s="14">
        <f>VLOOKUP($C716,Rotation!$A$2:$J$10,2,FALSE)</f>
        <v>1</v>
      </c>
      <c r="L716" s="14">
        <f>VLOOKUP($C716,Rotation!$A$2:$J$10,3,FALSE)</f>
        <v>0</v>
      </c>
      <c r="M716" s="14">
        <f>VLOOKUP($C716,Rotation!$A$2:$J$10,4,FALSE)</f>
        <v>0</v>
      </c>
      <c r="N716" s="14">
        <f>VLOOKUP($C716,Rotation!$A$2:$J$10,5,FALSE)</f>
        <v>0</v>
      </c>
      <c r="O716" s="14">
        <f>VLOOKUP($C716,Rotation!$A$2:$J$10,6,FALSE)</f>
        <v>0</v>
      </c>
      <c r="P716" s="14">
        <f>VLOOKUP($C716,Rotation!$A$2:$J$10,7,FALSE)</f>
        <v>0</v>
      </c>
      <c r="Q716" s="14">
        <f>VLOOKUP($C716,Rotation!$A$2:$J$10,8,FALSE)</f>
        <v>1</v>
      </c>
      <c r="R716" s="14">
        <f>VLOOKUP($C716,Rotation!$A$2:$J$10,9,FALSE)</f>
        <v>0</v>
      </c>
      <c r="S716" s="14">
        <f>VLOOKUP($C716,Rotation!$A$2:$J$10,10,FALSE)</f>
        <v>0</v>
      </c>
    </row>
    <row r="717" spans="1:19" ht="18">
      <c r="A717" s="14">
        <v>715</v>
      </c>
      <c r="B717" s="14" t="s">
        <v>108</v>
      </c>
      <c r="C717" s="14" t="str">
        <f>VLOOKUP(B717,Family!B:C,2,FALSE)</f>
        <v>P</v>
      </c>
      <c r="D717" s="15">
        <v>54</v>
      </c>
      <c r="E717" s="14">
        <f>ROUND(VLOOKUP(C717,'Production Plan'!A:B,2,FALSE),2)</f>
        <v>409.15</v>
      </c>
      <c r="F717" s="16">
        <v>45799</v>
      </c>
      <c r="G717" s="17">
        <f>F717+6*7</f>
        <v>45841</v>
      </c>
      <c r="H717" s="14">
        <f>G717-F717</f>
        <v>42</v>
      </c>
      <c r="I717" s="14">
        <f>ROUND(D717/E717,3)</f>
        <v>0.13200000000000001</v>
      </c>
      <c r="J717" s="14">
        <f>I717*24</f>
        <v>3.1680000000000001</v>
      </c>
      <c r="K717" s="14">
        <f>VLOOKUP($C717,Rotation!$A$2:$J$10,2,FALSE)</f>
        <v>1</v>
      </c>
      <c r="L717" s="14">
        <f>VLOOKUP($C717,Rotation!$A$2:$J$10,3,FALSE)</f>
        <v>1</v>
      </c>
      <c r="M717" s="14">
        <f>VLOOKUP($C717,Rotation!$A$2:$J$10,4,FALSE)</f>
        <v>0</v>
      </c>
      <c r="N717" s="14">
        <f>VLOOKUP($C717,Rotation!$A$2:$J$10,5,FALSE)</f>
        <v>0</v>
      </c>
      <c r="O717" s="14">
        <f>VLOOKUP($C717,Rotation!$A$2:$J$10,6,FALSE)</f>
        <v>0</v>
      </c>
      <c r="P717" s="14">
        <f>VLOOKUP($C717,Rotation!$A$2:$J$10,7,FALSE)</f>
        <v>0</v>
      </c>
      <c r="Q717" s="14">
        <f>VLOOKUP($C717,Rotation!$A$2:$J$10,8,FALSE)</f>
        <v>0</v>
      </c>
      <c r="R717" s="14">
        <f>VLOOKUP($C717,Rotation!$A$2:$J$10,9,FALSE)</f>
        <v>0</v>
      </c>
      <c r="S717" s="14">
        <f>VLOOKUP($C717,Rotation!$A$2:$J$10,10,FALSE)</f>
        <v>0</v>
      </c>
    </row>
    <row r="718" spans="1:19" ht="18">
      <c r="A718" s="14">
        <v>716</v>
      </c>
      <c r="B718" s="14" t="s">
        <v>108</v>
      </c>
      <c r="C718" s="14" t="str">
        <f>VLOOKUP(B718,Family!B:C,2,FALSE)</f>
        <v>P</v>
      </c>
      <c r="D718" s="15">
        <v>54</v>
      </c>
      <c r="E718" s="14">
        <f>ROUND(VLOOKUP(C718,'Production Plan'!A:B,2,FALSE),2)</f>
        <v>409.15</v>
      </c>
      <c r="F718" s="16">
        <v>45799</v>
      </c>
      <c r="G718" s="17">
        <f>F718+6*7</f>
        <v>45841</v>
      </c>
      <c r="H718" s="14">
        <f>G718-F718</f>
        <v>42</v>
      </c>
      <c r="I718" s="14">
        <f>ROUND(D718/E718,3)</f>
        <v>0.13200000000000001</v>
      </c>
      <c r="J718" s="14">
        <f>I718*24</f>
        <v>3.1680000000000001</v>
      </c>
      <c r="K718" s="14">
        <f>VLOOKUP($C718,Rotation!$A$2:$J$10,2,FALSE)</f>
        <v>1</v>
      </c>
      <c r="L718" s="14">
        <f>VLOOKUP($C718,Rotation!$A$2:$J$10,3,FALSE)</f>
        <v>1</v>
      </c>
      <c r="M718" s="14">
        <f>VLOOKUP($C718,Rotation!$A$2:$J$10,4,FALSE)</f>
        <v>0</v>
      </c>
      <c r="N718" s="14">
        <f>VLOOKUP($C718,Rotation!$A$2:$J$10,5,FALSE)</f>
        <v>0</v>
      </c>
      <c r="O718" s="14">
        <f>VLOOKUP($C718,Rotation!$A$2:$J$10,6,FALSE)</f>
        <v>0</v>
      </c>
      <c r="P718" s="14">
        <f>VLOOKUP($C718,Rotation!$A$2:$J$10,7,FALSE)</f>
        <v>0</v>
      </c>
      <c r="Q718" s="14">
        <f>VLOOKUP($C718,Rotation!$A$2:$J$10,8,FALSE)</f>
        <v>0</v>
      </c>
      <c r="R718" s="14">
        <f>VLOOKUP($C718,Rotation!$A$2:$J$10,9,FALSE)</f>
        <v>0</v>
      </c>
      <c r="S718" s="14">
        <f>VLOOKUP($C718,Rotation!$A$2:$J$10,10,FALSE)</f>
        <v>0</v>
      </c>
    </row>
    <row r="719" spans="1:19" ht="18">
      <c r="A719" s="14">
        <v>717</v>
      </c>
      <c r="B719" s="14" t="s">
        <v>108</v>
      </c>
      <c r="C719" s="14" t="str">
        <f>VLOOKUP(B719,Family!B:C,2,FALSE)</f>
        <v>P</v>
      </c>
      <c r="D719" s="15">
        <v>54</v>
      </c>
      <c r="E719" s="14">
        <f>ROUND(VLOOKUP(C719,'Production Plan'!A:B,2,FALSE),2)</f>
        <v>409.15</v>
      </c>
      <c r="F719" s="16">
        <v>45799</v>
      </c>
      <c r="G719" s="17">
        <f>F719+6*7</f>
        <v>45841</v>
      </c>
      <c r="H719" s="14">
        <f>G719-F719</f>
        <v>42</v>
      </c>
      <c r="I719" s="14">
        <f>ROUND(D719/E719,3)</f>
        <v>0.13200000000000001</v>
      </c>
      <c r="J719" s="14">
        <f>I719*24</f>
        <v>3.1680000000000001</v>
      </c>
      <c r="K719" s="14">
        <f>VLOOKUP($C719,Rotation!$A$2:$J$10,2,FALSE)</f>
        <v>1</v>
      </c>
      <c r="L719" s="14">
        <f>VLOOKUP($C719,Rotation!$A$2:$J$10,3,FALSE)</f>
        <v>1</v>
      </c>
      <c r="M719" s="14">
        <f>VLOOKUP($C719,Rotation!$A$2:$J$10,4,FALSE)</f>
        <v>0</v>
      </c>
      <c r="N719" s="14">
        <f>VLOOKUP($C719,Rotation!$A$2:$J$10,5,FALSE)</f>
        <v>0</v>
      </c>
      <c r="O719" s="14">
        <f>VLOOKUP($C719,Rotation!$A$2:$J$10,6,FALSE)</f>
        <v>0</v>
      </c>
      <c r="P719" s="14">
        <f>VLOOKUP($C719,Rotation!$A$2:$J$10,7,FALSE)</f>
        <v>0</v>
      </c>
      <c r="Q719" s="14">
        <f>VLOOKUP($C719,Rotation!$A$2:$J$10,8,FALSE)</f>
        <v>0</v>
      </c>
      <c r="R719" s="14">
        <f>VLOOKUP($C719,Rotation!$A$2:$J$10,9,FALSE)</f>
        <v>0</v>
      </c>
      <c r="S719" s="14">
        <f>VLOOKUP($C719,Rotation!$A$2:$J$10,10,FALSE)</f>
        <v>0</v>
      </c>
    </row>
    <row r="720" spans="1:19" ht="18">
      <c r="A720" s="14">
        <v>718</v>
      </c>
      <c r="B720" s="14" t="s">
        <v>108</v>
      </c>
      <c r="C720" s="14" t="str">
        <f>VLOOKUP(B720,Family!B:C,2,FALSE)</f>
        <v>P</v>
      </c>
      <c r="D720" s="15">
        <v>54</v>
      </c>
      <c r="E720" s="14">
        <f>ROUND(VLOOKUP(C720,'Production Plan'!A:B,2,FALSE),2)</f>
        <v>409.15</v>
      </c>
      <c r="F720" s="16">
        <v>45799</v>
      </c>
      <c r="G720" s="17">
        <f>F720+6*7</f>
        <v>45841</v>
      </c>
      <c r="H720" s="14">
        <f>G720-F720</f>
        <v>42</v>
      </c>
      <c r="I720" s="14">
        <f>ROUND(D720/E720,3)</f>
        <v>0.13200000000000001</v>
      </c>
      <c r="J720" s="14">
        <f>I720*24</f>
        <v>3.1680000000000001</v>
      </c>
      <c r="K720" s="14">
        <f>VLOOKUP($C720,Rotation!$A$2:$J$10,2,FALSE)</f>
        <v>1</v>
      </c>
      <c r="L720" s="14">
        <f>VLOOKUP($C720,Rotation!$A$2:$J$10,3,FALSE)</f>
        <v>1</v>
      </c>
      <c r="M720" s="14">
        <f>VLOOKUP($C720,Rotation!$A$2:$J$10,4,FALSE)</f>
        <v>0</v>
      </c>
      <c r="N720" s="14">
        <f>VLOOKUP($C720,Rotation!$A$2:$J$10,5,FALSE)</f>
        <v>0</v>
      </c>
      <c r="O720" s="14">
        <f>VLOOKUP($C720,Rotation!$A$2:$J$10,6,FALSE)</f>
        <v>0</v>
      </c>
      <c r="P720" s="14">
        <f>VLOOKUP($C720,Rotation!$A$2:$J$10,7,FALSE)</f>
        <v>0</v>
      </c>
      <c r="Q720" s="14">
        <f>VLOOKUP($C720,Rotation!$A$2:$J$10,8,FALSE)</f>
        <v>0</v>
      </c>
      <c r="R720" s="14">
        <f>VLOOKUP($C720,Rotation!$A$2:$J$10,9,FALSE)</f>
        <v>0</v>
      </c>
      <c r="S720" s="14">
        <f>VLOOKUP($C720,Rotation!$A$2:$J$10,10,FALSE)</f>
        <v>0</v>
      </c>
    </row>
    <row r="721" spans="1:19" ht="18">
      <c r="A721" s="14">
        <v>719</v>
      </c>
      <c r="B721" s="14" t="s">
        <v>108</v>
      </c>
      <c r="C721" s="14" t="str">
        <f>VLOOKUP(B721,Family!B:C,2,FALSE)</f>
        <v>P</v>
      </c>
      <c r="D721" s="15">
        <v>54</v>
      </c>
      <c r="E721" s="14">
        <f>ROUND(VLOOKUP(C721,'Production Plan'!A:B,2,FALSE),2)</f>
        <v>409.15</v>
      </c>
      <c r="F721" s="16">
        <v>45799</v>
      </c>
      <c r="G721" s="17">
        <f>F721+6*7</f>
        <v>45841</v>
      </c>
      <c r="H721" s="14">
        <f>G721-F721</f>
        <v>42</v>
      </c>
      <c r="I721" s="14">
        <f>ROUND(D721/E721,3)</f>
        <v>0.13200000000000001</v>
      </c>
      <c r="J721" s="14">
        <f>I721*24</f>
        <v>3.1680000000000001</v>
      </c>
      <c r="K721" s="14">
        <f>VLOOKUP($C721,Rotation!$A$2:$J$10,2,FALSE)</f>
        <v>1</v>
      </c>
      <c r="L721" s="14">
        <f>VLOOKUP($C721,Rotation!$A$2:$J$10,3,FALSE)</f>
        <v>1</v>
      </c>
      <c r="M721" s="14">
        <f>VLOOKUP($C721,Rotation!$A$2:$J$10,4,FALSE)</f>
        <v>0</v>
      </c>
      <c r="N721" s="14">
        <f>VLOOKUP($C721,Rotation!$A$2:$J$10,5,FALSE)</f>
        <v>0</v>
      </c>
      <c r="O721" s="14">
        <f>VLOOKUP($C721,Rotation!$A$2:$J$10,6,FALSE)</f>
        <v>0</v>
      </c>
      <c r="P721" s="14">
        <f>VLOOKUP($C721,Rotation!$A$2:$J$10,7,FALSE)</f>
        <v>0</v>
      </c>
      <c r="Q721" s="14">
        <f>VLOOKUP($C721,Rotation!$A$2:$J$10,8,FALSE)</f>
        <v>0</v>
      </c>
      <c r="R721" s="14">
        <f>VLOOKUP($C721,Rotation!$A$2:$J$10,9,FALSE)</f>
        <v>0</v>
      </c>
      <c r="S721" s="14">
        <f>VLOOKUP($C721,Rotation!$A$2:$J$10,10,FALSE)</f>
        <v>0</v>
      </c>
    </row>
    <row r="722" spans="1:19" ht="18">
      <c r="A722" s="14">
        <v>720</v>
      </c>
      <c r="B722" s="14" t="s">
        <v>85</v>
      </c>
      <c r="C722" s="14" t="str">
        <f>VLOOKUP(B722,Family!B:C,2,FALSE)</f>
        <v>E</v>
      </c>
      <c r="D722" s="15">
        <v>19</v>
      </c>
      <c r="E722" s="14">
        <f>ROUND(VLOOKUP(C722,'Production Plan'!A:B,2,FALSE),2)</f>
        <v>333.66</v>
      </c>
      <c r="F722" s="16">
        <v>45845</v>
      </c>
      <c r="G722" s="17">
        <f>F722+6*7</f>
        <v>45887</v>
      </c>
      <c r="H722" s="14">
        <f>G722-F722</f>
        <v>42</v>
      </c>
      <c r="I722" s="14">
        <f>ROUND(D722/E722,3)</f>
        <v>5.7000000000000002E-2</v>
      </c>
      <c r="J722" s="14">
        <f>I722*24</f>
        <v>1.3680000000000001</v>
      </c>
      <c r="K722" s="14">
        <f>VLOOKUP($C722,Rotation!$A$2:$J$10,2,FALSE)</f>
        <v>1</v>
      </c>
      <c r="L722" s="14">
        <f>VLOOKUP($C722,Rotation!$A$2:$J$10,3,FALSE)</f>
        <v>0</v>
      </c>
      <c r="M722" s="14">
        <f>VLOOKUP($C722,Rotation!$A$2:$J$10,4,FALSE)</f>
        <v>0</v>
      </c>
      <c r="N722" s="14">
        <f>VLOOKUP($C722,Rotation!$A$2:$J$10,5,FALSE)</f>
        <v>0</v>
      </c>
      <c r="O722" s="14">
        <f>VLOOKUP($C722,Rotation!$A$2:$J$10,6,FALSE)</f>
        <v>0</v>
      </c>
      <c r="P722" s="14">
        <f>VLOOKUP($C722,Rotation!$A$2:$J$10,7,FALSE)</f>
        <v>1</v>
      </c>
      <c r="Q722" s="14">
        <f>VLOOKUP($C722,Rotation!$A$2:$J$10,8,FALSE)</f>
        <v>0</v>
      </c>
      <c r="R722" s="14">
        <f>VLOOKUP($C722,Rotation!$A$2:$J$10,9,FALSE)</f>
        <v>0</v>
      </c>
      <c r="S722" s="14">
        <f>VLOOKUP($C722,Rotation!$A$2:$J$10,10,FALSE)</f>
        <v>0</v>
      </c>
    </row>
    <row r="723" spans="1:19" ht="18">
      <c r="A723" s="14">
        <v>721</v>
      </c>
      <c r="B723" s="14" t="s">
        <v>85</v>
      </c>
      <c r="C723" s="14" t="str">
        <f>VLOOKUP(B723,Family!B:C,2,FALSE)</f>
        <v>E</v>
      </c>
      <c r="D723" s="15">
        <v>19</v>
      </c>
      <c r="E723" s="14">
        <f>ROUND(VLOOKUP(C723,'Production Plan'!A:B,2,FALSE),2)</f>
        <v>333.66</v>
      </c>
      <c r="F723" s="16">
        <v>45845</v>
      </c>
      <c r="G723" s="17">
        <f>F723+6*7</f>
        <v>45887</v>
      </c>
      <c r="H723" s="14">
        <f>G723-F723</f>
        <v>42</v>
      </c>
      <c r="I723" s="14">
        <f>ROUND(D723/E723,3)</f>
        <v>5.7000000000000002E-2</v>
      </c>
      <c r="J723" s="14">
        <f>I723*24</f>
        <v>1.3680000000000001</v>
      </c>
      <c r="K723" s="14">
        <f>VLOOKUP($C723,Rotation!$A$2:$J$10,2,FALSE)</f>
        <v>1</v>
      </c>
      <c r="L723" s="14">
        <f>VLOOKUP($C723,Rotation!$A$2:$J$10,3,FALSE)</f>
        <v>0</v>
      </c>
      <c r="M723" s="14">
        <f>VLOOKUP($C723,Rotation!$A$2:$J$10,4,FALSE)</f>
        <v>0</v>
      </c>
      <c r="N723" s="14">
        <f>VLOOKUP($C723,Rotation!$A$2:$J$10,5,FALSE)</f>
        <v>0</v>
      </c>
      <c r="O723" s="14">
        <f>VLOOKUP($C723,Rotation!$A$2:$J$10,6,FALSE)</f>
        <v>0</v>
      </c>
      <c r="P723" s="14">
        <f>VLOOKUP($C723,Rotation!$A$2:$J$10,7,FALSE)</f>
        <v>1</v>
      </c>
      <c r="Q723" s="14">
        <f>VLOOKUP($C723,Rotation!$A$2:$J$10,8,FALSE)</f>
        <v>0</v>
      </c>
      <c r="R723" s="14">
        <f>VLOOKUP($C723,Rotation!$A$2:$J$10,9,FALSE)</f>
        <v>0</v>
      </c>
      <c r="S723" s="14">
        <f>VLOOKUP($C723,Rotation!$A$2:$J$10,10,FALSE)</f>
        <v>0</v>
      </c>
    </row>
    <row r="724" spans="1:19" ht="18">
      <c r="A724" s="14">
        <v>722</v>
      </c>
      <c r="B724" s="14" t="s">
        <v>85</v>
      </c>
      <c r="C724" s="14" t="str">
        <f>VLOOKUP(B724,Family!B:C,2,FALSE)</f>
        <v>E</v>
      </c>
      <c r="D724" s="15">
        <v>19</v>
      </c>
      <c r="E724" s="14">
        <f>ROUND(VLOOKUP(C724,'Production Plan'!A:B,2,FALSE),2)</f>
        <v>333.66</v>
      </c>
      <c r="F724" s="16">
        <v>45845</v>
      </c>
      <c r="G724" s="17">
        <f>F724+6*7</f>
        <v>45887</v>
      </c>
      <c r="H724" s="14">
        <f>G724-F724</f>
        <v>42</v>
      </c>
      <c r="I724" s="14">
        <f>ROUND(D724/E724,3)</f>
        <v>5.7000000000000002E-2</v>
      </c>
      <c r="J724" s="14">
        <f>I724*24</f>
        <v>1.3680000000000001</v>
      </c>
      <c r="K724" s="14">
        <f>VLOOKUP($C724,Rotation!$A$2:$J$10,2,FALSE)</f>
        <v>1</v>
      </c>
      <c r="L724" s="14">
        <f>VLOOKUP($C724,Rotation!$A$2:$J$10,3,FALSE)</f>
        <v>0</v>
      </c>
      <c r="M724" s="14">
        <f>VLOOKUP($C724,Rotation!$A$2:$J$10,4,FALSE)</f>
        <v>0</v>
      </c>
      <c r="N724" s="14">
        <f>VLOOKUP($C724,Rotation!$A$2:$J$10,5,FALSE)</f>
        <v>0</v>
      </c>
      <c r="O724" s="14">
        <f>VLOOKUP($C724,Rotation!$A$2:$J$10,6,FALSE)</f>
        <v>0</v>
      </c>
      <c r="P724" s="14">
        <f>VLOOKUP($C724,Rotation!$A$2:$J$10,7,FALSE)</f>
        <v>1</v>
      </c>
      <c r="Q724" s="14">
        <f>VLOOKUP($C724,Rotation!$A$2:$J$10,8,FALSE)</f>
        <v>0</v>
      </c>
      <c r="R724" s="14">
        <f>VLOOKUP($C724,Rotation!$A$2:$J$10,9,FALSE)</f>
        <v>0</v>
      </c>
      <c r="S724" s="14">
        <f>VLOOKUP($C724,Rotation!$A$2:$J$10,10,FALSE)</f>
        <v>0</v>
      </c>
    </row>
    <row r="725" spans="1:19" ht="18">
      <c r="A725" s="14">
        <v>723</v>
      </c>
      <c r="B725" s="14" t="s">
        <v>85</v>
      </c>
      <c r="C725" s="14" t="str">
        <f>VLOOKUP(B725,Family!B:C,2,FALSE)</f>
        <v>E</v>
      </c>
      <c r="D725" s="15">
        <v>19</v>
      </c>
      <c r="E725" s="14">
        <f>ROUND(VLOOKUP(C725,'Production Plan'!A:B,2,FALSE),2)</f>
        <v>333.66</v>
      </c>
      <c r="F725" s="16">
        <v>45845</v>
      </c>
      <c r="G725" s="17">
        <f>F725+6*7</f>
        <v>45887</v>
      </c>
      <c r="H725" s="14">
        <f>G725-F725</f>
        <v>42</v>
      </c>
      <c r="I725" s="14">
        <f>ROUND(D725/E725,3)</f>
        <v>5.7000000000000002E-2</v>
      </c>
      <c r="J725" s="14">
        <f>I725*24</f>
        <v>1.3680000000000001</v>
      </c>
      <c r="K725" s="14">
        <f>VLOOKUP($C725,Rotation!$A$2:$J$10,2,FALSE)</f>
        <v>1</v>
      </c>
      <c r="L725" s="14">
        <f>VLOOKUP($C725,Rotation!$A$2:$J$10,3,FALSE)</f>
        <v>0</v>
      </c>
      <c r="M725" s="14">
        <f>VLOOKUP($C725,Rotation!$A$2:$J$10,4,FALSE)</f>
        <v>0</v>
      </c>
      <c r="N725" s="14">
        <f>VLOOKUP($C725,Rotation!$A$2:$J$10,5,FALSE)</f>
        <v>0</v>
      </c>
      <c r="O725" s="14">
        <f>VLOOKUP($C725,Rotation!$A$2:$J$10,6,FALSE)</f>
        <v>0</v>
      </c>
      <c r="P725" s="14">
        <f>VLOOKUP($C725,Rotation!$A$2:$J$10,7,FALSE)</f>
        <v>1</v>
      </c>
      <c r="Q725" s="14">
        <f>VLOOKUP($C725,Rotation!$A$2:$J$10,8,FALSE)</f>
        <v>0</v>
      </c>
      <c r="R725" s="14">
        <f>VLOOKUP($C725,Rotation!$A$2:$J$10,9,FALSE)</f>
        <v>0</v>
      </c>
      <c r="S725" s="14">
        <f>VLOOKUP($C725,Rotation!$A$2:$J$10,10,FALSE)</f>
        <v>0</v>
      </c>
    </row>
    <row r="726" spans="1:19" ht="18">
      <c r="A726" s="14">
        <v>724</v>
      </c>
      <c r="B726" s="14" t="s">
        <v>82</v>
      </c>
      <c r="C726" s="14" t="str">
        <f>VLOOKUP(B726,Family!B:C,2,FALSE)</f>
        <v>C</v>
      </c>
      <c r="D726" s="15">
        <v>19</v>
      </c>
      <c r="E726" s="14">
        <f>ROUND(VLOOKUP(C726,'Production Plan'!A:B,2,FALSE),2)</f>
        <v>411.11</v>
      </c>
      <c r="F726" s="16">
        <v>45804</v>
      </c>
      <c r="G726" s="17">
        <f>F726+6*7</f>
        <v>45846</v>
      </c>
      <c r="H726" s="14">
        <f>G726-F726</f>
        <v>42</v>
      </c>
      <c r="I726" s="14">
        <f>ROUND(D726/E726,3)</f>
        <v>4.5999999999999999E-2</v>
      </c>
      <c r="J726" s="14">
        <f>I726*24</f>
        <v>1.1040000000000001</v>
      </c>
      <c r="K726" s="14">
        <f>VLOOKUP($C726,Rotation!$A$2:$J$10,2,FALSE)</f>
        <v>1</v>
      </c>
      <c r="L726" s="14">
        <f>VLOOKUP($C726,Rotation!$A$2:$J$10,3,FALSE)</f>
        <v>0</v>
      </c>
      <c r="M726" s="14">
        <f>VLOOKUP($C726,Rotation!$A$2:$J$10,4,FALSE)</f>
        <v>0</v>
      </c>
      <c r="N726" s="14">
        <f>VLOOKUP($C726,Rotation!$A$2:$J$10,5,FALSE)</f>
        <v>0</v>
      </c>
      <c r="O726" s="14">
        <f>VLOOKUP($C726,Rotation!$A$2:$J$10,6,FALSE)</f>
        <v>1</v>
      </c>
      <c r="P726" s="14">
        <f>VLOOKUP($C726,Rotation!$A$2:$J$10,7,FALSE)</f>
        <v>0</v>
      </c>
      <c r="Q726" s="14">
        <f>VLOOKUP($C726,Rotation!$A$2:$J$10,8,FALSE)</f>
        <v>0</v>
      </c>
      <c r="R726" s="14">
        <f>VLOOKUP($C726,Rotation!$A$2:$J$10,9,FALSE)</f>
        <v>0</v>
      </c>
      <c r="S726" s="14">
        <f>VLOOKUP($C726,Rotation!$A$2:$J$10,10,FALSE)</f>
        <v>0</v>
      </c>
    </row>
    <row r="727" spans="1:19" ht="18">
      <c r="A727" s="14">
        <v>725</v>
      </c>
      <c r="B727" s="14" t="s">
        <v>99</v>
      </c>
      <c r="C727" s="14" t="str">
        <f>VLOOKUP(B727,Family!B:C,2,FALSE)</f>
        <v>N</v>
      </c>
      <c r="D727" s="15">
        <v>190</v>
      </c>
      <c r="E727" s="14">
        <f>ROUND(VLOOKUP(C727,'Production Plan'!A:B,2,FALSE),2)</f>
        <v>334.18</v>
      </c>
      <c r="F727" s="16">
        <v>45813</v>
      </c>
      <c r="G727" s="17">
        <f>F727+6*7</f>
        <v>45855</v>
      </c>
      <c r="H727" s="14">
        <f>G727-F727</f>
        <v>42</v>
      </c>
      <c r="I727" s="14">
        <f>ROUND(D727/E727,3)</f>
        <v>0.56899999999999995</v>
      </c>
      <c r="J727" s="14">
        <f>I727*24</f>
        <v>13.655999999999999</v>
      </c>
      <c r="K727" s="14">
        <f>VLOOKUP($C727,Rotation!$A$2:$J$10,2,FALSE)</f>
        <v>1</v>
      </c>
      <c r="L727" s="14">
        <f>VLOOKUP($C727,Rotation!$A$2:$J$10,3,FALSE)</f>
        <v>0</v>
      </c>
      <c r="M727" s="14">
        <f>VLOOKUP($C727,Rotation!$A$2:$J$10,4,FALSE)</f>
        <v>0</v>
      </c>
      <c r="N727" s="14">
        <f>VLOOKUP($C727,Rotation!$A$2:$J$10,5,FALSE)</f>
        <v>0</v>
      </c>
      <c r="O727" s="14">
        <f>VLOOKUP($C727,Rotation!$A$2:$J$10,6,FALSE)</f>
        <v>0</v>
      </c>
      <c r="P727" s="14">
        <f>VLOOKUP($C727,Rotation!$A$2:$J$10,7,FALSE)</f>
        <v>0</v>
      </c>
      <c r="Q727" s="14">
        <f>VLOOKUP($C727,Rotation!$A$2:$J$10,8,FALSE)</f>
        <v>1</v>
      </c>
      <c r="R727" s="14">
        <f>VLOOKUP($C727,Rotation!$A$2:$J$10,9,FALSE)</f>
        <v>0</v>
      </c>
      <c r="S727" s="14">
        <f>VLOOKUP($C727,Rotation!$A$2:$J$10,10,FALSE)</f>
        <v>0</v>
      </c>
    </row>
    <row r="728" spans="1:19" ht="18">
      <c r="A728" s="14">
        <v>726</v>
      </c>
      <c r="B728" s="14" t="s">
        <v>77</v>
      </c>
      <c r="C728" s="14" t="str">
        <f>VLOOKUP(B728,Family!B:C,2,FALSE)</f>
        <v>E</v>
      </c>
      <c r="D728" s="15">
        <v>18</v>
      </c>
      <c r="E728" s="14">
        <f>ROUND(VLOOKUP(C728,'Production Plan'!A:B,2,FALSE),2)</f>
        <v>333.66</v>
      </c>
      <c r="F728" s="16">
        <v>45761</v>
      </c>
      <c r="G728" s="17">
        <f>F728+6*7</f>
        <v>45803</v>
      </c>
      <c r="H728" s="14">
        <f>G728-F728</f>
        <v>42</v>
      </c>
      <c r="I728" s="14">
        <f>ROUND(D728/E728,3)</f>
        <v>5.3999999999999999E-2</v>
      </c>
      <c r="J728" s="14">
        <f>I728*24</f>
        <v>1.296</v>
      </c>
      <c r="K728" s="14">
        <f>VLOOKUP($C728,Rotation!$A$2:$J$10,2,FALSE)</f>
        <v>1</v>
      </c>
      <c r="L728" s="14">
        <f>VLOOKUP($C728,Rotation!$A$2:$J$10,3,FALSE)</f>
        <v>0</v>
      </c>
      <c r="M728" s="14">
        <f>VLOOKUP($C728,Rotation!$A$2:$J$10,4,FALSE)</f>
        <v>0</v>
      </c>
      <c r="N728" s="14">
        <f>VLOOKUP($C728,Rotation!$A$2:$J$10,5,FALSE)</f>
        <v>0</v>
      </c>
      <c r="O728" s="14">
        <f>VLOOKUP($C728,Rotation!$A$2:$J$10,6,FALSE)</f>
        <v>0</v>
      </c>
      <c r="P728" s="14">
        <f>VLOOKUP($C728,Rotation!$A$2:$J$10,7,FALSE)</f>
        <v>1</v>
      </c>
      <c r="Q728" s="14">
        <f>VLOOKUP($C728,Rotation!$A$2:$J$10,8,FALSE)</f>
        <v>0</v>
      </c>
      <c r="R728" s="14">
        <f>VLOOKUP($C728,Rotation!$A$2:$J$10,9,FALSE)</f>
        <v>0</v>
      </c>
      <c r="S728" s="14">
        <f>VLOOKUP($C728,Rotation!$A$2:$J$10,10,FALSE)</f>
        <v>0</v>
      </c>
    </row>
    <row r="729" spans="1:19" ht="18">
      <c r="A729" s="14">
        <v>727</v>
      </c>
      <c r="B729" s="14" t="s">
        <v>77</v>
      </c>
      <c r="C729" s="14" t="str">
        <f>VLOOKUP(B729,Family!B:C,2,FALSE)</f>
        <v>E</v>
      </c>
      <c r="D729" s="15">
        <v>18</v>
      </c>
      <c r="E729" s="14">
        <f>ROUND(VLOOKUP(C729,'Production Plan'!A:B,2,FALSE),2)</f>
        <v>333.66</v>
      </c>
      <c r="F729" s="16">
        <v>45769</v>
      </c>
      <c r="G729" s="17">
        <f>F729+6*7</f>
        <v>45811</v>
      </c>
      <c r="H729" s="14">
        <f>G729-F729</f>
        <v>42</v>
      </c>
      <c r="I729" s="14">
        <f>ROUND(D729/E729,3)</f>
        <v>5.3999999999999999E-2</v>
      </c>
      <c r="J729" s="14">
        <f>I729*24</f>
        <v>1.296</v>
      </c>
      <c r="K729" s="14">
        <f>VLOOKUP($C729,Rotation!$A$2:$J$10,2,FALSE)</f>
        <v>1</v>
      </c>
      <c r="L729" s="14">
        <f>VLOOKUP($C729,Rotation!$A$2:$J$10,3,FALSE)</f>
        <v>0</v>
      </c>
      <c r="M729" s="14">
        <f>VLOOKUP($C729,Rotation!$A$2:$J$10,4,FALSE)</f>
        <v>0</v>
      </c>
      <c r="N729" s="14">
        <f>VLOOKUP($C729,Rotation!$A$2:$J$10,5,FALSE)</f>
        <v>0</v>
      </c>
      <c r="O729" s="14">
        <f>VLOOKUP($C729,Rotation!$A$2:$J$10,6,FALSE)</f>
        <v>0</v>
      </c>
      <c r="P729" s="14">
        <f>VLOOKUP($C729,Rotation!$A$2:$J$10,7,FALSE)</f>
        <v>1</v>
      </c>
      <c r="Q729" s="14">
        <f>VLOOKUP($C729,Rotation!$A$2:$J$10,8,FALSE)</f>
        <v>0</v>
      </c>
      <c r="R729" s="14">
        <f>VLOOKUP($C729,Rotation!$A$2:$J$10,9,FALSE)</f>
        <v>0</v>
      </c>
      <c r="S729" s="14">
        <f>VLOOKUP($C729,Rotation!$A$2:$J$10,10,FALSE)</f>
        <v>0</v>
      </c>
    </row>
    <row r="730" spans="1:19" ht="18">
      <c r="A730" s="14">
        <v>728</v>
      </c>
      <c r="B730" s="14" t="s">
        <v>87</v>
      </c>
      <c r="C730" s="14" t="str">
        <f>VLOOKUP(B730,Family!B:C,2,FALSE)</f>
        <v>E</v>
      </c>
      <c r="D730" s="15">
        <v>18</v>
      </c>
      <c r="E730" s="14">
        <f>ROUND(VLOOKUP(C730,'Production Plan'!A:B,2,FALSE),2)</f>
        <v>333.66</v>
      </c>
      <c r="F730" s="16">
        <v>45811</v>
      </c>
      <c r="G730" s="17">
        <f>F730+6*7</f>
        <v>45853</v>
      </c>
      <c r="H730" s="14">
        <f>G730-F730</f>
        <v>42</v>
      </c>
      <c r="I730" s="14">
        <f>ROUND(D730/E730,3)</f>
        <v>5.3999999999999999E-2</v>
      </c>
      <c r="J730" s="14">
        <f>I730*24</f>
        <v>1.296</v>
      </c>
      <c r="K730" s="14">
        <f>VLOOKUP($C730,Rotation!$A$2:$J$10,2,FALSE)</f>
        <v>1</v>
      </c>
      <c r="L730" s="14">
        <f>VLOOKUP($C730,Rotation!$A$2:$J$10,3,FALSE)</f>
        <v>0</v>
      </c>
      <c r="M730" s="14">
        <f>VLOOKUP($C730,Rotation!$A$2:$J$10,4,FALSE)</f>
        <v>0</v>
      </c>
      <c r="N730" s="14">
        <f>VLOOKUP($C730,Rotation!$A$2:$J$10,5,FALSE)</f>
        <v>0</v>
      </c>
      <c r="O730" s="14">
        <f>VLOOKUP($C730,Rotation!$A$2:$J$10,6,FALSE)</f>
        <v>0</v>
      </c>
      <c r="P730" s="14">
        <f>VLOOKUP($C730,Rotation!$A$2:$J$10,7,FALSE)</f>
        <v>1</v>
      </c>
      <c r="Q730" s="14">
        <f>VLOOKUP($C730,Rotation!$A$2:$J$10,8,FALSE)</f>
        <v>0</v>
      </c>
      <c r="R730" s="14">
        <f>VLOOKUP($C730,Rotation!$A$2:$J$10,9,FALSE)</f>
        <v>0</v>
      </c>
      <c r="S730" s="14">
        <f>VLOOKUP($C730,Rotation!$A$2:$J$10,10,FALSE)</f>
        <v>0</v>
      </c>
    </row>
    <row r="731" spans="1:19" ht="18">
      <c r="A731" s="14">
        <v>729</v>
      </c>
      <c r="B731" s="14" t="s">
        <v>98</v>
      </c>
      <c r="C731" s="14" t="str">
        <f>VLOOKUP(B731,Family!B:C,2,FALSE)</f>
        <v>H</v>
      </c>
      <c r="D731" s="15">
        <v>19</v>
      </c>
      <c r="E731" s="14">
        <f>ROUND(VLOOKUP(C731,'Production Plan'!A:B,2,FALSE),2)</f>
        <v>402.02</v>
      </c>
      <c r="F731" s="16">
        <v>45706</v>
      </c>
      <c r="G731" s="17">
        <f>F731+6*7</f>
        <v>45748</v>
      </c>
      <c r="H731" s="14">
        <f>G731-F731</f>
        <v>42</v>
      </c>
      <c r="I731" s="14">
        <f>ROUND(D731/E731,3)</f>
        <v>4.7E-2</v>
      </c>
      <c r="J731" s="14">
        <f>I731*24</f>
        <v>1.1280000000000001</v>
      </c>
      <c r="K731" s="14">
        <f>VLOOKUP($C731,Rotation!$A$2:$J$10,2,FALSE)</f>
        <v>0</v>
      </c>
      <c r="L731" s="14">
        <f>VLOOKUP($C731,Rotation!$A$2:$J$10,3,FALSE)</f>
        <v>0</v>
      </c>
      <c r="M731" s="14">
        <f>VLOOKUP($C731,Rotation!$A$2:$J$10,4,FALSE)</f>
        <v>1</v>
      </c>
      <c r="N731" s="14">
        <f>VLOOKUP($C731,Rotation!$A$2:$J$10,5,FALSE)</f>
        <v>1</v>
      </c>
      <c r="O731" s="14">
        <f>VLOOKUP($C731,Rotation!$A$2:$J$10,6,FALSE)</f>
        <v>0</v>
      </c>
      <c r="P731" s="14">
        <f>VLOOKUP($C731,Rotation!$A$2:$J$10,7,FALSE)</f>
        <v>0</v>
      </c>
      <c r="Q731" s="14">
        <f>VLOOKUP($C731,Rotation!$A$2:$J$10,8,FALSE)</f>
        <v>0</v>
      </c>
      <c r="R731" s="14">
        <f>VLOOKUP($C731,Rotation!$A$2:$J$10,9,FALSE)</f>
        <v>0</v>
      </c>
      <c r="S731" s="14">
        <f>VLOOKUP($C731,Rotation!$A$2:$J$10,10,FALSE)</f>
        <v>0</v>
      </c>
    </row>
    <row r="732" spans="1:19" ht="18">
      <c r="A732" s="14">
        <v>730</v>
      </c>
      <c r="B732" s="14" t="s">
        <v>98</v>
      </c>
      <c r="C732" s="14" t="str">
        <f>VLOOKUP(B732,Family!B:C,2,FALSE)</f>
        <v>H</v>
      </c>
      <c r="D732" s="15">
        <v>19</v>
      </c>
      <c r="E732" s="14">
        <f>ROUND(VLOOKUP(C732,'Production Plan'!A:B,2,FALSE),2)</f>
        <v>402.02</v>
      </c>
      <c r="F732" s="16">
        <v>45706</v>
      </c>
      <c r="G732" s="17">
        <f>F732+6*7</f>
        <v>45748</v>
      </c>
      <c r="H732" s="14">
        <f>G732-F732</f>
        <v>42</v>
      </c>
      <c r="I732" s="14">
        <f>ROUND(D732/E732,3)</f>
        <v>4.7E-2</v>
      </c>
      <c r="J732" s="14">
        <f>I732*24</f>
        <v>1.1280000000000001</v>
      </c>
      <c r="K732" s="14">
        <f>VLOOKUP($C732,Rotation!$A$2:$J$10,2,FALSE)</f>
        <v>0</v>
      </c>
      <c r="L732" s="14">
        <f>VLOOKUP($C732,Rotation!$A$2:$J$10,3,FALSE)</f>
        <v>0</v>
      </c>
      <c r="M732" s="14">
        <f>VLOOKUP($C732,Rotation!$A$2:$J$10,4,FALSE)</f>
        <v>1</v>
      </c>
      <c r="N732" s="14">
        <f>VLOOKUP($C732,Rotation!$A$2:$J$10,5,FALSE)</f>
        <v>1</v>
      </c>
      <c r="O732" s="14">
        <f>VLOOKUP($C732,Rotation!$A$2:$J$10,6,FALSE)</f>
        <v>0</v>
      </c>
      <c r="P732" s="14">
        <f>VLOOKUP($C732,Rotation!$A$2:$J$10,7,FALSE)</f>
        <v>0</v>
      </c>
      <c r="Q732" s="14">
        <f>VLOOKUP($C732,Rotation!$A$2:$J$10,8,FALSE)</f>
        <v>0</v>
      </c>
      <c r="R732" s="14">
        <f>VLOOKUP($C732,Rotation!$A$2:$J$10,9,FALSE)</f>
        <v>0</v>
      </c>
      <c r="S732" s="14">
        <f>VLOOKUP($C732,Rotation!$A$2:$J$10,10,FALSE)</f>
        <v>0</v>
      </c>
    </row>
    <row r="733" spans="1:19" ht="18">
      <c r="A733" s="14">
        <v>731</v>
      </c>
      <c r="B733" s="14" t="s">
        <v>77</v>
      </c>
      <c r="C733" s="14" t="str">
        <f>VLOOKUP(B733,Family!B:C,2,FALSE)</f>
        <v>E</v>
      </c>
      <c r="D733" s="15">
        <v>18</v>
      </c>
      <c r="E733" s="14">
        <f>ROUND(VLOOKUP(C733,'Production Plan'!A:B,2,FALSE),2)</f>
        <v>333.66</v>
      </c>
      <c r="F733" s="16">
        <v>45769</v>
      </c>
      <c r="G733" s="17">
        <f>F733+6*7</f>
        <v>45811</v>
      </c>
      <c r="H733" s="14">
        <f>G733-F733</f>
        <v>42</v>
      </c>
      <c r="I733" s="14">
        <f>ROUND(D733/E733,3)</f>
        <v>5.3999999999999999E-2</v>
      </c>
      <c r="J733" s="14">
        <f>I733*24</f>
        <v>1.296</v>
      </c>
      <c r="K733" s="14">
        <f>VLOOKUP($C733,Rotation!$A$2:$J$10,2,FALSE)</f>
        <v>1</v>
      </c>
      <c r="L733" s="14">
        <f>VLOOKUP($C733,Rotation!$A$2:$J$10,3,FALSE)</f>
        <v>0</v>
      </c>
      <c r="M733" s="14">
        <f>VLOOKUP($C733,Rotation!$A$2:$J$10,4,FALSE)</f>
        <v>0</v>
      </c>
      <c r="N733" s="14">
        <f>VLOOKUP($C733,Rotation!$A$2:$J$10,5,FALSE)</f>
        <v>0</v>
      </c>
      <c r="O733" s="14">
        <f>VLOOKUP($C733,Rotation!$A$2:$J$10,6,FALSE)</f>
        <v>0</v>
      </c>
      <c r="P733" s="14">
        <f>VLOOKUP($C733,Rotation!$A$2:$J$10,7,FALSE)</f>
        <v>1</v>
      </c>
      <c r="Q733" s="14">
        <f>VLOOKUP($C733,Rotation!$A$2:$J$10,8,FALSE)</f>
        <v>0</v>
      </c>
      <c r="R733" s="14">
        <f>VLOOKUP($C733,Rotation!$A$2:$J$10,9,FALSE)</f>
        <v>0</v>
      </c>
      <c r="S733" s="14">
        <f>VLOOKUP($C733,Rotation!$A$2:$J$10,10,FALSE)</f>
        <v>0</v>
      </c>
    </row>
    <row r="734" spans="1:19" ht="18">
      <c r="A734" s="14">
        <v>732</v>
      </c>
      <c r="B734" s="14" t="s">
        <v>74</v>
      </c>
      <c r="C734" s="14" t="str">
        <f>VLOOKUP(B734,Family!B:C,2,FALSE)</f>
        <v>A</v>
      </c>
      <c r="D734" s="15">
        <v>209</v>
      </c>
      <c r="E734" s="14">
        <f>ROUND(VLOOKUP(C734,'Production Plan'!A:B,2,FALSE),2)</f>
        <v>407.17</v>
      </c>
      <c r="F734" s="16">
        <v>45805</v>
      </c>
      <c r="G734" s="17">
        <f>F734+6*7</f>
        <v>45847</v>
      </c>
      <c r="H734" s="14">
        <f>G734-F734</f>
        <v>42</v>
      </c>
      <c r="I734" s="14">
        <f>ROUND(D734/E734,3)</f>
        <v>0.51300000000000001</v>
      </c>
      <c r="J734" s="14">
        <f>I734*24</f>
        <v>12.312000000000001</v>
      </c>
      <c r="K734" s="14">
        <f>VLOOKUP($C734,Rotation!$A$2:$J$10,2,FALSE)</f>
        <v>1</v>
      </c>
      <c r="L734" s="14">
        <f>VLOOKUP($C734,Rotation!$A$2:$J$10,3,FALSE)</f>
        <v>1</v>
      </c>
      <c r="M734" s="14">
        <f>VLOOKUP($C734,Rotation!$A$2:$J$10,4,FALSE)</f>
        <v>1</v>
      </c>
      <c r="N734" s="14">
        <f>VLOOKUP($C734,Rotation!$A$2:$J$10,5,FALSE)</f>
        <v>0</v>
      </c>
      <c r="O734" s="14">
        <f>VLOOKUP($C734,Rotation!$A$2:$J$10,6,FALSE)</f>
        <v>0</v>
      </c>
      <c r="P734" s="14">
        <f>VLOOKUP($C734,Rotation!$A$2:$J$10,7,FALSE)</f>
        <v>0</v>
      </c>
      <c r="Q734" s="14">
        <f>VLOOKUP($C734,Rotation!$A$2:$J$10,8,FALSE)</f>
        <v>0</v>
      </c>
      <c r="R734" s="14">
        <f>VLOOKUP($C734,Rotation!$A$2:$J$10,9,FALSE)</f>
        <v>0</v>
      </c>
      <c r="S734" s="14">
        <f>VLOOKUP($C734,Rotation!$A$2:$J$10,10,FALSE)</f>
        <v>0</v>
      </c>
    </row>
    <row r="735" spans="1:19" ht="18">
      <c r="A735" s="14">
        <v>733</v>
      </c>
      <c r="B735" s="14" t="s">
        <v>65</v>
      </c>
      <c r="C735" s="14" t="str">
        <f>VLOOKUP(B735,Family!B:C,2,FALSE)</f>
        <v>A</v>
      </c>
      <c r="D735" s="15">
        <v>38</v>
      </c>
      <c r="E735" s="14">
        <f>ROUND(VLOOKUP(C735,'Production Plan'!A:B,2,FALSE),2)</f>
        <v>407.17</v>
      </c>
      <c r="F735" s="16">
        <v>45813</v>
      </c>
      <c r="G735" s="17">
        <f>F735+6*7</f>
        <v>45855</v>
      </c>
      <c r="H735" s="14">
        <f>G735-F735</f>
        <v>42</v>
      </c>
      <c r="I735" s="14">
        <f>ROUND(D735/E735,3)</f>
        <v>9.2999999999999999E-2</v>
      </c>
      <c r="J735" s="14">
        <f>I735*24</f>
        <v>2.2320000000000002</v>
      </c>
      <c r="K735" s="14">
        <f>VLOOKUP($C735,Rotation!$A$2:$J$10,2,FALSE)</f>
        <v>1</v>
      </c>
      <c r="L735" s="14">
        <f>VLOOKUP($C735,Rotation!$A$2:$J$10,3,FALSE)</f>
        <v>1</v>
      </c>
      <c r="M735" s="14">
        <f>VLOOKUP($C735,Rotation!$A$2:$J$10,4,FALSE)</f>
        <v>1</v>
      </c>
      <c r="N735" s="14">
        <f>VLOOKUP($C735,Rotation!$A$2:$J$10,5,FALSE)</f>
        <v>0</v>
      </c>
      <c r="O735" s="14">
        <f>VLOOKUP($C735,Rotation!$A$2:$J$10,6,FALSE)</f>
        <v>0</v>
      </c>
      <c r="P735" s="14">
        <f>VLOOKUP($C735,Rotation!$A$2:$J$10,7,FALSE)</f>
        <v>0</v>
      </c>
      <c r="Q735" s="14">
        <f>VLOOKUP($C735,Rotation!$A$2:$J$10,8,FALSE)</f>
        <v>0</v>
      </c>
      <c r="R735" s="14">
        <f>VLOOKUP($C735,Rotation!$A$2:$J$10,9,FALSE)</f>
        <v>0</v>
      </c>
      <c r="S735" s="14">
        <f>VLOOKUP($C735,Rotation!$A$2:$J$10,10,FALSE)</f>
        <v>0</v>
      </c>
    </row>
    <row r="736" spans="1:19" ht="18">
      <c r="A736" s="14">
        <v>734</v>
      </c>
      <c r="B736" s="14" t="s">
        <v>77</v>
      </c>
      <c r="C736" s="14" t="str">
        <f>VLOOKUP(B736,Family!B:C,2,FALSE)</f>
        <v>E</v>
      </c>
      <c r="D736" s="15">
        <v>18</v>
      </c>
      <c r="E736" s="14">
        <f>ROUND(VLOOKUP(C736,'Production Plan'!A:B,2,FALSE),2)</f>
        <v>333.66</v>
      </c>
      <c r="F736" s="16">
        <v>45769</v>
      </c>
      <c r="G736" s="17">
        <f>F736+6*7</f>
        <v>45811</v>
      </c>
      <c r="H736" s="14">
        <f>G736-F736</f>
        <v>42</v>
      </c>
      <c r="I736" s="14">
        <f>ROUND(D736/E736,3)</f>
        <v>5.3999999999999999E-2</v>
      </c>
      <c r="J736" s="14">
        <f>I736*24</f>
        <v>1.296</v>
      </c>
      <c r="K736" s="14">
        <f>VLOOKUP($C736,Rotation!$A$2:$J$10,2,FALSE)</f>
        <v>1</v>
      </c>
      <c r="L736" s="14">
        <f>VLOOKUP($C736,Rotation!$A$2:$J$10,3,FALSE)</f>
        <v>0</v>
      </c>
      <c r="M736" s="14">
        <f>VLOOKUP($C736,Rotation!$A$2:$J$10,4,FALSE)</f>
        <v>0</v>
      </c>
      <c r="N736" s="14">
        <f>VLOOKUP($C736,Rotation!$A$2:$J$10,5,FALSE)</f>
        <v>0</v>
      </c>
      <c r="O736" s="14">
        <f>VLOOKUP($C736,Rotation!$A$2:$J$10,6,FALSE)</f>
        <v>0</v>
      </c>
      <c r="P736" s="14">
        <f>VLOOKUP($C736,Rotation!$A$2:$J$10,7,FALSE)</f>
        <v>1</v>
      </c>
      <c r="Q736" s="14">
        <f>VLOOKUP($C736,Rotation!$A$2:$J$10,8,FALSE)</f>
        <v>0</v>
      </c>
      <c r="R736" s="14">
        <f>VLOOKUP($C736,Rotation!$A$2:$J$10,9,FALSE)</f>
        <v>0</v>
      </c>
      <c r="S736" s="14">
        <f>VLOOKUP($C736,Rotation!$A$2:$J$10,10,FALSE)</f>
        <v>0</v>
      </c>
    </row>
    <row r="737" spans="1:19" ht="18">
      <c r="A737" s="14">
        <v>735</v>
      </c>
      <c r="B737" s="14" t="s">
        <v>65</v>
      </c>
      <c r="C737" s="14" t="str">
        <f>VLOOKUP(B737,Family!B:C,2,FALSE)</f>
        <v>A</v>
      </c>
      <c r="D737" s="15">
        <v>57</v>
      </c>
      <c r="E737" s="14">
        <f>ROUND(VLOOKUP(C737,'Production Plan'!A:B,2,FALSE),2)</f>
        <v>407.17</v>
      </c>
      <c r="F737" s="16">
        <v>45813</v>
      </c>
      <c r="G737" s="17">
        <f>F737+6*7</f>
        <v>45855</v>
      </c>
      <c r="H737" s="14">
        <f>G737-F737</f>
        <v>42</v>
      </c>
      <c r="I737" s="14">
        <f>ROUND(D737/E737,3)</f>
        <v>0.14000000000000001</v>
      </c>
      <c r="J737" s="14">
        <f>I737*24</f>
        <v>3.3600000000000003</v>
      </c>
      <c r="K737" s="14">
        <f>VLOOKUP($C737,Rotation!$A$2:$J$10,2,FALSE)</f>
        <v>1</v>
      </c>
      <c r="L737" s="14">
        <f>VLOOKUP($C737,Rotation!$A$2:$J$10,3,FALSE)</f>
        <v>1</v>
      </c>
      <c r="M737" s="14">
        <f>VLOOKUP($C737,Rotation!$A$2:$J$10,4,FALSE)</f>
        <v>1</v>
      </c>
      <c r="N737" s="14">
        <f>VLOOKUP($C737,Rotation!$A$2:$J$10,5,FALSE)</f>
        <v>0</v>
      </c>
      <c r="O737" s="14">
        <f>VLOOKUP($C737,Rotation!$A$2:$J$10,6,FALSE)</f>
        <v>0</v>
      </c>
      <c r="P737" s="14">
        <f>VLOOKUP($C737,Rotation!$A$2:$J$10,7,FALSE)</f>
        <v>0</v>
      </c>
      <c r="Q737" s="14">
        <f>VLOOKUP($C737,Rotation!$A$2:$J$10,8,FALSE)</f>
        <v>0</v>
      </c>
      <c r="R737" s="14">
        <f>VLOOKUP($C737,Rotation!$A$2:$J$10,9,FALSE)</f>
        <v>0</v>
      </c>
      <c r="S737" s="14">
        <f>VLOOKUP($C737,Rotation!$A$2:$J$10,10,FALSE)</f>
        <v>0</v>
      </c>
    </row>
    <row r="738" spans="1:19" ht="18">
      <c r="A738" s="14">
        <v>736</v>
      </c>
      <c r="B738" s="14" t="s">
        <v>99</v>
      </c>
      <c r="C738" s="14" t="str">
        <f>VLOOKUP(B738,Family!B:C,2,FALSE)</f>
        <v>N</v>
      </c>
      <c r="D738" s="15">
        <v>19</v>
      </c>
      <c r="E738" s="14">
        <f>ROUND(VLOOKUP(C738,'Production Plan'!A:B,2,FALSE),2)</f>
        <v>334.18</v>
      </c>
      <c r="F738" s="16">
        <v>45853</v>
      </c>
      <c r="G738" s="17">
        <f>F738+6*7</f>
        <v>45895</v>
      </c>
      <c r="H738" s="14">
        <f>G738-F738</f>
        <v>42</v>
      </c>
      <c r="I738" s="14">
        <f>ROUND(D738/E738,3)</f>
        <v>5.7000000000000002E-2</v>
      </c>
      <c r="J738" s="14">
        <f>I738*24</f>
        <v>1.3680000000000001</v>
      </c>
      <c r="K738" s="14">
        <f>VLOOKUP($C738,Rotation!$A$2:$J$10,2,FALSE)</f>
        <v>1</v>
      </c>
      <c r="L738" s="14">
        <f>VLOOKUP($C738,Rotation!$A$2:$J$10,3,FALSE)</f>
        <v>0</v>
      </c>
      <c r="M738" s="14">
        <f>VLOOKUP($C738,Rotation!$A$2:$J$10,4,FALSE)</f>
        <v>0</v>
      </c>
      <c r="N738" s="14">
        <f>VLOOKUP($C738,Rotation!$A$2:$J$10,5,FALSE)</f>
        <v>0</v>
      </c>
      <c r="O738" s="14">
        <f>VLOOKUP($C738,Rotation!$A$2:$J$10,6,FALSE)</f>
        <v>0</v>
      </c>
      <c r="P738" s="14">
        <f>VLOOKUP($C738,Rotation!$A$2:$J$10,7,FALSE)</f>
        <v>0</v>
      </c>
      <c r="Q738" s="14">
        <f>VLOOKUP($C738,Rotation!$A$2:$J$10,8,FALSE)</f>
        <v>1</v>
      </c>
      <c r="R738" s="14">
        <f>VLOOKUP($C738,Rotation!$A$2:$J$10,9,FALSE)</f>
        <v>0</v>
      </c>
      <c r="S738" s="14">
        <f>VLOOKUP($C738,Rotation!$A$2:$J$10,10,FALSE)</f>
        <v>0</v>
      </c>
    </row>
    <row r="739" spans="1:19" ht="18">
      <c r="A739" s="14">
        <v>737</v>
      </c>
      <c r="B739" s="14" t="s">
        <v>99</v>
      </c>
      <c r="C739" s="14" t="str">
        <f>VLOOKUP(B739,Family!B:C,2,FALSE)</f>
        <v>N</v>
      </c>
      <c r="D739" s="15">
        <v>19</v>
      </c>
      <c r="E739" s="14">
        <f>ROUND(VLOOKUP(C739,'Production Plan'!A:B,2,FALSE),2)</f>
        <v>334.18</v>
      </c>
      <c r="F739" s="16">
        <v>45853</v>
      </c>
      <c r="G739" s="17">
        <f>F739+6*7</f>
        <v>45895</v>
      </c>
      <c r="H739" s="14">
        <f>G739-F739</f>
        <v>42</v>
      </c>
      <c r="I739" s="14">
        <f>ROUND(D739/E739,3)</f>
        <v>5.7000000000000002E-2</v>
      </c>
      <c r="J739" s="14">
        <f>I739*24</f>
        <v>1.3680000000000001</v>
      </c>
      <c r="K739" s="14">
        <f>VLOOKUP($C739,Rotation!$A$2:$J$10,2,FALSE)</f>
        <v>1</v>
      </c>
      <c r="L739" s="14">
        <f>VLOOKUP($C739,Rotation!$A$2:$J$10,3,FALSE)</f>
        <v>0</v>
      </c>
      <c r="M739" s="14">
        <f>VLOOKUP($C739,Rotation!$A$2:$J$10,4,FALSE)</f>
        <v>0</v>
      </c>
      <c r="N739" s="14">
        <f>VLOOKUP($C739,Rotation!$A$2:$J$10,5,FALSE)</f>
        <v>0</v>
      </c>
      <c r="O739" s="14">
        <f>VLOOKUP($C739,Rotation!$A$2:$J$10,6,FALSE)</f>
        <v>0</v>
      </c>
      <c r="P739" s="14">
        <f>VLOOKUP($C739,Rotation!$A$2:$J$10,7,FALSE)</f>
        <v>0</v>
      </c>
      <c r="Q739" s="14">
        <f>VLOOKUP($C739,Rotation!$A$2:$J$10,8,FALSE)</f>
        <v>1</v>
      </c>
      <c r="R739" s="14">
        <f>VLOOKUP($C739,Rotation!$A$2:$J$10,9,FALSE)</f>
        <v>0</v>
      </c>
      <c r="S739" s="14">
        <f>VLOOKUP($C739,Rotation!$A$2:$J$10,10,FALSE)</f>
        <v>0</v>
      </c>
    </row>
    <row r="740" spans="1:19" ht="18">
      <c r="A740" s="14">
        <v>738</v>
      </c>
      <c r="B740" s="14" t="s">
        <v>99</v>
      </c>
      <c r="C740" s="14" t="str">
        <f>VLOOKUP(B740,Family!B:C,2,FALSE)</f>
        <v>N</v>
      </c>
      <c r="D740" s="15">
        <v>19</v>
      </c>
      <c r="E740" s="14">
        <f>ROUND(VLOOKUP(C740,'Production Plan'!A:B,2,FALSE),2)</f>
        <v>334.18</v>
      </c>
      <c r="F740" s="16">
        <v>45853</v>
      </c>
      <c r="G740" s="17">
        <f>F740+6*7</f>
        <v>45895</v>
      </c>
      <c r="H740" s="14">
        <f>G740-F740</f>
        <v>42</v>
      </c>
      <c r="I740" s="14">
        <f>ROUND(D740/E740,3)</f>
        <v>5.7000000000000002E-2</v>
      </c>
      <c r="J740" s="14">
        <f>I740*24</f>
        <v>1.3680000000000001</v>
      </c>
      <c r="K740" s="14">
        <f>VLOOKUP($C740,Rotation!$A$2:$J$10,2,FALSE)</f>
        <v>1</v>
      </c>
      <c r="L740" s="14">
        <f>VLOOKUP($C740,Rotation!$A$2:$J$10,3,FALSE)</f>
        <v>0</v>
      </c>
      <c r="M740" s="14">
        <f>VLOOKUP($C740,Rotation!$A$2:$J$10,4,FALSE)</f>
        <v>0</v>
      </c>
      <c r="N740" s="14">
        <f>VLOOKUP($C740,Rotation!$A$2:$J$10,5,FALSE)</f>
        <v>0</v>
      </c>
      <c r="O740" s="14">
        <f>VLOOKUP($C740,Rotation!$A$2:$J$10,6,FALSE)</f>
        <v>0</v>
      </c>
      <c r="P740" s="14">
        <f>VLOOKUP($C740,Rotation!$A$2:$J$10,7,FALSE)</f>
        <v>0</v>
      </c>
      <c r="Q740" s="14">
        <f>VLOOKUP($C740,Rotation!$A$2:$J$10,8,FALSE)</f>
        <v>1</v>
      </c>
      <c r="R740" s="14">
        <f>VLOOKUP($C740,Rotation!$A$2:$J$10,9,FALSE)</f>
        <v>0</v>
      </c>
      <c r="S740" s="14">
        <f>VLOOKUP($C740,Rotation!$A$2:$J$10,10,FALSE)</f>
        <v>0</v>
      </c>
    </row>
    <row r="741" spans="1:19" ht="18">
      <c r="A741" s="14">
        <v>739</v>
      </c>
      <c r="B741" s="14" t="s">
        <v>99</v>
      </c>
      <c r="C741" s="14" t="str">
        <f>VLOOKUP(B741,Family!B:C,2,FALSE)</f>
        <v>N</v>
      </c>
      <c r="D741" s="15">
        <v>19</v>
      </c>
      <c r="E741" s="14">
        <f>ROUND(VLOOKUP(C741,'Production Plan'!A:B,2,FALSE),2)</f>
        <v>334.18</v>
      </c>
      <c r="F741" s="16">
        <v>45853</v>
      </c>
      <c r="G741" s="17">
        <f>F741+6*7</f>
        <v>45895</v>
      </c>
      <c r="H741" s="14">
        <f>G741-F741</f>
        <v>42</v>
      </c>
      <c r="I741" s="14">
        <f>ROUND(D741/E741,3)</f>
        <v>5.7000000000000002E-2</v>
      </c>
      <c r="J741" s="14">
        <f>I741*24</f>
        <v>1.3680000000000001</v>
      </c>
      <c r="K741" s="14">
        <f>VLOOKUP($C741,Rotation!$A$2:$J$10,2,FALSE)</f>
        <v>1</v>
      </c>
      <c r="L741" s="14">
        <f>VLOOKUP($C741,Rotation!$A$2:$J$10,3,FALSE)</f>
        <v>0</v>
      </c>
      <c r="M741" s="14">
        <f>VLOOKUP($C741,Rotation!$A$2:$J$10,4,FALSE)</f>
        <v>0</v>
      </c>
      <c r="N741" s="14">
        <f>VLOOKUP($C741,Rotation!$A$2:$J$10,5,FALSE)</f>
        <v>0</v>
      </c>
      <c r="O741" s="14">
        <f>VLOOKUP($C741,Rotation!$A$2:$J$10,6,FALSE)</f>
        <v>0</v>
      </c>
      <c r="P741" s="14">
        <f>VLOOKUP($C741,Rotation!$A$2:$J$10,7,FALSE)</f>
        <v>0</v>
      </c>
      <c r="Q741" s="14">
        <f>VLOOKUP($C741,Rotation!$A$2:$J$10,8,FALSE)</f>
        <v>1</v>
      </c>
      <c r="R741" s="14">
        <f>VLOOKUP($C741,Rotation!$A$2:$J$10,9,FALSE)</f>
        <v>0</v>
      </c>
      <c r="S741" s="14">
        <f>VLOOKUP($C741,Rotation!$A$2:$J$10,10,FALSE)</f>
        <v>0</v>
      </c>
    </row>
    <row r="742" spans="1:19" ht="18">
      <c r="A742" s="14">
        <v>740</v>
      </c>
      <c r="B742" s="14" t="s">
        <v>99</v>
      </c>
      <c r="C742" s="14" t="str">
        <f>VLOOKUP(B742,Family!B:C,2,FALSE)</f>
        <v>N</v>
      </c>
      <c r="D742" s="15">
        <v>19</v>
      </c>
      <c r="E742" s="14">
        <f>ROUND(VLOOKUP(C742,'Production Plan'!A:B,2,FALSE),2)</f>
        <v>334.18</v>
      </c>
      <c r="F742" s="16">
        <v>45853</v>
      </c>
      <c r="G742" s="17">
        <f>F742+6*7</f>
        <v>45895</v>
      </c>
      <c r="H742" s="14">
        <f>G742-F742</f>
        <v>42</v>
      </c>
      <c r="I742" s="14">
        <f>ROUND(D742/E742,3)</f>
        <v>5.7000000000000002E-2</v>
      </c>
      <c r="J742" s="14">
        <f>I742*24</f>
        <v>1.3680000000000001</v>
      </c>
      <c r="K742" s="14">
        <f>VLOOKUP($C742,Rotation!$A$2:$J$10,2,FALSE)</f>
        <v>1</v>
      </c>
      <c r="L742" s="14">
        <f>VLOOKUP($C742,Rotation!$A$2:$J$10,3,FALSE)</f>
        <v>0</v>
      </c>
      <c r="M742" s="14">
        <f>VLOOKUP($C742,Rotation!$A$2:$J$10,4,FALSE)</f>
        <v>0</v>
      </c>
      <c r="N742" s="14">
        <f>VLOOKUP($C742,Rotation!$A$2:$J$10,5,FALSE)</f>
        <v>0</v>
      </c>
      <c r="O742" s="14">
        <f>VLOOKUP($C742,Rotation!$A$2:$J$10,6,FALSE)</f>
        <v>0</v>
      </c>
      <c r="P742" s="14">
        <f>VLOOKUP($C742,Rotation!$A$2:$J$10,7,FALSE)</f>
        <v>0</v>
      </c>
      <c r="Q742" s="14">
        <f>VLOOKUP($C742,Rotation!$A$2:$J$10,8,FALSE)</f>
        <v>1</v>
      </c>
      <c r="R742" s="14">
        <f>VLOOKUP($C742,Rotation!$A$2:$J$10,9,FALSE)</f>
        <v>0</v>
      </c>
      <c r="S742" s="14">
        <f>VLOOKUP($C742,Rotation!$A$2:$J$10,10,FALSE)</f>
        <v>0</v>
      </c>
    </row>
    <row r="743" spans="1:19" ht="18">
      <c r="A743" s="14">
        <v>741</v>
      </c>
      <c r="B743" s="14" t="s">
        <v>99</v>
      </c>
      <c r="C743" s="14" t="str">
        <f>VLOOKUP(B743,Family!B:C,2,FALSE)</f>
        <v>N</v>
      </c>
      <c r="D743" s="15">
        <v>19</v>
      </c>
      <c r="E743" s="14">
        <f>ROUND(VLOOKUP(C743,'Production Plan'!A:B,2,FALSE),2)</f>
        <v>334.18</v>
      </c>
      <c r="F743" s="16">
        <v>45853</v>
      </c>
      <c r="G743" s="17">
        <f>F743+6*7</f>
        <v>45895</v>
      </c>
      <c r="H743" s="14">
        <f>G743-F743</f>
        <v>42</v>
      </c>
      <c r="I743" s="14">
        <f>ROUND(D743/E743,3)</f>
        <v>5.7000000000000002E-2</v>
      </c>
      <c r="J743" s="14">
        <f>I743*24</f>
        <v>1.3680000000000001</v>
      </c>
      <c r="K743" s="14">
        <f>VLOOKUP($C743,Rotation!$A$2:$J$10,2,FALSE)</f>
        <v>1</v>
      </c>
      <c r="L743" s="14">
        <f>VLOOKUP($C743,Rotation!$A$2:$J$10,3,FALSE)</f>
        <v>0</v>
      </c>
      <c r="M743" s="14">
        <f>VLOOKUP($C743,Rotation!$A$2:$J$10,4,FALSE)</f>
        <v>0</v>
      </c>
      <c r="N743" s="14">
        <f>VLOOKUP($C743,Rotation!$A$2:$J$10,5,FALSE)</f>
        <v>0</v>
      </c>
      <c r="O743" s="14">
        <f>VLOOKUP($C743,Rotation!$A$2:$J$10,6,FALSE)</f>
        <v>0</v>
      </c>
      <c r="P743" s="14">
        <f>VLOOKUP($C743,Rotation!$A$2:$J$10,7,FALSE)</f>
        <v>0</v>
      </c>
      <c r="Q743" s="14">
        <f>VLOOKUP($C743,Rotation!$A$2:$J$10,8,FALSE)</f>
        <v>1</v>
      </c>
      <c r="R743" s="14">
        <f>VLOOKUP($C743,Rotation!$A$2:$J$10,9,FALSE)</f>
        <v>0</v>
      </c>
      <c r="S743" s="14">
        <f>VLOOKUP($C743,Rotation!$A$2:$J$10,10,FALSE)</f>
        <v>0</v>
      </c>
    </row>
    <row r="744" spans="1:19" ht="18">
      <c r="A744" s="14">
        <v>742</v>
      </c>
      <c r="B744" s="14" t="s">
        <v>64</v>
      </c>
      <c r="C744" s="14" t="str">
        <f>VLOOKUP(B744,Family!B:C,2,FALSE)</f>
        <v>A</v>
      </c>
      <c r="D744" s="15">
        <v>111</v>
      </c>
      <c r="E744" s="14">
        <f>ROUND(VLOOKUP(C744,'Production Plan'!A:B,2,FALSE),2)</f>
        <v>407.17</v>
      </c>
      <c r="F744" s="16">
        <v>45831</v>
      </c>
      <c r="G744" s="17">
        <f>F744+6*7</f>
        <v>45873</v>
      </c>
      <c r="H744" s="14">
        <f>G744-F744</f>
        <v>42</v>
      </c>
      <c r="I744" s="14">
        <f>ROUND(D744/E744,3)</f>
        <v>0.27300000000000002</v>
      </c>
      <c r="J744" s="14">
        <f>I744*24</f>
        <v>6.5520000000000005</v>
      </c>
      <c r="K744" s="14">
        <f>VLOOKUP($C744,Rotation!$A$2:$J$10,2,FALSE)</f>
        <v>1</v>
      </c>
      <c r="L744" s="14">
        <f>VLOOKUP($C744,Rotation!$A$2:$J$10,3,FALSE)</f>
        <v>1</v>
      </c>
      <c r="M744" s="14">
        <f>VLOOKUP($C744,Rotation!$A$2:$J$10,4,FALSE)</f>
        <v>1</v>
      </c>
      <c r="N744" s="14">
        <f>VLOOKUP($C744,Rotation!$A$2:$J$10,5,FALSE)</f>
        <v>0</v>
      </c>
      <c r="O744" s="14">
        <f>VLOOKUP($C744,Rotation!$A$2:$J$10,6,FALSE)</f>
        <v>0</v>
      </c>
      <c r="P744" s="14">
        <f>VLOOKUP($C744,Rotation!$A$2:$J$10,7,FALSE)</f>
        <v>0</v>
      </c>
      <c r="Q744" s="14">
        <f>VLOOKUP($C744,Rotation!$A$2:$J$10,8,FALSE)</f>
        <v>0</v>
      </c>
      <c r="R744" s="14">
        <f>VLOOKUP($C744,Rotation!$A$2:$J$10,9,FALSE)</f>
        <v>0</v>
      </c>
      <c r="S744" s="14">
        <f>VLOOKUP($C744,Rotation!$A$2:$J$10,10,FALSE)</f>
        <v>0</v>
      </c>
    </row>
    <row r="745" spans="1:19" ht="18">
      <c r="A745" s="14">
        <v>743</v>
      </c>
      <c r="B745" s="14" t="s">
        <v>106</v>
      </c>
      <c r="C745" s="14" t="str">
        <f>VLOOKUP(B745,Family!B:C,2,FALSE)</f>
        <v>P</v>
      </c>
      <c r="D745" s="15">
        <v>19</v>
      </c>
      <c r="E745" s="14">
        <f>ROUND(VLOOKUP(C745,'Production Plan'!A:B,2,FALSE),2)</f>
        <v>409.15</v>
      </c>
      <c r="F745" s="16">
        <v>45809</v>
      </c>
      <c r="G745" s="17">
        <f>F745+6*7</f>
        <v>45851</v>
      </c>
      <c r="H745" s="14">
        <f>G745-F745</f>
        <v>42</v>
      </c>
      <c r="I745" s="14">
        <f>ROUND(D745/E745,3)</f>
        <v>4.5999999999999999E-2</v>
      </c>
      <c r="J745" s="14">
        <f>I745*24</f>
        <v>1.1040000000000001</v>
      </c>
      <c r="K745" s="14">
        <f>VLOOKUP($C745,Rotation!$A$2:$J$10,2,FALSE)</f>
        <v>1</v>
      </c>
      <c r="L745" s="14">
        <f>VLOOKUP($C745,Rotation!$A$2:$J$10,3,FALSE)</f>
        <v>1</v>
      </c>
      <c r="M745" s="14">
        <f>VLOOKUP($C745,Rotation!$A$2:$J$10,4,FALSE)</f>
        <v>0</v>
      </c>
      <c r="N745" s="14">
        <f>VLOOKUP($C745,Rotation!$A$2:$J$10,5,FALSE)</f>
        <v>0</v>
      </c>
      <c r="O745" s="14">
        <f>VLOOKUP($C745,Rotation!$A$2:$J$10,6,FALSE)</f>
        <v>0</v>
      </c>
      <c r="P745" s="14">
        <f>VLOOKUP($C745,Rotation!$A$2:$J$10,7,FALSE)</f>
        <v>0</v>
      </c>
      <c r="Q745" s="14">
        <f>VLOOKUP($C745,Rotation!$A$2:$J$10,8,FALSE)</f>
        <v>0</v>
      </c>
      <c r="R745" s="14">
        <f>VLOOKUP($C745,Rotation!$A$2:$J$10,9,FALSE)</f>
        <v>0</v>
      </c>
      <c r="S745" s="14">
        <f>VLOOKUP($C745,Rotation!$A$2:$J$10,10,FALSE)</f>
        <v>0</v>
      </c>
    </row>
    <row r="746" spans="1:19" ht="18">
      <c r="A746" s="14">
        <v>744</v>
      </c>
      <c r="B746" s="14" t="s">
        <v>94</v>
      </c>
      <c r="C746" s="14" t="str">
        <f>VLOOKUP(B746,Family!B:C,2,FALSE)</f>
        <v>H</v>
      </c>
      <c r="D746" s="15">
        <v>99</v>
      </c>
      <c r="E746" s="14">
        <f>ROUND(VLOOKUP(C746,'Production Plan'!A:B,2,FALSE),2)</f>
        <v>402.02</v>
      </c>
      <c r="F746" s="16">
        <v>45767</v>
      </c>
      <c r="G746" s="17">
        <f>F746+6*7</f>
        <v>45809</v>
      </c>
      <c r="H746" s="14">
        <f>G746-F746</f>
        <v>42</v>
      </c>
      <c r="I746" s="14">
        <f>ROUND(D746/E746,3)</f>
        <v>0.246</v>
      </c>
      <c r="J746" s="14">
        <f>I746*24</f>
        <v>5.9039999999999999</v>
      </c>
      <c r="K746" s="14">
        <f>VLOOKUP($C746,Rotation!$A$2:$J$10,2,FALSE)</f>
        <v>0</v>
      </c>
      <c r="L746" s="14">
        <f>VLOOKUP($C746,Rotation!$A$2:$J$10,3,FALSE)</f>
        <v>0</v>
      </c>
      <c r="M746" s="14">
        <f>VLOOKUP($C746,Rotation!$A$2:$J$10,4,FALSE)</f>
        <v>1</v>
      </c>
      <c r="N746" s="14">
        <f>VLOOKUP($C746,Rotation!$A$2:$J$10,5,FALSE)</f>
        <v>1</v>
      </c>
      <c r="O746" s="14">
        <f>VLOOKUP($C746,Rotation!$A$2:$J$10,6,FALSE)</f>
        <v>0</v>
      </c>
      <c r="P746" s="14">
        <f>VLOOKUP($C746,Rotation!$A$2:$J$10,7,FALSE)</f>
        <v>0</v>
      </c>
      <c r="Q746" s="14">
        <f>VLOOKUP($C746,Rotation!$A$2:$J$10,8,FALSE)</f>
        <v>0</v>
      </c>
      <c r="R746" s="14">
        <f>VLOOKUP($C746,Rotation!$A$2:$J$10,9,FALSE)</f>
        <v>0</v>
      </c>
      <c r="S746" s="14">
        <f>VLOOKUP($C746,Rotation!$A$2:$J$10,10,FALSE)</f>
        <v>0</v>
      </c>
    </row>
    <row r="747" spans="1:19" ht="18">
      <c r="A747" s="14">
        <v>745</v>
      </c>
      <c r="B747" s="14" t="s">
        <v>105</v>
      </c>
      <c r="C747" s="14" t="str">
        <f>VLOOKUP(B747,Family!B:C,2,FALSE)</f>
        <v>N</v>
      </c>
      <c r="D747" s="15">
        <v>215</v>
      </c>
      <c r="E747" s="14">
        <f>ROUND(VLOOKUP(C747,'Production Plan'!A:B,2,FALSE),2)</f>
        <v>334.18</v>
      </c>
      <c r="F747" s="16">
        <v>45849</v>
      </c>
      <c r="G747" s="17">
        <f>F747+6*7</f>
        <v>45891</v>
      </c>
      <c r="H747" s="14">
        <f>G747-F747</f>
        <v>42</v>
      </c>
      <c r="I747" s="14">
        <f>ROUND(D747/E747,3)</f>
        <v>0.64300000000000002</v>
      </c>
      <c r="J747" s="14">
        <f>I747*24</f>
        <v>15.432</v>
      </c>
      <c r="K747" s="14">
        <f>VLOOKUP($C747,Rotation!$A$2:$J$10,2,FALSE)</f>
        <v>1</v>
      </c>
      <c r="L747" s="14">
        <f>VLOOKUP($C747,Rotation!$A$2:$J$10,3,FALSE)</f>
        <v>0</v>
      </c>
      <c r="M747" s="14">
        <f>VLOOKUP($C747,Rotation!$A$2:$J$10,4,FALSE)</f>
        <v>0</v>
      </c>
      <c r="N747" s="14">
        <f>VLOOKUP($C747,Rotation!$A$2:$J$10,5,FALSE)</f>
        <v>0</v>
      </c>
      <c r="O747" s="14">
        <f>VLOOKUP($C747,Rotation!$A$2:$J$10,6,FALSE)</f>
        <v>0</v>
      </c>
      <c r="P747" s="14">
        <f>VLOOKUP($C747,Rotation!$A$2:$J$10,7,FALSE)</f>
        <v>0</v>
      </c>
      <c r="Q747" s="14">
        <f>VLOOKUP($C747,Rotation!$A$2:$J$10,8,FALSE)</f>
        <v>1</v>
      </c>
      <c r="R747" s="14">
        <f>VLOOKUP($C747,Rotation!$A$2:$J$10,9,FALSE)</f>
        <v>0</v>
      </c>
      <c r="S747" s="14">
        <f>VLOOKUP($C747,Rotation!$A$2:$J$10,10,FALSE)</f>
        <v>0</v>
      </c>
    </row>
    <row r="748" spans="1:19" ht="18">
      <c r="A748" s="14">
        <v>746</v>
      </c>
      <c r="B748" s="14" t="s">
        <v>93</v>
      </c>
      <c r="C748" s="14" t="str">
        <f>VLOOKUP(B748,Family!B:C,2,FALSE)</f>
        <v>F</v>
      </c>
      <c r="D748" s="15">
        <v>504</v>
      </c>
      <c r="E748" s="14">
        <f>ROUND(VLOOKUP(C748,'Production Plan'!A:B,2,FALSE),2)</f>
        <v>394.98</v>
      </c>
      <c r="F748" s="16">
        <v>45828</v>
      </c>
      <c r="G748" s="17">
        <f>F748+6*7</f>
        <v>45870</v>
      </c>
      <c r="H748" s="14">
        <f>G748-F748</f>
        <v>42</v>
      </c>
      <c r="I748" s="14">
        <f>ROUND(D748/E748,3)</f>
        <v>1.276</v>
      </c>
      <c r="J748" s="14">
        <f>I748*24</f>
        <v>30.624000000000002</v>
      </c>
      <c r="K748" s="14">
        <f>VLOOKUP($C748,Rotation!$A$2:$J$10,2,FALSE)</f>
        <v>1</v>
      </c>
      <c r="L748" s="14">
        <f>VLOOKUP($C748,Rotation!$A$2:$J$10,3,FALSE)</f>
        <v>0</v>
      </c>
      <c r="M748" s="14">
        <f>VLOOKUP($C748,Rotation!$A$2:$J$10,4,FALSE)</f>
        <v>0</v>
      </c>
      <c r="N748" s="14">
        <f>VLOOKUP($C748,Rotation!$A$2:$J$10,5,FALSE)</f>
        <v>1</v>
      </c>
      <c r="O748" s="14">
        <f>VLOOKUP($C748,Rotation!$A$2:$J$10,6,FALSE)</f>
        <v>1</v>
      </c>
      <c r="P748" s="14">
        <f>VLOOKUP($C748,Rotation!$A$2:$J$10,7,FALSE)</f>
        <v>1</v>
      </c>
      <c r="Q748" s="14">
        <f>VLOOKUP($C748,Rotation!$A$2:$J$10,8,FALSE)</f>
        <v>1</v>
      </c>
      <c r="R748" s="14">
        <f>VLOOKUP($C748,Rotation!$A$2:$J$10,9,FALSE)</f>
        <v>1</v>
      </c>
      <c r="S748" s="14">
        <f>VLOOKUP($C748,Rotation!$A$2:$J$10,10,FALSE)</f>
        <v>1</v>
      </c>
    </row>
    <row r="749" spans="1:19" ht="18">
      <c r="A749" s="14">
        <v>747</v>
      </c>
      <c r="B749" s="14" t="s">
        <v>112</v>
      </c>
      <c r="C749" s="14" t="str">
        <f>VLOOKUP(B749,Family!B:C,2,FALSE)</f>
        <v>N</v>
      </c>
      <c r="D749" s="15">
        <v>64.784999999999997</v>
      </c>
      <c r="E749" s="14">
        <f>ROUND(VLOOKUP(C749,'Production Plan'!A:B,2,FALSE),2)</f>
        <v>334.18</v>
      </c>
      <c r="F749" s="16">
        <v>45855</v>
      </c>
      <c r="G749" s="17">
        <f>F749+6*7</f>
        <v>45897</v>
      </c>
      <c r="H749" s="14">
        <f>G749-F749</f>
        <v>42</v>
      </c>
      <c r="I749" s="14">
        <f>ROUND(D749/E749,3)</f>
        <v>0.19400000000000001</v>
      </c>
      <c r="J749" s="14">
        <f>I749*24</f>
        <v>4.6560000000000006</v>
      </c>
      <c r="K749" s="14">
        <f>VLOOKUP($C749,Rotation!$A$2:$J$10,2,FALSE)</f>
        <v>1</v>
      </c>
      <c r="L749" s="14">
        <f>VLOOKUP($C749,Rotation!$A$2:$J$10,3,FALSE)</f>
        <v>0</v>
      </c>
      <c r="M749" s="14">
        <f>VLOOKUP($C749,Rotation!$A$2:$J$10,4,FALSE)</f>
        <v>0</v>
      </c>
      <c r="N749" s="14">
        <f>VLOOKUP($C749,Rotation!$A$2:$J$10,5,FALSE)</f>
        <v>0</v>
      </c>
      <c r="O749" s="14">
        <f>VLOOKUP($C749,Rotation!$A$2:$J$10,6,FALSE)</f>
        <v>0</v>
      </c>
      <c r="P749" s="14">
        <f>VLOOKUP($C749,Rotation!$A$2:$J$10,7,FALSE)</f>
        <v>0</v>
      </c>
      <c r="Q749" s="14">
        <f>VLOOKUP($C749,Rotation!$A$2:$J$10,8,FALSE)</f>
        <v>1</v>
      </c>
      <c r="R749" s="14">
        <f>VLOOKUP($C749,Rotation!$A$2:$J$10,9,FALSE)</f>
        <v>0</v>
      </c>
      <c r="S749" s="14">
        <f>VLOOKUP($C749,Rotation!$A$2:$J$10,10,FALSE)</f>
        <v>0</v>
      </c>
    </row>
    <row r="750" spans="1:19" ht="18">
      <c r="A750" s="14">
        <v>748</v>
      </c>
      <c r="B750" s="14" t="s">
        <v>101</v>
      </c>
      <c r="C750" s="14" t="str">
        <f>VLOOKUP(B750,Family!B:C,2,FALSE)</f>
        <v>H</v>
      </c>
      <c r="D750" s="15">
        <v>198</v>
      </c>
      <c r="E750" s="14">
        <f>ROUND(VLOOKUP(C750,'Production Plan'!A:B,2,FALSE),2)</f>
        <v>402.02</v>
      </c>
      <c r="F750" s="16">
        <v>45790</v>
      </c>
      <c r="G750" s="17">
        <f>F750+6*7</f>
        <v>45832</v>
      </c>
      <c r="H750" s="14">
        <f>G750-F750</f>
        <v>42</v>
      </c>
      <c r="I750" s="14">
        <f>ROUND(D750/E750,3)</f>
        <v>0.49299999999999999</v>
      </c>
      <c r="J750" s="14">
        <f>I750*24</f>
        <v>11.832000000000001</v>
      </c>
      <c r="K750" s="14">
        <f>VLOOKUP($C750,Rotation!$A$2:$J$10,2,FALSE)</f>
        <v>0</v>
      </c>
      <c r="L750" s="14">
        <f>VLOOKUP($C750,Rotation!$A$2:$J$10,3,FALSE)</f>
        <v>0</v>
      </c>
      <c r="M750" s="14">
        <f>VLOOKUP($C750,Rotation!$A$2:$J$10,4,FALSE)</f>
        <v>1</v>
      </c>
      <c r="N750" s="14">
        <f>VLOOKUP($C750,Rotation!$A$2:$J$10,5,FALSE)</f>
        <v>1</v>
      </c>
      <c r="O750" s="14">
        <f>VLOOKUP($C750,Rotation!$A$2:$J$10,6,FALSE)</f>
        <v>0</v>
      </c>
      <c r="P750" s="14">
        <f>VLOOKUP($C750,Rotation!$A$2:$J$10,7,FALSE)</f>
        <v>0</v>
      </c>
      <c r="Q750" s="14">
        <f>VLOOKUP($C750,Rotation!$A$2:$J$10,8,FALSE)</f>
        <v>0</v>
      </c>
      <c r="R750" s="14">
        <f>VLOOKUP($C750,Rotation!$A$2:$J$10,9,FALSE)</f>
        <v>0</v>
      </c>
      <c r="S750" s="14">
        <f>VLOOKUP($C750,Rotation!$A$2:$J$10,10,FALSE)</f>
        <v>0</v>
      </c>
    </row>
    <row r="751" spans="1:19" ht="18">
      <c r="A751" s="14">
        <v>749</v>
      </c>
      <c r="B751" s="14" t="s">
        <v>99</v>
      </c>
      <c r="C751" s="14" t="str">
        <f>VLOOKUP(B751,Family!B:C,2,FALSE)</f>
        <v>N</v>
      </c>
      <c r="D751" s="15">
        <v>190</v>
      </c>
      <c r="E751" s="14">
        <f>ROUND(VLOOKUP(C751,'Production Plan'!A:B,2,FALSE),2)</f>
        <v>334.18</v>
      </c>
      <c r="F751" s="16">
        <v>45813</v>
      </c>
      <c r="G751" s="17">
        <f>F751+6*7</f>
        <v>45855</v>
      </c>
      <c r="H751" s="14">
        <f>G751-F751</f>
        <v>42</v>
      </c>
      <c r="I751" s="14">
        <f>ROUND(D751/E751,3)</f>
        <v>0.56899999999999995</v>
      </c>
      <c r="J751" s="14">
        <f>I751*24</f>
        <v>13.655999999999999</v>
      </c>
      <c r="K751" s="14">
        <f>VLOOKUP($C751,Rotation!$A$2:$J$10,2,FALSE)</f>
        <v>1</v>
      </c>
      <c r="L751" s="14">
        <f>VLOOKUP($C751,Rotation!$A$2:$J$10,3,FALSE)</f>
        <v>0</v>
      </c>
      <c r="M751" s="14">
        <f>VLOOKUP($C751,Rotation!$A$2:$J$10,4,FALSE)</f>
        <v>0</v>
      </c>
      <c r="N751" s="14">
        <f>VLOOKUP($C751,Rotation!$A$2:$J$10,5,FALSE)</f>
        <v>0</v>
      </c>
      <c r="O751" s="14">
        <f>VLOOKUP($C751,Rotation!$A$2:$J$10,6,FALSE)</f>
        <v>0</v>
      </c>
      <c r="P751" s="14">
        <f>VLOOKUP($C751,Rotation!$A$2:$J$10,7,FALSE)</f>
        <v>0</v>
      </c>
      <c r="Q751" s="14">
        <f>VLOOKUP($C751,Rotation!$A$2:$J$10,8,FALSE)</f>
        <v>1</v>
      </c>
      <c r="R751" s="14">
        <f>VLOOKUP($C751,Rotation!$A$2:$J$10,9,FALSE)</f>
        <v>0</v>
      </c>
      <c r="S751" s="14">
        <f>VLOOKUP($C751,Rotation!$A$2:$J$10,10,FALSE)</f>
        <v>0</v>
      </c>
    </row>
    <row r="752" spans="1:19" ht="18">
      <c r="A752" s="14">
        <v>750</v>
      </c>
      <c r="B752" s="14" t="s">
        <v>106</v>
      </c>
      <c r="C752" s="14" t="str">
        <f>VLOOKUP(B752,Family!B:C,2,FALSE)</f>
        <v>P</v>
      </c>
      <c r="D752" s="15">
        <v>19</v>
      </c>
      <c r="E752" s="14">
        <f>ROUND(VLOOKUP(C752,'Production Plan'!A:B,2,FALSE),2)</f>
        <v>409.15</v>
      </c>
      <c r="F752" s="16">
        <v>45809</v>
      </c>
      <c r="G752" s="17">
        <f>F752+6*7</f>
        <v>45851</v>
      </c>
      <c r="H752" s="14">
        <f>G752-F752</f>
        <v>42</v>
      </c>
      <c r="I752" s="14">
        <f>ROUND(D752/E752,3)</f>
        <v>4.5999999999999999E-2</v>
      </c>
      <c r="J752" s="14">
        <f>I752*24</f>
        <v>1.1040000000000001</v>
      </c>
      <c r="K752" s="14">
        <f>VLOOKUP($C752,Rotation!$A$2:$J$10,2,FALSE)</f>
        <v>1</v>
      </c>
      <c r="L752" s="14">
        <f>VLOOKUP($C752,Rotation!$A$2:$J$10,3,FALSE)</f>
        <v>1</v>
      </c>
      <c r="M752" s="14">
        <f>VLOOKUP($C752,Rotation!$A$2:$J$10,4,FALSE)</f>
        <v>0</v>
      </c>
      <c r="N752" s="14">
        <f>VLOOKUP($C752,Rotation!$A$2:$J$10,5,FALSE)</f>
        <v>0</v>
      </c>
      <c r="O752" s="14">
        <f>VLOOKUP($C752,Rotation!$A$2:$J$10,6,FALSE)</f>
        <v>0</v>
      </c>
      <c r="P752" s="14">
        <f>VLOOKUP($C752,Rotation!$A$2:$J$10,7,FALSE)</f>
        <v>0</v>
      </c>
      <c r="Q752" s="14">
        <f>VLOOKUP($C752,Rotation!$A$2:$J$10,8,FALSE)</f>
        <v>0</v>
      </c>
      <c r="R752" s="14">
        <f>VLOOKUP($C752,Rotation!$A$2:$J$10,9,FALSE)</f>
        <v>0</v>
      </c>
      <c r="S752" s="14">
        <f>VLOOKUP($C752,Rotation!$A$2:$J$10,10,FALSE)</f>
        <v>0</v>
      </c>
    </row>
    <row r="753" spans="1:19" ht="18">
      <c r="A753" s="14">
        <v>751</v>
      </c>
      <c r="B753" s="14" t="s">
        <v>69</v>
      </c>
      <c r="C753" s="14" t="str">
        <f>VLOOKUP(B753,Family!B:C,2,FALSE)</f>
        <v>A</v>
      </c>
      <c r="D753" s="15">
        <v>19</v>
      </c>
      <c r="E753" s="14">
        <f>ROUND(VLOOKUP(C753,'Production Plan'!A:B,2,FALSE),2)</f>
        <v>407.17</v>
      </c>
      <c r="F753" s="16">
        <v>45751</v>
      </c>
      <c r="G753" s="17">
        <f>F753+6*7</f>
        <v>45793</v>
      </c>
      <c r="H753" s="14">
        <f>G753-F753</f>
        <v>42</v>
      </c>
      <c r="I753" s="14">
        <f>ROUND(D753/E753,3)</f>
        <v>4.7E-2</v>
      </c>
      <c r="J753" s="14">
        <f>I753*24</f>
        <v>1.1280000000000001</v>
      </c>
      <c r="K753" s="14">
        <f>VLOOKUP($C753,Rotation!$A$2:$J$10,2,FALSE)</f>
        <v>1</v>
      </c>
      <c r="L753" s="14">
        <f>VLOOKUP($C753,Rotation!$A$2:$J$10,3,FALSE)</f>
        <v>1</v>
      </c>
      <c r="M753" s="14">
        <f>VLOOKUP($C753,Rotation!$A$2:$J$10,4,FALSE)</f>
        <v>1</v>
      </c>
      <c r="N753" s="14">
        <f>VLOOKUP($C753,Rotation!$A$2:$J$10,5,FALSE)</f>
        <v>0</v>
      </c>
      <c r="O753" s="14">
        <f>VLOOKUP($C753,Rotation!$A$2:$J$10,6,FALSE)</f>
        <v>0</v>
      </c>
      <c r="P753" s="14">
        <f>VLOOKUP($C753,Rotation!$A$2:$J$10,7,FALSE)</f>
        <v>0</v>
      </c>
      <c r="Q753" s="14">
        <f>VLOOKUP($C753,Rotation!$A$2:$J$10,8,FALSE)</f>
        <v>0</v>
      </c>
      <c r="R753" s="14">
        <f>VLOOKUP($C753,Rotation!$A$2:$J$10,9,FALSE)</f>
        <v>0</v>
      </c>
      <c r="S753" s="14">
        <f>VLOOKUP($C753,Rotation!$A$2:$J$10,10,FALSE)</f>
        <v>0</v>
      </c>
    </row>
    <row r="754" spans="1:19" ht="18">
      <c r="A754" s="14">
        <v>752</v>
      </c>
      <c r="B754" s="14" t="s">
        <v>69</v>
      </c>
      <c r="C754" s="14" t="str">
        <f>VLOOKUP(B754,Family!B:C,2,FALSE)</f>
        <v>A</v>
      </c>
      <c r="D754" s="15">
        <v>19</v>
      </c>
      <c r="E754" s="14">
        <f>ROUND(VLOOKUP(C754,'Production Plan'!A:B,2,FALSE),2)</f>
        <v>407.17</v>
      </c>
      <c r="F754" s="16">
        <v>45751</v>
      </c>
      <c r="G754" s="17">
        <f>F754+6*7</f>
        <v>45793</v>
      </c>
      <c r="H754" s="14">
        <f>G754-F754</f>
        <v>42</v>
      </c>
      <c r="I754" s="14">
        <f>ROUND(D754/E754,3)</f>
        <v>4.7E-2</v>
      </c>
      <c r="J754" s="14">
        <f>I754*24</f>
        <v>1.1280000000000001</v>
      </c>
      <c r="K754" s="14">
        <f>VLOOKUP($C754,Rotation!$A$2:$J$10,2,FALSE)</f>
        <v>1</v>
      </c>
      <c r="L754" s="14">
        <f>VLOOKUP($C754,Rotation!$A$2:$J$10,3,FALSE)</f>
        <v>1</v>
      </c>
      <c r="M754" s="14">
        <f>VLOOKUP($C754,Rotation!$A$2:$J$10,4,FALSE)</f>
        <v>1</v>
      </c>
      <c r="N754" s="14">
        <f>VLOOKUP($C754,Rotation!$A$2:$J$10,5,FALSE)</f>
        <v>0</v>
      </c>
      <c r="O754" s="14">
        <f>VLOOKUP($C754,Rotation!$A$2:$J$10,6,FALSE)</f>
        <v>0</v>
      </c>
      <c r="P754" s="14">
        <f>VLOOKUP($C754,Rotation!$A$2:$J$10,7,FALSE)</f>
        <v>0</v>
      </c>
      <c r="Q754" s="14">
        <f>VLOOKUP($C754,Rotation!$A$2:$J$10,8,FALSE)</f>
        <v>0</v>
      </c>
      <c r="R754" s="14">
        <f>VLOOKUP($C754,Rotation!$A$2:$J$10,9,FALSE)</f>
        <v>0</v>
      </c>
      <c r="S754" s="14">
        <f>VLOOKUP($C754,Rotation!$A$2:$J$10,10,FALSE)</f>
        <v>0</v>
      </c>
    </row>
    <row r="755" spans="1:19" ht="18">
      <c r="A755" s="14">
        <v>753</v>
      </c>
      <c r="B755" s="14" t="s">
        <v>74</v>
      </c>
      <c r="C755" s="14" t="str">
        <f>VLOOKUP(B755,Family!B:C,2,FALSE)</f>
        <v>A</v>
      </c>
      <c r="D755" s="15">
        <v>171</v>
      </c>
      <c r="E755" s="14">
        <f>ROUND(VLOOKUP(C755,'Production Plan'!A:B,2,FALSE),2)</f>
        <v>407.17</v>
      </c>
      <c r="F755" s="16">
        <v>45805</v>
      </c>
      <c r="G755" s="17">
        <f>F755+6*7</f>
        <v>45847</v>
      </c>
      <c r="H755" s="14">
        <f>G755-F755</f>
        <v>42</v>
      </c>
      <c r="I755" s="14">
        <f>ROUND(D755/E755,3)</f>
        <v>0.42</v>
      </c>
      <c r="J755" s="14">
        <f>I755*24</f>
        <v>10.08</v>
      </c>
      <c r="K755" s="14">
        <f>VLOOKUP($C755,Rotation!$A$2:$J$10,2,FALSE)</f>
        <v>1</v>
      </c>
      <c r="L755" s="14">
        <f>VLOOKUP($C755,Rotation!$A$2:$J$10,3,FALSE)</f>
        <v>1</v>
      </c>
      <c r="M755" s="14">
        <f>VLOOKUP($C755,Rotation!$A$2:$J$10,4,FALSE)</f>
        <v>1</v>
      </c>
      <c r="N755" s="14">
        <f>VLOOKUP($C755,Rotation!$A$2:$J$10,5,FALSE)</f>
        <v>0</v>
      </c>
      <c r="O755" s="14">
        <f>VLOOKUP($C755,Rotation!$A$2:$J$10,6,FALSE)</f>
        <v>0</v>
      </c>
      <c r="P755" s="14">
        <f>VLOOKUP($C755,Rotation!$A$2:$J$10,7,FALSE)</f>
        <v>0</v>
      </c>
      <c r="Q755" s="14">
        <f>VLOOKUP($C755,Rotation!$A$2:$J$10,8,FALSE)</f>
        <v>0</v>
      </c>
      <c r="R755" s="14">
        <f>VLOOKUP($C755,Rotation!$A$2:$J$10,9,FALSE)</f>
        <v>0</v>
      </c>
      <c r="S755" s="14">
        <f>VLOOKUP($C755,Rotation!$A$2:$J$10,10,FALSE)</f>
        <v>0</v>
      </c>
    </row>
    <row r="756" spans="1:19" ht="18">
      <c r="A756" s="14">
        <v>754</v>
      </c>
      <c r="B756" s="14" t="s">
        <v>92</v>
      </c>
      <c r="C756" s="14" t="str">
        <f>VLOOKUP(B756,Family!B:C,2,FALSE)</f>
        <v>E</v>
      </c>
      <c r="D756" s="15">
        <v>18</v>
      </c>
      <c r="E756" s="14">
        <f>ROUND(VLOOKUP(C756,'Production Plan'!A:B,2,FALSE),2)</f>
        <v>333.66</v>
      </c>
      <c r="F756" s="16">
        <v>45828</v>
      </c>
      <c r="G756" s="17">
        <f>F756+6*7</f>
        <v>45870</v>
      </c>
      <c r="H756" s="14">
        <f>G756-F756</f>
        <v>42</v>
      </c>
      <c r="I756" s="14">
        <f>ROUND(D756/E756,3)</f>
        <v>5.3999999999999999E-2</v>
      </c>
      <c r="J756" s="14">
        <f>I756*24</f>
        <v>1.296</v>
      </c>
      <c r="K756" s="14">
        <f>VLOOKUP($C756,Rotation!$A$2:$J$10,2,FALSE)</f>
        <v>1</v>
      </c>
      <c r="L756" s="14">
        <f>VLOOKUP($C756,Rotation!$A$2:$J$10,3,FALSE)</f>
        <v>0</v>
      </c>
      <c r="M756" s="14">
        <f>VLOOKUP($C756,Rotation!$A$2:$J$10,4,FALSE)</f>
        <v>0</v>
      </c>
      <c r="N756" s="14">
        <f>VLOOKUP($C756,Rotation!$A$2:$J$10,5,FALSE)</f>
        <v>0</v>
      </c>
      <c r="O756" s="14">
        <f>VLOOKUP($C756,Rotation!$A$2:$J$10,6,FALSE)</f>
        <v>0</v>
      </c>
      <c r="P756" s="14">
        <f>VLOOKUP($C756,Rotation!$A$2:$J$10,7,FALSE)</f>
        <v>1</v>
      </c>
      <c r="Q756" s="14">
        <f>VLOOKUP($C756,Rotation!$A$2:$J$10,8,FALSE)</f>
        <v>0</v>
      </c>
      <c r="R756" s="14">
        <f>VLOOKUP($C756,Rotation!$A$2:$J$10,9,FALSE)</f>
        <v>0</v>
      </c>
      <c r="S756" s="14">
        <f>VLOOKUP($C756,Rotation!$A$2:$J$10,10,FALSE)</f>
        <v>0</v>
      </c>
    </row>
    <row r="757" spans="1:19" ht="18">
      <c r="A757" s="14">
        <v>755</v>
      </c>
      <c r="B757" s="14" t="s">
        <v>92</v>
      </c>
      <c r="C757" s="14" t="str">
        <f>VLOOKUP(B757,Family!B:C,2,FALSE)</f>
        <v>E</v>
      </c>
      <c r="D757" s="15">
        <v>18</v>
      </c>
      <c r="E757" s="14">
        <f>ROUND(VLOOKUP(C757,'Production Plan'!A:B,2,FALSE),2)</f>
        <v>333.66</v>
      </c>
      <c r="F757" s="16">
        <v>45828</v>
      </c>
      <c r="G757" s="17">
        <f>F757+6*7</f>
        <v>45870</v>
      </c>
      <c r="H757" s="14">
        <f>G757-F757</f>
        <v>42</v>
      </c>
      <c r="I757" s="14">
        <f>ROUND(D757/E757,3)</f>
        <v>5.3999999999999999E-2</v>
      </c>
      <c r="J757" s="14">
        <f>I757*24</f>
        <v>1.296</v>
      </c>
      <c r="K757" s="14">
        <f>VLOOKUP($C757,Rotation!$A$2:$J$10,2,FALSE)</f>
        <v>1</v>
      </c>
      <c r="L757" s="14">
        <f>VLOOKUP($C757,Rotation!$A$2:$J$10,3,FALSE)</f>
        <v>0</v>
      </c>
      <c r="M757" s="14">
        <f>VLOOKUP($C757,Rotation!$A$2:$J$10,4,FALSE)</f>
        <v>0</v>
      </c>
      <c r="N757" s="14">
        <f>VLOOKUP($C757,Rotation!$A$2:$J$10,5,FALSE)</f>
        <v>0</v>
      </c>
      <c r="O757" s="14">
        <f>VLOOKUP($C757,Rotation!$A$2:$J$10,6,FALSE)</f>
        <v>0</v>
      </c>
      <c r="P757" s="14">
        <f>VLOOKUP($C757,Rotation!$A$2:$J$10,7,FALSE)</f>
        <v>1</v>
      </c>
      <c r="Q757" s="14">
        <f>VLOOKUP($C757,Rotation!$A$2:$J$10,8,FALSE)</f>
        <v>0</v>
      </c>
      <c r="R757" s="14">
        <f>VLOOKUP($C757,Rotation!$A$2:$J$10,9,FALSE)</f>
        <v>0</v>
      </c>
      <c r="S757" s="14">
        <f>VLOOKUP($C757,Rotation!$A$2:$J$10,10,FALSE)</f>
        <v>0</v>
      </c>
    </row>
    <row r="758" spans="1:19" ht="18">
      <c r="A758" s="14">
        <v>756</v>
      </c>
      <c r="B758" s="14" t="s">
        <v>93</v>
      </c>
      <c r="C758" s="14" t="str">
        <f>VLOOKUP(B758,Family!B:C,2,FALSE)</f>
        <v>F</v>
      </c>
      <c r="D758" s="15">
        <v>504</v>
      </c>
      <c r="E758" s="14">
        <f>ROUND(VLOOKUP(C758,'Production Plan'!A:B,2,FALSE),2)</f>
        <v>394.98</v>
      </c>
      <c r="F758" s="16">
        <v>45828</v>
      </c>
      <c r="G758" s="17">
        <f>F758+6*7</f>
        <v>45870</v>
      </c>
      <c r="H758" s="14">
        <f>G758-F758</f>
        <v>42</v>
      </c>
      <c r="I758" s="14">
        <f>ROUND(D758/E758,3)</f>
        <v>1.276</v>
      </c>
      <c r="J758" s="14">
        <f>I758*24</f>
        <v>30.624000000000002</v>
      </c>
      <c r="K758" s="14">
        <f>VLOOKUP($C758,Rotation!$A$2:$J$10,2,FALSE)</f>
        <v>1</v>
      </c>
      <c r="L758" s="14">
        <f>VLOOKUP($C758,Rotation!$A$2:$J$10,3,FALSE)</f>
        <v>0</v>
      </c>
      <c r="M758" s="14">
        <f>VLOOKUP($C758,Rotation!$A$2:$J$10,4,FALSE)</f>
        <v>0</v>
      </c>
      <c r="N758" s="14">
        <f>VLOOKUP($C758,Rotation!$A$2:$J$10,5,FALSE)</f>
        <v>1</v>
      </c>
      <c r="O758" s="14">
        <f>VLOOKUP($C758,Rotation!$A$2:$J$10,6,FALSE)</f>
        <v>1</v>
      </c>
      <c r="P758" s="14">
        <f>VLOOKUP($C758,Rotation!$A$2:$J$10,7,FALSE)</f>
        <v>1</v>
      </c>
      <c r="Q758" s="14">
        <f>VLOOKUP($C758,Rotation!$A$2:$J$10,8,FALSE)</f>
        <v>1</v>
      </c>
      <c r="R758" s="14">
        <f>VLOOKUP($C758,Rotation!$A$2:$J$10,9,FALSE)</f>
        <v>1</v>
      </c>
      <c r="S758" s="14">
        <f>VLOOKUP($C758,Rotation!$A$2:$J$10,10,FALSE)</f>
        <v>1</v>
      </c>
    </row>
    <row r="759" spans="1:19" ht="18">
      <c r="A759" s="14">
        <v>757</v>
      </c>
      <c r="B759" s="14" t="s">
        <v>93</v>
      </c>
      <c r="C759" s="14" t="str">
        <f>VLOOKUP(B759,Family!B:C,2,FALSE)</f>
        <v>F</v>
      </c>
      <c r="D759" s="15">
        <v>504</v>
      </c>
      <c r="E759" s="14">
        <f>ROUND(VLOOKUP(C759,'Production Plan'!A:B,2,FALSE),2)</f>
        <v>394.98</v>
      </c>
      <c r="F759" s="16">
        <v>45828</v>
      </c>
      <c r="G759" s="17">
        <f>F759+6*7</f>
        <v>45870</v>
      </c>
      <c r="H759" s="14">
        <f>G759-F759</f>
        <v>42</v>
      </c>
      <c r="I759" s="14">
        <f>ROUND(D759/E759,3)</f>
        <v>1.276</v>
      </c>
      <c r="J759" s="14">
        <f>I759*24</f>
        <v>30.624000000000002</v>
      </c>
      <c r="K759" s="14">
        <f>VLOOKUP($C759,Rotation!$A$2:$J$10,2,FALSE)</f>
        <v>1</v>
      </c>
      <c r="L759" s="14">
        <f>VLOOKUP($C759,Rotation!$A$2:$J$10,3,FALSE)</f>
        <v>0</v>
      </c>
      <c r="M759" s="14">
        <f>VLOOKUP($C759,Rotation!$A$2:$J$10,4,FALSE)</f>
        <v>0</v>
      </c>
      <c r="N759" s="14">
        <f>VLOOKUP($C759,Rotation!$A$2:$J$10,5,FALSE)</f>
        <v>1</v>
      </c>
      <c r="O759" s="14">
        <f>VLOOKUP($C759,Rotation!$A$2:$J$10,6,FALSE)</f>
        <v>1</v>
      </c>
      <c r="P759" s="14">
        <f>VLOOKUP($C759,Rotation!$A$2:$J$10,7,FALSE)</f>
        <v>1</v>
      </c>
      <c r="Q759" s="14">
        <f>VLOOKUP($C759,Rotation!$A$2:$J$10,8,FALSE)</f>
        <v>1</v>
      </c>
      <c r="R759" s="14">
        <f>VLOOKUP($C759,Rotation!$A$2:$J$10,9,FALSE)</f>
        <v>1</v>
      </c>
      <c r="S759" s="14">
        <f>VLOOKUP($C759,Rotation!$A$2:$J$10,10,FALSE)</f>
        <v>1</v>
      </c>
    </row>
    <row r="760" spans="1:19" ht="18">
      <c r="A760" s="14">
        <v>758</v>
      </c>
      <c r="B760" s="14" t="s">
        <v>87</v>
      </c>
      <c r="C760" s="14" t="str">
        <f>VLOOKUP(B760,Family!B:C,2,FALSE)</f>
        <v>E</v>
      </c>
      <c r="D760" s="15">
        <v>18</v>
      </c>
      <c r="E760" s="14">
        <f>ROUND(VLOOKUP(C760,'Production Plan'!A:B,2,FALSE),2)</f>
        <v>333.66</v>
      </c>
      <c r="F760" s="16">
        <v>45831</v>
      </c>
      <c r="G760" s="17">
        <f>F760+6*7</f>
        <v>45873</v>
      </c>
      <c r="H760" s="14">
        <f>G760-F760</f>
        <v>42</v>
      </c>
      <c r="I760" s="14">
        <f>ROUND(D760/E760,3)</f>
        <v>5.3999999999999999E-2</v>
      </c>
      <c r="J760" s="14">
        <f>I760*24</f>
        <v>1.296</v>
      </c>
      <c r="K760" s="14">
        <f>VLOOKUP($C760,Rotation!$A$2:$J$10,2,FALSE)</f>
        <v>1</v>
      </c>
      <c r="L760" s="14">
        <f>VLOOKUP($C760,Rotation!$A$2:$J$10,3,FALSE)</f>
        <v>0</v>
      </c>
      <c r="M760" s="14">
        <f>VLOOKUP($C760,Rotation!$A$2:$J$10,4,FALSE)</f>
        <v>0</v>
      </c>
      <c r="N760" s="14">
        <f>VLOOKUP($C760,Rotation!$A$2:$J$10,5,FALSE)</f>
        <v>0</v>
      </c>
      <c r="O760" s="14">
        <f>VLOOKUP($C760,Rotation!$A$2:$J$10,6,FALSE)</f>
        <v>0</v>
      </c>
      <c r="P760" s="14">
        <f>VLOOKUP($C760,Rotation!$A$2:$J$10,7,FALSE)</f>
        <v>1</v>
      </c>
      <c r="Q760" s="14">
        <f>VLOOKUP($C760,Rotation!$A$2:$J$10,8,FALSE)</f>
        <v>0</v>
      </c>
      <c r="R760" s="14">
        <f>VLOOKUP($C760,Rotation!$A$2:$J$10,9,FALSE)</f>
        <v>0</v>
      </c>
      <c r="S760" s="14">
        <f>VLOOKUP($C760,Rotation!$A$2:$J$10,10,FALSE)</f>
        <v>0</v>
      </c>
    </row>
    <row r="761" spans="1:19" ht="18">
      <c r="A761" s="14">
        <v>759</v>
      </c>
      <c r="B761" s="14" t="s">
        <v>106</v>
      </c>
      <c r="C761" s="14" t="str">
        <f>VLOOKUP(B761,Family!B:C,2,FALSE)</f>
        <v>P</v>
      </c>
      <c r="D761" s="15">
        <v>19</v>
      </c>
      <c r="E761" s="14">
        <f>ROUND(VLOOKUP(C761,'Production Plan'!A:B,2,FALSE),2)</f>
        <v>409.15</v>
      </c>
      <c r="F761" s="16">
        <v>45809</v>
      </c>
      <c r="G761" s="17">
        <f>F761+6*7</f>
        <v>45851</v>
      </c>
      <c r="H761" s="14">
        <f>G761-F761</f>
        <v>42</v>
      </c>
      <c r="I761" s="14">
        <f>ROUND(D761/E761,3)</f>
        <v>4.5999999999999999E-2</v>
      </c>
      <c r="J761" s="14">
        <f>I761*24</f>
        <v>1.1040000000000001</v>
      </c>
      <c r="K761" s="14">
        <f>VLOOKUP($C761,Rotation!$A$2:$J$10,2,FALSE)</f>
        <v>1</v>
      </c>
      <c r="L761" s="14">
        <f>VLOOKUP($C761,Rotation!$A$2:$J$10,3,FALSE)</f>
        <v>1</v>
      </c>
      <c r="M761" s="14">
        <f>VLOOKUP($C761,Rotation!$A$2:$J$10,4,FALSE)</f>
        <v>0</v>
      </c>
      <c r="N761" s="14">
        <f>VLOOKUP($C761,Rotation!$A$2:$J$10,5,FALSE)</f>
        <v>0</v>
      </c>
      <c r="O761" s="14">
        <f>VLOOKUP($C761,Rotation!$A$2:$J$10,6,FALSE)</f>
        <v>0</v>
      </c>
      <c r="P761" s="14">
        <f>VLOOKUP($C761,Rotation!$A$2:$J$10,7,FALSE)</f>
        <v>0</v>
      </c>
      <c r="Q761" s="14">
        <f>VLOOKUP($C761,Rotation!$A$2:$J$10,8,FALSE)</f>
        <v>0</v>
      </c>
      <c r="R761" s="14">
        <f>VLOOKUP($C761,Rotation!$A$2:$J$10,9,FALSE)</f>
        <v>0</v>
      </c>
      <c r="S761" s="14">
        <f>VLOOKUP($C761,Rotation!$A$2:$J$10,10,FALSE)</f>
        <v>0</v>
      </c>
    </row>
    <row r="762" spans="1:19" ht="18">
      <c r="A762" s="14">
        <v>760</v>
      </c>
      <c r="B762" s="14" t="s">
        <v>69</v>
      </c>
      <c r="C762" s="14" t="str">
        <f>VLOOKUP(B762,Family!B:C,2,FALSE)</f>
        <v>A</v>
      </c>
      <c r="D762" s="15">
        <v>19</v>
      </c>
      <c r="E762" s="14">
        <f>ROUND(VLOOKUP(C762,'Production Plan'!A:B,2,FALSE),2)</f>
        <v>407.17</v>
      </c>
      <c r="F762" s="16">
        <v>45751</v>
      </c>
      <c r="G762" s="17">
        <f>F762+6*7</f>
        <v>45793</v>
      </c>
      <c r="H762" s="14">
        <f>G762-F762</f>
        <v>42</v>
      </c>
      <c r="I762" s="14">
        <f>ROUND(D762/E762,3)</f>
        <v>4.7E-2</v>
      </c>
      <c r="J762" s="14">
        <f>I762*24</f>
        <v>1.1280000000000001</v>
      </c>
      <c r="K762" s="14">
        <f>VLOOKUP($C762,Rotation!$A$2:$J$10,2,FALSE)</f>
        <v>1</v>
      </c>
      <c r="L762" s="14">
        <f>VLOOKUP($C762,Rotation!$A$2:$J$10,3,FALSE)</f>
        <v>1</v>
      </c>
      <c r="M762" s="14">
        <f>VLOOKUP($C762,Rotation!$A$2:$J$10,4,FALSE)</f>
        <v>1</v>
      </c>
      <c r="N762" s="14">
        <f>VLOOKUP($C762,Rotation!$A$2:$J$10,5,FALSE)</f>
        <v>0</v>
      </c>
      <c r="O762" s="14">
        <f>VLOOKUP($C762,Rotation!$A$2:$J$10,6,FALSE)</f>
        <v>0</v>
      </c>
      <c r="P762" s="14">
        <f>VLOOKUP($C762,Rotation!$A$2:$J$10,7,FALSE)</f>
        <v>0</v>
      </c>
      <c r="Q762" s="14">
        <f>VLOOKUP($C762,Rotation!$A$2:$J$10,8,FALSE)</f>
        <v>0</v>
      </c>
      <c r="R762" s="14">
        <f>VLOOKUP($C762,Rotation!$A$2:$J$10,9,FALSE)</f>
        <v>0</v>
      </c>
      <c r="S762" s="14">
        <f>VLOOKUP($C762,Rotation!$A$2:$J$10,10,FALSE)</f>
        <v>0</v>
      </c>
    </row>
    <row r="763" spans="1:19" ht="18">
      <c r="A763" s="14">
        <v>761</v>
      </c>
      <c r="B763" s="14" t="s">
        <v>69</v>
      </c>
      <c r="C763" s="14" t="str">
        <f>VLOOKUP(B763,Family!B:C,2,FALSE)</f>
        <v>A</v>
      </c>
      <c r="D763" s="15">
        <v>19</v>
      </c>
      <c r="E763" s="14">
        <f>ROUND(VLOOKUP(C763,'Production Plan'!A:B,2,FALSE),2)</f>
        <v>407.17</v>
      </c>
      <c r="F763" s="16">
        <v>45751</v>
      </c>
      <c r="G763" s="17">
        <f>F763+6*7</f>
        <v>45793</v>
      </c>
      <c r="H763" s="14">
        <f>G763-F763</f>
        <v>42</v>
      </c>
      <c r="I763" s="14">
        <f>ROUND(D763/E763,3)</f>
        <v>4.7E-2</v>
      </c>
      <c r="J763" s="14">
        <f>I763*24</f>
        <v>1.1280000000000001</v>
      </c>
      <c r="K763" s="14">
        <f>VLOOKUP($C763,Rotation!$A$2:$J$10,2,FALSE)</f>
        <v>1</v>
      </c>
      <c r="L763" s="14">
        <f>VLOOKUP($C763,Rotation!$A$2:$J$10,3,FALSE)</f>
        <v>1</v>
      </c>
      <c r="M763" s="14">
        <f>VLOOKUP($C763,Rotation!$A$2:$J$10,4,FALSE)</f>
        <v>1</v>
      </c>
      <c r="N763" s="14">
        <f>VLOOKUP($C763,Rotation!$A$2:$J$10,5,FALSE)</f>
        <v>0</v>
      </c>
      <c r="O763" s="14">
        <f>VLOOKUP($C763,Rotation!$A$2:$J$10,6,FALSE)</f>
        <v>0</v>
      </c>
      <c r="P763" s="14">
        <f>VLOOKUP($C763,Rotation!$A$2:$J$10,7,FALSE)</f>
        <v>0</v>
      </c>
      <c r="Q763" s="14">
        <f>VLOOKUP($C763,Rotation!$A$2:$J$10,8,FALSE)</f>
        <v>0</v>
      </c>
      <c r="R763" s="14">
        <f>VLOOKUP($C763,Rotation!$A$2:$J$10,9,FALSE)</f>
        <v>0</v>
      </c>
      <c r="S763" s="14">
        <f>VLOOKUP($C763,Rotation!$A$2:$J$10,10,FALSE)</f>
        <v>0</v>
      </c>
    </row>
    <row r="764" spans="1:19" ht="18">
      <c r="A764" s="14">
        <v>762</v>
      </c>
      <c r="B764" s="14" t="s">
        <v>77</v>
      </c>
      <c r="C764" s="14" t="str">
        <f>VLOOKUP(B764,Family!B:C,2,FALSE)</f>
        <v>E</v>
      </c>
      <c r="D764" s="15">
        <v>18</v>
      </c>
      <c r="E764" s="14">
        <f>ROUND(VLOOKUP(C764,'Production Plan'!A:B,2,FALSE),2)</f>
        <v>333.66</v>
      </c>
      <c r="F764" s="16">
        <v>45769</v>
      </c>
      <c r="G764" s="17">
        <f>F764+6*7</f>
        <v>45811</v>
      </c>
      <c r="H764" s="14">
        <f>G764-F764</f>
        <v>42</v>
      </c>
      <c r="I764" s="14">
        <f>ROUND(D764/E764,3)</f>
        <v>5.3999999999999999E-2</v>
      </c>
      <c r="J764" s="14">
        <f>I764*24</f>
        <v>1.296</v>
      </c>
      <c r="K764" s="14">
        <f>VLOOKUP($C764,Rotation!$A$2:$J$10,2,FALSE)</f>
        <v>1</v>
      </c>
      <c r="L764" s="14">
        <f>VLOOKUP($C764,Rotation!$A$2:$J$10,3,FALSE)</f>
        <v>0</v>
      </c>
      <c r="M764" s="14">
        <f>VLOOKUP($C764,Rotation!$A$2:$J$10,4,FALSE)</f>
        <v>0</v>
      </c>
      <c r="N764" s="14">
        <f>VLOOKUP($C764,Rotation!$A$2:$J$10,5,FALSE)</f>
        <v>0</v>
      </c>
      <c r="O764" s="14">
        <f>VLOOKUP($C764,Rotation!$A$2:$J$10,6,FALSE)</f>
        <v>0</v>
      </c>
      <c r="P764" s="14">
        <f>VLOOKUP($C764,Rotation!$A$2:$J$10,7,FALSE)</f>
        <v>1</v>
      </c>
      <c r="Q764" s="14">
        <f>VLOOKUP($C764,Rotation!$A$2:$J$10,8,FALSE)</f>
        <v>0</v>
      </c>
      <c r="R764" s="14">
        <f>VLOOKUP($C764,Rotation!$A$2:$J$10,9,FALSE)</f>
        <v>0</v>
      </c>
      <c r="S764" s="14">
        <f>VLOOKUP($C764,Rotation!$A$2:$J$10,10,FALSE)</f>
        <v>0</v>
      </c>
    </row>
    <row r="765" spans="1:19" ht="18">
      <c r="A765" s="14">
        <v>763</v>
      </c>
      <c r="B765" s="14" t="s">
        <v>65</v>
      </c>
      <c r="C765" s="14" t="str">
        <f>VLOOKUP(B765,Family!B:C,2,FALSE)</f>
        <v>A</v>
      </c>
      <c r="D765" s="15">
        <v>38</v>
      </c>
      <c r="E765" s="14">
        <f>ROUND(VLOOKUP(C765,'Production Plan'!A:B,2,FALSE),2)</f>
        <v>407.17</v>
      </c>
      <c r="F765" s="16">
        <v>45813</v>
      </c>
      <c r="G765" s="17">
        <f>F765+6*7</f>
        <v>45855</v>
      </c>
      <c r="H765" s="14">
        <f>G765-F765</f>
        <v>42</v>
      </c>
      <c r="I765" s="14">
        <f>ROUND(D765/E765,3)</f>
        <v>9.2999999999999999E-2</v>
      </c>
      <c r="J765" s="14">
        <f>I765*24</f>
        <v>2.2320000000000002</v>
      </c>
      <c r="K765" s="14">
        <f>VLOOKUP($C765,Rotation!$A$2:$J$10,2,FALSE)</f>
        <v>1</v>
      </c>
      <c r="L765" s="14">
        <f>VLOOKUP($C765,Rotation!$A$2:$J$10,3,FALSE)</f>
        <v>1</v>
      </c>
      <c r="M765" s="14">
        <f>VLOOKUP($C765,Rotation!$A$2:$J$10,4,FALSE)</f>
        <v>1</v>
      </c>
      <c r="N765" s="14">
        <f>VLOOKUP($C765,Rotation!$A$2:$J$10,5,FALSE)</f>
        <v>0</v>
      </c>
      <c r="O765" s="14">
        <f>VLOOKUP($C765,Rotation!$A$2:$J$10,6,FALSE)</f>
        <v>0</v>
      </c>
      <c r="P765" s="14">
        <f>VLOOKUP($C765,Rotation!$A$2:$J$10,7,FALSE)</f>
        <v>0</v>
      </c>
      <c r="Q765" s="14">
        <f>VLOOKUP($C765,Rotation!$A$2:$J$10,8,FALSE)</f>
        <v>0</v>
      </c>
      <c r="R765" s="14">
        <f>VLOOKUP($C765,Rotation!$A$2:$J$10,9,FALSE)</f>
        <v>0</v>
      </c>
      <c r="S765" s="14">
        <f>VLOOKUP($C765,Rotation!$A$2:$J$10,10,FALSE)</f>
        <v>0</v>
      </c>
    </row>
    <row r="766" spans="1:19" ht="18">
      <c r="A766" s="14">
        <v>764</v>
      </c>
      <c r="B766" s="14" t="s">
        <v>92</v>
      </c>
      <c r="C766" s="14" t="str">
        <f>VLOOKUP(B766,Family!B:C,2,FALSE)</f>
        <v>E</v>
      </c>
      <c r="D766" s="15">
        <v>18</v>
      </c>
      <c r="E766" s="14">
        <f>ROUND(VLOOKUP(C766,'Production Plan'!A:B,2,FALSE),2)</f>
        <v>333.66</v>
      </c>
      <c r="F766" s="16">
        <v>45828</v>
      </c>
      <c r="G766" s="17">
        <f>F766+6*7</f>
        <v>45870</v>
      </c>
      <c r="H766" s="14">
        <f>G766-F766</f>
        <v>42</v>
      </c>
      <c r="I766" s="14">
        <f>ROUND(D766/E766,3)</f>
        <v>5.3999999999999999E-2</v>
      </c>
      <c r="J766" s="14">
        <f>I766*24</f>
        <v>1.296</v>
      </c>
      <c r="K766" s="14">
        <f>VLOOKUP($C766,Rotation!$A$2:$J$10,2,FALSE)</f>
        <v>1</v>
      </c>
      <c r="L766" s="14">
        <f>VLOOKUP($C766,Rotation!$A$2:$J$10,3,FALSE)</f>
        <v>0</v>
      </c>
      <c r="M766" s="14">
        <f>VLOOKUP($C766,Rotation!$A$2:$J$10,4,FALSE)</f>
        <v>0</v>
      </c>
      <c r="N766" s="14">
        <f>VLOOKUP($C766,Rotation!$A$2:$J$10,5,FALSE)</f>
        <v>0</v>
      </c>
      <c r="O766" s="14">
        <f>VLOOKUP($C766,Rotation!$A$2:$J$10,6,FALSE)</f>
        <v>0</v>
      </c>
      <c r="P766" s="14">
        <f>VLOOKUP($C766,Rotation!$A$2:$J$10,7,FALSE)</f>
        <v>1</v>
      </c>
      <c r="Q766" s="14">
        <f>VLOOKUP($C766,Rotation!$A$2:$J$10,8,FALSE)</f>
        <v>0</v>
      </c>
      <c r="R766" s="14">
        <f>VLOOKUP($C766,Rotation!$A$2:$J$10,9,FALSE)</f>
        <v>0</v>
      </c>
      <c r="S766" s="14">
        <f>VLOOKUP($C766,Rotation!$A$2:$J$10,10,FALSE)</f>
        <v>0</v>
      </c>
    </row>
    <row r="767" spans="1:19" ht="18">
      <c r="A767" s="14">
        <v>765</v>
      </c>
      <c r="B767" s="14" t="s">
        <v>92</v>
      </c>
      <c r="C767" s="14" t="str">
        <f>VLOOKUP(B767,Family!B:C,2,FALSE)</f>
        <v>E</v>
      </c>
      <c r="D767" s="15">
        <v>18</v>
      </c>
      <c r="E767" s="14">
        <f>ROUND(VLOOKUP(C767,'Production Plan'!A:B,2,FALSE),2)</f>
        <v>333.66</v>
      </c>
      <c r="F767" s="16">
        <v>45828</v>
      </c>
      <c r="G767" s="17">
        <f>F767+6*7</f>
        <v>45870</v>
      </c>
      <c r="H767" s="14">
        <f>G767-F767</f>
        <v>42</v>
      </c>
      <c r="I767" s="14">
        <f>ROUND(D767/E767,3)</f>
        <v>5.3999999999999999E-2</v>
      </c>
      <c r="J767" s="14">
        <f>I767*24</f>
        <v>1.296</v>
      </c>
      <c r="K767" s="14">
        <f>VLOOKUP($C767,Rotation!$A$2:$J$10,2,FALSE)</f>
        <v>1</v>
      </c>
      <c r="L767" s="14">
        <f>VLOOKUP($C767,Rotation!$A$2:$J$10,3,FALSE)</f>
        <v>0</v>
      </c>
      <c r="M767" s="14">
        <f>VLOOKUP($C767,Rotation!$A$2:$J$10,4,FALSE)</f>
        <v>0</v>
      </c>
      <c r="N767" s="14">
        <f>VLOOKUP($C767,Rotation!$A$2:$J$10,5,FALSE)</f>
        <v>0</v>
      </c>
      <c r="O767" s="14">
        <f>VLOOKUP($C767,Rotation!$A$2:$J$10,6,FALSE)</f>
        <v>0</v>
      </c>
      <c r="P767" s="14">
        <f>VLOOKUP($C767,Rotation!$A$2:$J$10,7,FALSE)</f>
        <v>1</v>
      </c>
      <c r="Q767" s="14">
        <f>VLOOKUP($C767,Rotation!$A$2:$J$10,8,FALSE)</f>
        <v>0</v>
      </c>
      <c r="R767" s="14">
        <f>VLOOKUP($C767,Rotation!$A$2:$J$10,9,FALSE)</f>
        <v>0</v>
      </c>
      <c r="S767" s="14">
        <f>VLOOKUP($C767,Rotation!$A$2:$J$10,10,FALSE)</f>
        <v>0</v>
      </c>
    </row>
    <row r="768" spans="1:19" ht="18">
      <c r="A768" s="14">
        <v>766</v>
      </c>
      <c r="B768" s="14" t="s">
        <v>106</v>
      </c>
      <c r="C768" s="14" t="str">
        <f>VLOOKUP(B768,Family!B:C,2,FALSE)</f>
        <v>P</v>
      </c>
      <c r="D768" s="15">
        <v>19</v>
      </c>
      <c r="E768" s="14">
        <f>ROUND(VLOOKUP(C768,'Production Plan'!A:B,2,FALSE),2)</f>
        <v>409.15</v>
      </c>
      <c r="F768" s="16">
        <v>45809</v>
      </c>
      <c r="G768" s="17">
        <f>F768+6*7</f>
        <v>45851</v>
      </c>
      <c r="H768" s="14">
        <f>G768-F768</f>
        <v>42</v>
      </c>
      <c r="I768" s="14">
        <f>ROUND(D768/E768,3)</f>
        <v>4.5999999999999999E-2</v>
      </c>
      <c r="J768" s="14">
        <f>I768*24</f>
        <v>1.1040000000000001</v>
      </c>
      <c r="K768" s="14">
        <f>VLOOKUP($C768,Rotation!$A$2:$J$10,2,FALSE)</f>
        <v>1</v>
      </c>
      <c r="L768" s="14">
        <f>VLOOKUP($C768,Rotation!$A$2:$J$10,3,FALSE)</f>
        <v>1</v>
      </c>
      <c r="M768" s="14">
        <f>VLOOKUP($C768,Rotation!$A$2:$J$10,4,FALSE)</f>
        <v>0</v>
      </c>
      <c r="N768" s="14">
        <f>VLOOKUP($C768,Rotation!$A$2:$J$10,5,FALSE)</f>
        <v>0</v>
      </c>
      <c r="O768" s="14">
        <f>VLOOKUP($C768,Rotation!$A$2:$J$10,6,FALSE)</f>
        <v>0</v>
      </c>
      <c r="P768" s="14">
        <f>VLOOKUP($C768,Rotation!$A$2:$J$10,7,FALSE)</f>
        <v>0</v>
      </c>
      <c r="Q768" s="14">
        <f>VLOOKUP($C768,Rotation!$A$2:$J$10,8,FALSE)</f>
        <v>0</v>
      </c>
      <c r="R768" s="14">
        <f>VLOOKUP($C768,Rotation!$A$2:$J$10,9,FALSE)</f>
        <v>0</v>
      </c>
      <c r="S768" s="14">
        <f>VLOOKUP($C768,Rotation!$A$2:$J$10,10,FALSE)</f>
        <v>0</v>
      </c>
    </row>
    <row r="769" spans="1:19" ht="18">
      <c r="A769" s="14">
        <v>767</v>
      </c>
      <c r="B769" s="14" t="s">
        <v>111</v>
      </c>
      <c r="C769" s="14" t="str">
        <f>VLOOKUP(B769,Family!B:C,2,FALSE)</f>
        <v>N</v>
      </c>
      <c r="D769" s="15">
        <v>67</v>
      </c>
      <c r="E769" s="14">
        <f>ROUND(VLOOKUP(C769,'Production Plan'!A:B,2,FALSE),2)</f>
        <v>334.18</v>
      </c>
      <c r="F769" s="16">
        <v>45776</v>
      </c>
      <c r="G769" s="17">
        <f>F769+6*7</f>
        <v>45818</v>
      </c>
      <c r="H769" s="14">
        <f>G769-F769</f>
        <v>42</v>
      </c>
      <c r="I769" s="14">
        <f>ROUND(D769/E769,3)</f>
        <v>0.2</v>
      </c>
      <c r="J769" s="14">
        <f>I769*24</f>
        <v>4.8000000000000007</v>
      </c>
      <c r="K769" s="14">
        <f>VLOOKUP($C769,Rotation!$A$2:$J$10,2,FALSE)</f>
        <v>1</v>
      </c>
      <c r="L769" s="14">
        <f>VLOOKUP($C769,Rotation!$A$2:$J$10,3,FALSE)</f>
        <v>0</v>
      </c>
      <c r="M769" s="14">
        <f>VLOOKUP($C769,Rotation!$A$2:$J$10,4,FALSE)</f>
        <v>0</v>
      </c>
      <c r="N769" s="14">
        <f>VLOOKUP($C769,Rotation!$A$2:$J$10,5,FALSE)</f>
        <v>0</v>
      </c>
      <c r="O769" s="14">
        <f>VLOOKUP($C769,Rotation!$A$2:$J$10,6,FALSE)</f>
        <v>0</v>
      </c>
      <c r="P769" s="14">
        <f>VLOOKUP($C769,Rotation!$A$2:$J$10,7,FALSE)</f>
        <v>0</v>
      </c>
      <c r="Q769" s="14">
        <f>VLOOKUP($C769,Rotation!$A$2:$J$10,8,FALSE)</f>
        <v>1</v>
      </c>
      <c r="R769" s="14">
        <f>VLOOKUP($C769,Rotation!$A$2:$J$10,9,FALSE)</f>
        <v>0</v>
      </c>
      <c r="S769" s="14">
        <f>VLOOKUP($C769,Rotation!$A$2:$J$10,10,FALSE)</f>
        <v>0</v>
      </c>
    </row>
    <row r="770" spans="1:19" ht="18">
      <c r="A770" s="14">
        <v>768</v>
      </c>
      <c r="B770" s="14" t="s">
        <v>111</v>
      </c>
      <c r="C770" s="14" t="str">
        <f>VLOOKUP(B770,Family!B:C,2,FALSE)</f>
        <v>N</v>
      </c>
      <c r="D770" s="15">
        <v>67</v>
      </c>
      <c r="E770" s="14">
        <f>ROUND(VLOOKUP(C770,'Production Plan'!A:B,2,FALSE),2)</f>
        <v>334.18</v>
      </c>
      <c r="F770" s="16">
        <v>45800</v>
      </c>
      <c r="G770" s="17">
        <f>F770+6*7</f>
        <v>45842</v>
      </c>
      <c r="H770" s="14">
        <f>G770-F770</f>
        <v>42</v>
      </c>
      <c r="I770" s="14">
        <f>ROUND(D770/E770,3)</f>
        <v>0.2</v>
      </c>
      <c r="J770" s="14">
        <f>I770*24</f>
        <v>4.8000000000000007</v>
      </c>
      <c r="K770" s="14">
        <f>VLOOKUP($C770,Rotation!$A$2:$J$10,2,FALSE)</f>
        <v>1</v>
      </c>
      <c r="L770" s="14">
        <f>VLOOKUP($C770,Rotation!$A$2:$J$10,3,FALSE)</f>
        <v>0</v>
      </c>
      <c r="M770" s="14">
        <f>VLOOKUP($C770,Rotation!$A$2:$J$10,4,FALSE)</f>
        <v>0</v>
      </c>
      <c r="N770" s="14">
        <f>VLOOKUP($C770,Rotation!$A$2:$J$10,5,FALSE)</f>
        <v>0</v>
      </c>
      <c r="O770" s="14">
        <f>VLOOKUP($C770,Rotation!$A$2:$J$10,6,FALSE)</f>
        <v>0</v>
      </c>
      <c r="P770" s="14">
        <f>VLOOKUP($C770,Rotation!$A$2:$J$10,7,FALSE)</f>
        <v>0</v>
      </c>
      <c r="Q770" s="14">
        <f>VLOOKUP($C770,Rotation!$A$2:$J$10,8,FALSE)</f>
        <v>1</v>
      </c>
      <c r="R770" s="14">
        <f>VLOOKUP($C770,Rotation!$A$2:$J$10,9,FALSE)</f>
        <v>0</v>
      </c>
      <c r="S770" s="14">
        <f>VLOOKUP($C770,Rotation!$A$2:$J$10,10,FALSE)</f>
        <v>0</v>
      </c>
    </row>
    <row r="771" spans="1:19" ht="18">
      <c r="A771" s="14">
        <v>769</v>
      </c>
      <c r="B771" s="14" t="s">
        <v>69</v>
      </c>
      <c r="C771" s="14" t="str">
        <f>VLOOKUP(B771,Family!B:C,2,FALSE)</f>
        <v>A</v>
      </c>
      <c r="D771" s="15">
        <v>19</v>
      </c>
      <c r="E771" s="14">
        <f>ROUND(VLOOKUP(C771,'Production Plan'!A:B,2,FALSE),2)</f>
        <v>407.17</v>
      </c>
      <c r="F771" s="16">
        <v>45751</v>
      </c>
      <c r="G771" s="17">
        <f>F771+6*7</f>
        <v>45793</v>
      </c>
      <c r="H771" s="14">
        <f>G771-F771</f>
        <v>42</v>
      </c>
      <c r="I771" s="14">
        <f>ROUND(D771/E771,3)</f>
        <v>4.7E-2</v>
      </c>
      <c r="J771" s="14">
        <f>I771*24</f>
        <v>1.1280000000000001</v>
      </c>
      <c r="K771" s="14">
        <f>VLOOKUP($C771,Rotation!$A$2:$J$10,2,FALSE)</f>
        <v>1</v>
      </c>
      <c r="L771" s="14">
        <f>VLOOKUP($C771,Rotation!$A$2:$J$10,3,FALSE)</f>
        <v>1</v>
      </c>
      <c r="M771" s="14">
        <f>VLOOKUP($C771,Rotation!$A$2:$J$10,4,FALSE)</f>
        <v>1</v>
      </c>
      <c r="N771" s="14">
        <f>VLOOKUP($C771,Rotation!$A$2:$J$10,5,FALSE)</f>
        <v>0</v>
      </c>
      <c r="O771" s="14">
        <f>VLOOKUP($C771,Rotation!$A$2:$J$10,6,FALSE)</f>
        <v>0</v>
      </c>
      <c r="P771" s="14">
        <f>VLOOKUP($C771,Rotation!$A$2:$J$10,7,FALSE)</f>
        <v>0</v>
      </c>
      <c r="Q771" s="14">
        <f>VLOOKUP($C771,Rotation!$A$2:$J$10,8,FALSE)</f>
        <v>0</v>
      </c>
      <c r="R771" s="14">
        <f>VLOOKUP($C771,Rotation!$A$2:$J$10,9,FALSE)</f>
        <v>0</v>
      </c>
      <c r="S771" s="14">
        <f>VLOOKUP($C771,Rotation!$A$2:$J$10,10,FALSE)</f>
        <v>0</v>
      </c>
    </row>
    <row r="772" spans="1:19" ht="18">
      <c r="A772" s="14">
        <v>770</v>
      </c>
      <c r="B772" s="14" t="s">
        <v>69</v>
      </c>
      <c r="C772" s="14" t="str">
        <f>VLOOKUP(B772,Family!B:C,2,FALSE)</f>
        <v>A</v>
      </c>
      <c r="D772" s="15">
        <v>19</v>
      </c>
      <c r="E772" s="14">
        <f>ROUND(VLOOKUP(C772,'Production Plan'!A:B,2,FALSE),2)</f>
        <v>407.17</v>
      </c>
      <c r="F772" s="16">
        <v>45751</v>
      </c>
      <c r="G772" s="17">
        <f>F772+6*7</f>
        <v>45793</v>
      </c>
      <c r="H772" s="14">
        <f>G772-F772</f>
        <v>42</v>
      </c>
      <c r="I772" s="14">
        <f>ROUND(D772/E772,3)</f>
        <v>4.7E-2</v>
      </c>
      <c r="J772" s="14">
        <f>I772*24</f>
        <v>1.1280000000000001</v>
      </c>
      <c r="K772" s="14">
        <f>VLOOKUP($C772,Rotation!$A$2:$J$10,2,FALSE)</f>
        <v>1</v>
      </c>
      <c r="L772" s="14">
        <f>VLOOKUP($C772,Rotation!$A$2:$J$10,3,FALSE)</f>
        <v>1</v>
      </c>
      <c r="M772" s="14">
        <f>VLOOKUP($C772,Rotation!$A$2:$J$10,4,FALSE)</f>
        <v>1</v>
      </c>
      <c r="N772" s="14">
        <f>VLOOKUP($C772,Rotation!$A$2:$J$10,5,FALSE)</f>
        <v>0</v>
      </c>
      <c r="O772" s="14">
        <f>VLOOKUP($C772,Rotation!$A$2:$J$10,6,FALSE)</f>
        <v>0</v>
      </c>
      <c r="P772" s="14">
        <f>VLOOKUP($C772,Rotation!$A$2:$J$10,7,FALSE)</f>
        <v>0</v>
      </c>
      <c r="Q772" s="14">
        <f>VLOOKUP($C772,Rotation!$A$2:$J$10,8,FALSE)</f>
        <v>0</v>
      </c>
      <c r="R772" s="14">
        <f>VLOOKUP($C772,Rotation!$A$2:$J$10,9,FALSE)</f>
        <v>0</v>
      </c>
      <c r="S772" s="14">
        <f>VLOOKUP($C772,Rotation!$A$2:$J$10,10,FALSE)</f>
        <v>0</v>
      </c>
    </row>
    <row r="773" spans="1:19" ht="18">
      <c r="A773" s="14">
        <v>771</v>
      </c>
      <c r="B773" s="14" t="s">
        <v>108</v>
      </c>
      <c r="C773" s="14" t="str">
        <f>VLOOKUP(B773,Family!B:C,2,FALSE)</f>
        <v>P</v>
      </c>
      <c r="D773" s="15">
        <v>54</v>
      </c>
      <c r="E773" s="14">
        <f>ROUND(VLOOKUP(C773,'Production Plan'!A:B,2,FALSE),2)</f>
        <v>409.15</v>
      </c>
      <c r="F773" s="16">
        <v>45799</v>
      </c>
      <c r="G773" s="17">
        <f>F773+6*7</f>
        <v>45841</v>
      </c>
      <c r="H773" s="14">
        <f>G773-F773</f>
        <v>42</v>
      </c>
      <c r="I773" s="14">
        <f>ROUND(D773/E773,3)</f>
        <v>0.13200000000000001</v>
      </c>
      <c r="J773" s="14">
        <f>I773*24</f>
        <v>3.1680000000000001</v>
      </c>
      <c r="K773" s="14">
        <f>VLOOKUP($C773,Rotation!$A$2:$J$10,2,FALSE)</f>
        <v>1</v>
      </c>
      <c r="L773" s="14">
        <f>VLOOKUP($C773,Rotation!$A$2:$J$10,3,FALSE)</f>
        <v>1</v>
      </c>
      <c r="M773" s="14">
        <f>VLOOKUP($C773,Rotation!$A$2:$J$10,4,FALSE)</f>
        <v>0</v>
      </c>
      <c r="N773" s="14">
        <f>VLOOKUP($C773,Rotation!$A$2:$J$10,5,FALSE)</f>
        <v>0</v>
      </c>
      <c r="O773" s="14">
        <f>VLOOKUP($C773,Rotation!$A$2:$J$10,6,FALSE)</f>
        <v>0</v>
      </c>
      <c r="P773" s="14">
        <f>VLOOKUP($C773,Rotation!$A$2:$J$10,7,FALSE)</f>
        <v>0</v>
      </c>
      <c r="Q773" s="14">
        <f>VLOOKUP($C773,Rotation!$A$2:$J$10,8,FALSE)</f>
        <v>0</v>
      </c>
      <c r="R773" s="14">
        <f>VLOOKUP($C773,Rotation!$A$2:$J$10,9,FALSE)</f>
        <v>0</v>
      </c>
      <c r="S773" s="14">
        <f>VLOOKUP($C773,Rotation!$A$2:$J$10,10,FALSE)</f>
        <v>0</v>
      </c>
    </row>
    <row r="774" spans="1:19" ht="18">
      <c r="A774" s="14">
        <v>772</v>
      </c>
      <c r="B774" s="14" t="s">
        <v>108</v>
      </c>
      <c r="C774" s="14" t="str">
        <f>VLOOKUP(B774,Family!B:C,2,FALSE)</f>
        <v>P</v>
      </c>
      <c r="D774" s="15">
        <v>54</v>
      </c>
      <c r="E774" s="14">
        <f>ROUND(VLOOKUP(C774,'Production Plan'!A:B,2,FALSE),2)</f>
        <v>409.15</v>
      </c>
      <c r="F774" s="16">
        <v>45799</v>
      </c>
      <c r="G774" s="17">
        <f>F774+6*7</f>
        <v>45841</v>
      </c>
      <c r="H774" s="14">
        <f>G774-F774</f>
        <v>42</v>
      </c>
      <c r="I774" s="14">
        <f>ROUND(D774/E774,3)</f>
        <v>0.13200000000000001</v>
      </c>
      <c r="J774" s="14">
        <f>I774*24</f>
        <v>3.1680000000000001</v>
      </c>
      <c r="K774" s="14">
        <f>VLOOKUP($C774,Rotation!$A$2:$J$10,2,FALSE)</f>
        <v>1</v>
      </c>
      <c r="L774" s="14">
        <f>VLOOKUP($C774,Rotation!$A$2:$J$10,3,FALSE)</f>
        <v>1</v>
      </c>
      <c r="M774" s="14">
        <f>VLOOKUP($C774,Rotation!$A$2:$J$10,4,FALSE)</f>
        <v>0</v>
      </c>
      <c r="N774" s="14">
        <f>VLOOKUP($C774,Rotation!$A$2:$J$10,5,FALSE)</f>
        <v>0</v>
      </c>
      <c r="O774" s="14">
        <f>VLOOKUP($C774,Rotation!$A$2:$J$10,6,FALSE)</f>
        <v>0</v>
      </c>
      <c r="P774" s="14">
        <f>VLOOKUP($C774,Rotation!$A$2:$J$10,7,FALSE)</f>
        <v>0</v>
      </c>
      <c r="Q774" s="14">
        <f>VLOOKUP($C774,Rotation!$A$2:$J$10,8,FALSE)</f>
        <v>0</v>
      </c>
      <c r="R774" s="14">
        <f>VLOOKUP($C774,Rotation!$A$2:$J$10,9,FALSE)</f>
        <v>0</v>
      </c>
      <c r="S774" s="14">
        <f>VLOOKUP($C774,Rotation!$A$2:$J$10,10,FALSE)</f>
        <v>0</v>
      </c>
    </row>
    <row r="775" spans="1:19" ht="18">
      <c r="A775" s="14">
        <v>773</v>
      </c>
      <c r="B775" s="14" t="s">
        <v>108</v>
      </c>
      <c r="C775" s="14" t="str">
        <f>VLOOKUP(B775,Family!B:C,2,FALSE)</f>
        <v>P</v>
      </c>
      <c r="D775" s="15">
        <v>54</v>
      </c>
      <c r="E775" s="14">
        <f>ROUND(VLOOKUP(C775,'Production Plan'!A:B,2,FALSE),2)</f>
        <v>409.15</v>
      </c>
      <c r="F775" s="16">
        <v>45799</v>
      </c>
      <c r="G775" s="17">
        <f>F775+6*7</f>
        <v>45841</v>
      </c>
      <c r="H775" s="14">
        <f>G775-F775</f>
        <v>42</v>
      </c>
      <c r="I775" s="14">
        <f>ROUND(D775/E775,3)</f>
        <v>0.13200000000000001</v>
      </c>
      <c r="J775" s="14">
        <f>I775*24</f>
        <v>3.1680000000000001</v>
      </c>
      <c r="K775" s="14">
        <f>VLOOKUP($C775,Rotation!$A$2:$J$10,2,FALSE)</f>
        <v>1</v>
      </c>
      <c r="L775" s="14">
        <f>VLOOKUP($C775,Rotation!$A$2:$J$10,3,FALSE)</f>
        <v>1</v>
      </c>
      <c r="M775" s="14">
        <f>VLOOKUP($C775,Rotation!$A$2:$J$10,4,FALSE)</f>
        <v>0</v>
      </c>
      <c r="N775" s="14">
        <f>VLOOKUP($C775,Rotation!$A$2:$J$10,5,FALSE)</f>
        <v>0</v>
      </c>
      <c r="O775" s="14">
        <f>VLOOKUP($C775,Rotation!$A$2:$J$10,6,FALSE)</f>
        <v>0</v>
      </c>
      <c r="P775" s="14">
        <f>VLOOKUP($C775,Rotation!$A$2:$J$10,7,FALSE)</f>
        <v>0</v>
      </c>
      <c r="Q775" s="14">
        <f>VLOOKUP($C775,Rotation!$A$2:$J$10,8,FALSE)</f>
        <v>0</v>
      </c>
      <c r="R775" s="14">
        <f>VLOOKUP($C775,Rotation!$A$2:$J$10,9,FALSE)</f>
        <v>0</v>
      </c>
      <c r="S775" s="14">
        <f>VLOOKUP($C775,Rotation!$A$2:$J$10,10,FALSE)</f>
        <v>0</v>
      </c>
    </row>
    <row r="776" spans="1:19" ht="18">
      <c r="A776" s="14">
        <v>774</v>
      </c>
      <c r="B776" s="14" t="s">
        <v>108</v>
      </c>
      <c r="C776" s="14" t="str">
        <f>VLOOKUP(B776,Family!B:C,2,FALSE)</f>
        <v>P</v>
      </c>
      <c r="D776" s="15">
        <v>54</v>
      </c>
      <c r="E776" s="14">
        <f>ROUND(VLOOKUP(C776,'Production Plan'!A:B,2,FALSE),2)</f>
        <v>409.15</v>
      </c>
      <c r="F776" s="16">
        <v>45799</v>
      </c>
      <c r="G776" s="17">
        <f>F776+6*7</f>
        <v>45841</v>
      </c>
      <c r="H776" s="14">
        <f>G776-F776</f>
        <v>42</v>
      </c>
      <c r="I776" s="14">
        <f>ROUND(D776/E776,3)</f>
        <v>0.13200000000000001</v>
      </c>
      <c r="J776" s="14">
        <f>I776*24</f>
        <v>3.1680000000000001</v>
      </c>
      <c r="K776" s="14">
        <f>VLOOKUP($C776,Rotation!$A$2:$J$10,2,FALSE)</f>
        <v>1</v>
      </c>
      <c r="L776" s="14">
        <f>VLOOKUP($C776,Rotation!$A$2:$J$10,3,FALSE)</f>
        <v>1</v>
      </c>
      <c r="M776" s="14">
        <f>VLOOKUP($C776,Rotation!$A$2:$J$10,4,FALSE)</f>
        <v>0</v>
      </c>
      <c r="N776" s="14">
        <f>VLOOKUP($C776,Rotation!$A$2:$J$10,5,FALSE)</f>
        <v>0</v>
      </c>
      <c r="O776" s="14">
        <f>VLOOKUP($C776,Rotation!$A$2:$J$10,6,FALSE)</f>
        <v>0</v>
      </c>
      <c r="P776" s="14">
        <f>VLOOKUP($C776,Rotation!$A$2:$J$10,7,FALSE)</f>
        <v>0</v>
      </c>
      <c r="Q776" s="14">
        <f>VLOOKUP($C776,Rotation!$A$2:$J$10,8,FALSE)</f>
        <v>0</v>
      </c>
      <c r="R776" s="14">
        <f>VLOOKUP($C776,Rotation!$A$2:$J$10,9,FALSE)</f>
        <v>0</v>
      </c>
      <c r="S776" s="14">
        <f>VLOOKUP($C776,Rotation!$A$2:$J$10,10,FALSE)</f>
        <v>0</v>
      </c>
    </row>
    <row r="777" spans="1:19" ht="18">
      <c r="A777" s="14">
        <v>775</v>
      </c>
      <c r="B777" s="14" t="s">
        <v>108</v>
      </c>
      <c r="C777" s="14" t="str">
        <f>VLOOKUP(B777,Family!B:C,2,FALSE)</f>
        <v>P</v>
      </c>
      <c r="D777" s="15">
        <v>54</v>
      </c>
      <c r="E777" s="14">
        <f>ROUND(VLOOKUP(C777,'Production Plan'!A:B,2,FALSE),2)</f>
        <v>409.15</v>
      </c>
      <c r="F777" s="16">
        <v>45799</v>
      </c>
      <c r="G777" s="17">
        <f>F777+6*7</f>
        <v>45841</v>
      </c>
      <c r="H777" s="14">
        <f>G777-F777</f>
        <v>42</v>
      </c>
      <c r="I777" s="14">
        <f>ROUND(D777/E777,3)</f>
        <v>0.13200000000000001</v>
      </c>
      <c r="J777" s="14">
        <f>I777*24</f>
        <v>3.1680000000000001</v>
      </c>
      <c r="K777" s="14">
        <f>VLOOKUP($C777,Rotation!$A$2:$J$10,2,FALSE)</f>
        <v>1</v>
      </c>
      <c r="L777" s="14">
        <f>VLOOKUP($C777,Rotation!$A$2:$J$10,3,FALSE)</f>
        <v>1</v>
      </c>
      <c r="M777" s="14">
        <f>VLOOKUP($C777,Rotation!$A$2:$J$10,4,FALSE)</f>
        <v>0</v>
      </c>
      <c r="N777" s="14">
        <f>VLOOKUP($C777,Rotation!$A$2:$J$10,5,FALSE)</f>
        <v>0</v>
      </c>
      <c r="O777" s="14">
        <f>VLOOKUP($C777,Rotation!$A$2:$J$10,6,FALSE)</f>
        <v>0</v>
      </c>
      <c r="P777" s="14">
        <f>VLOOKUP($C777,Rotation!$A$2:$J$10,7,FALSE)</f>
        <v>0</v>
      </c>
      <c r="Q777" s="14">
        <f>VLOOKUP($C777,Rotation!$A$2:$J$10,8,FALSE)</f>
        <v>0</v>
      </c>
      <c r="R777" s="14">
        <f>VLOOKUP($C777,Rotation!$A$2:$J$10,9,FALSE)</f>
        <v>0</v>
      </c>
      <c r="S777" s="14">
        <f>VLOOKUP($C777,Rotation!$A$2:$J$10,10,FALSE)</f>
        <v>0</v>
      </c>
    </row>
    <row r="778" spans="1:19" ht="18">
      <c r="A778" s="14">
        <v>776</v>
      </c>
      <c r="B778" s="14" t="s">
        <v>108</v>
      </c>
      <c r="C778" s="14" t="str">
        <f>VLOOKUP(B778,Family!B:C,2,FALSE)</f>
        <v>P</v>
      </c>
      <c r="D778" s="15">
        <v>54</v>
      </c>
      <c r="E778" s="14">
        <f>ROUND(VLOOKUP(C778,'Production Plan'!A:B,2,FALSE),2)</f>
        <v>409.15</v>
      </c>
      <c r="F778" s="16">
        <v>45799</v>
      </c>
      <c r="G778" s="17">
        <f>F778+6*7</f>
        <v>45841</v>
      </c>
      <c r="H778" s="14">
        <f>G778-F778</f>
        <v>42</v>
      </c>
      <c r="I778" s="14">
        <f>ROUND(D778/E778,3)</f>
        <v>0.13200000000000001</v>
      </c>
      <c r="J778" s="14">
        <f>I778*24</f>
        <v>3.1680000000000001</v>
      </c>
      <c r="K778" s="14">
        <f>VLOOKUP($C778,Rotation!$A$2:$J$10,2,FALSE)</f>
        <v>1</v>
      </c>
      <c r="L778" s="14">
        <f>VLOOKUP($C778,Rotation!$A$2:$J$10,3,FALSE)</f>
        <v>1</v>
      </c>
      <c r="M778" s="14">
        <f>VLOOKUP($C778,Rotation!$A$2:$J$10,4,FALSE)</f>
        <v>0</v>
      </c>
      <c r="N778" s="14">
        <f>VLOOKUP($C778,Rotation!$A$2:$J$10,5,FALSE)</f>
        <v>0</v>
      </c>
      <c r="O778" s="14">
        <f>VLOOKUP($C778,Rotation!$A$2:$J$10,6,FALSE)</f>
        <v>0</v>
      </c>
      <c r="P778" s="14">
        <f>VLOOKUP($C778,Rotation!$A$2:$J$10,7,FALSE)</f>
        <v>0</v>
      </c>
      <c r="Q778" s="14">
        <f>VLOOKUP($C778,Rotation!$A$2:$J$10,8,FALSE)</f>
        <v>0</v>
      </c>
      <c r="R778" s="14">
        <f>VLOOKUP($C778,Rotation!$A$2:$J$10,9,FALSE)</f>
        <v>0</v>
      </c>
      <c r="S778" s="14">
        <f>VLOOKUP($C778,Rotation!$A$2:$J$10,10,FALSE)</f>
        <v>0</v>
      </c>
    </row>
    <row r="779" spans="1:19" ht="18">
      <c r="A779" s="14">
        <v>777</v>
      </c>
      <c r="B779" s="14" t="s">
        <v>65</v>
      </c>
      <c r="C779" s="14" t="str">
        <f>VLOOKUP(B779,Family!B:C,2,FALSE)</f>
        <v>A</v>
      </c>
      <c r="D779" s="15">
        <v>57</v>
      </c>
      <c r="E779" s="14">
        <f>ROUND(VLOOKUP(C779,'Production Plan'!A:B,2,FALSE),2)</f>
        <v>407.17</v>
      </c>
      <c r="F779" s="16">
        <v>45813</v>
      </c>
      <c r="G779" s="17">
        <f>F779+6*7</f>
        <v>45855</v>
      </c>
      <c r="H779" s="14">
        <f>G779-F779</f>
        <v>42</v>
      </c>
      <c r="I779" s="14">
        <f>ROUND(D779/E779,3)</f>
        <v>0.14000000000000001</v>
      </c>
      <c r="J779" s="14">
        <f>I779*24</f>
        <v>3.3600000000000003</v>
      </c>
      <c r="K779" s="14">
        <f>VLOOKUP($C779,Rotation!$A$2:$J$10,2,FALSE)</f>
        <v>1</v>
      </c>
      <c r="L779" s="14">
        <f>VLOOKUP($C779,Rotation!$A$2:$J$10,3,FALSE)</f>
        <v>1</v>
      </c>
      <c r="M779" s="14">
        <f>VLOOKUP($C779,Rotation!$A$2:$J$10,4,FALSE)</f>
        <v>1</v>
      </c>
      <c r="N779" s="14">
        <f>VLOOKUP($C779,Rotation!$A$2:$J$10,5,FALSE)</f>
        <v>0</v>
      </c>
      <c r="O779" s="14">
        <f>VLOOKUP($C779,Rotation!$A$2:$J$10,6,FALSE)</f>
        <v>0</v>
      </c>
      <c r="P779" s="14">
        <f>VLOOKUP($C779,Rotation!$A$2:$J$10,7,FALSE)</f>
        <v>0</v>
      </c>
      <c r="Q779" s="14">
        <f>VLOOKUP($C779,Rotation!$A$2:$J$10,8,FALSE)</f>
        <v>0</v>
      </c>
      <c r="R779" s="14">
        <f>VLOOKUP($C779,Rotation!$A$2:$J$10,9,FALSE)</f>
        <v>0</v>
      </c>
      <c r="S779" s="14">
        <f>VLOOKUP($C779,Rotation!$A$2:$J$10,10,FALSE)</f>
        <v>0</v>
      </c>
    </row>
    <row r="780" spans="1:19" ht="18">
      <c r="A780" s="14">
        <v>778</v>
      </c>
      <c r="B780" s="14" t="s">
        <v>112</v>
      </c>
      <c r="C780" s="14" t="str">
        <f>VLOOKUP(B780,Family!B:C,2,FALSE)</f>
        <v>N</v>
      </c>
      <c r="D780" s="15">
        <v>64.876000000000005</v>
      </c>
      <c r="E780" s="14">
        <f>ROUND(VLOOKUP(C780,'Production Plan'!A:B,2,FALSE),2)</f>
        <v>334.18</v>
      </c>
      <c r="F780" s="16">
        <v>45854</v>
      </c>
      <c r="G780" s="17">
        <f>F780+6*7</f>
        <v>45896</v>
      </c>
      <c r="H780" s="14">
        <f>G780-F780</f>
        <v>42</v>
      </c>
      <c r="I780" s="14">
        <f>ROUND(D780/E780,3)</f>
        <v>0.19400000000000001</v>
      </c>
      <c r="J780" s="14">
        <f>I780*24</f>
        <v>4.6560000000000006</v>
      </c>
      <c r="K780" s="14">
        <f>VLOOKUP($C780,Rotation!$A$2:$J$10,2,FALSE)</f>
        <v>1</v>
      </c>
      <c r="L780" s="14">
        <f>VLOOKUP($C780,Rotation!$A$2:$J$10,3,FALSE)</f>
        <v>0</v>
      </c>
      <c r="M780" s="14">
        <f>VLOOKUP($C780,Rotation!$A$2:$J$10,4,FALSE)</f>
        <v>0</v>
      </c>
      <c r="N780" s="14">
        <f>VLOOKUP($C780,Rotation!$A$2:$J$10,5,FALSE)</f>
        <v>0</v>
      </c>
      <c r="O780" s="14">
        <f>VLOOKUP($C780,Rotation!$A$2:$J$10,6,FALSE)</f>
        <v>0</v>
      </c>
      <c r="P780" s="14">
        <f>VLOOKUP($C780,Rotation!$A$2:$J$10,7,FALSE)</f>
        <v>0</v>
      </c>
      <c r="Q780" s="14">
        <f>VLOOKUP($C780,Rotation!$A$2:$J$10,8,FALSE)</f>
        <v>1</v>
      </c>
      <c r="R780" s="14">
        <f>VLOOKUP($C780,Rotation!$A$2:$J$10,9,FALSE)</f>
        <v>0</v>
      </c>
      <c r="S780" s="14">
        <f>VLOOKUP($C780,Rotation!$A$2:$J$10,10,FALSE)</f>
        <v>0</v>
      </c>
    </row>
    <row r="781" spans="1:19" ht="18">
      <c r="A781" s="14">
        <v>779</v>
      </c>
      <c r="B781" s="14" t="s">
        <v>98</v>
      </c>
      <c r="C781" s="14" t="str">
        <f>VLOOKUP(B781,Family!B:C,2,FALSE)</f>
        <v>H</v>
      </c>
      <c r="D781" s="15">
        <v>19</v>
      </c>
      <c r="E781" s="14">
        <f>ROUND(VLOOKUP(C781,'Production Plan'!A:B,2,FALSE),2)</f>
        <v>402.02</v>
      </c>
      <c r="F781" s="16">
        <v>45706</v>
      </c>
      <c r="G781" s="17">
        <f>F781+6*7</f>
        <v>45748</v>
      </c>
      <c r="H781" s="14">
        <f>G781-F781</f>
        <v>42</v>
      </c>
      <c r="I781" s="14">
        <f>ROUND(D781/E781,3)</f>
        <v>4.7E-2</v>
      </c>
      <c r="J781" s="14">
        <f>I781*24</f>
        <v>1.1280000000000001</v>
      </c>
      <c r="K781" s="14">
        <f>VLOOKUP($C781,Rotation!$A$2:$J$10,2,FALSE)</f>
        <v>0</v>
      </c>
      <c r="L781" s="14">
        <f>VLOOKUP($C781,Rotation!$A$2:$J$10,3,FALSE)</f>
        <v>0</v>
      </c>
      <c r="M781" s="14">
        <f>VLOOKUP($C781,Rotation!$A$2:$J$10,4,FALSE)</f>
        <v>1</v>
      </c>
      <c r="N781" s="14">
        <f>VLOOKUP($C781,Rotation!$A$2:$J$10,5,FALSE)</f>
        <v>1</v>
      </c>
      <c r="O781" s="14">
        <f>VLOOKUP($C781,Rotation!$A$2:$J$10,6,FALSE)</f>
        <v>0</v>
      </c>
      <c r="P781" s="14">
        <f>VLOOKUP($C781,Rotation!$A$2:$J$10,7,FALSE)</f>
        <v>0</v>
      </c>
      <c r="Q781" s="14">
        <f>VLOOKUP($C781,Rotation!$A$2:$J$10,8,FALSE)</f>
        <v>0</v>
      </c>
      <c r="R781" s="14">
        <f>VLOOKUP($C781,Rotation!$A$2:$J$10,9,FALSE)</f>
        <v>0</v>
      </c>
      <c r="S781" s="14">
        <f>VLOOKUP($C781,Rotation!$A$2:$J$10,10,FALSE)</f>
        <v>0</v>
      </c>
    </row>
    <row r="782" spans="1:19" ht="18">
      <c r="A782" s="14">
        <v>780</v>
      </c>
      <c r="B782" s="14" t="s">
        <v>98</v>
      </c>
      <c r="C782" s="14" t="str">
        <f>VLOOKUP(B782,Family!B:C,2,FALSE)</f>
        <v>H</v>
      </c>
      <c r="D782" s="15">
        <v>19</v>
      </c>
      <c r="E782" s="14">
        <f>ROUND(VLOOKUP(C782,'Production Plan'!A:B,2,FALSE),2)</f>
        <v>402.02</v>
      </c>
      <c r="F782" s="16">
        <v>45706</v>
      </c>
      <c r="G782" s="17">
        <f>F782+6*7</f>
        <v>45748</v>
      </c>
      <c r="H782" s="14">
        <f>G782-F782</f>
        <v>42</v>
      </c>
      <c r="I782" s="14">
        <f>ROUND(D782/E782,3)</f>
        <v>4.7E-2</v>
      </c>
      <c r="J782" s="14">
        <f>I782*24</f>
        <v>1.1280000000000001</v>
      </c>
      <c r="K782" s="14">
        <f>VLOOKUP($C782,Rotation!$A$2:$J$10,2,FALSE)</f>
        <v>0</v>
      </c>
      <c r="L782" s="14">
        <f>VLOOKUP($C782,Rotation!$A$2:$J$10,3,FALSE)</f>
        <v>0</v>
      </c>
      <c r="M782" s="14">
        <f>VLOOKUP($C782,Rotation!$A$2:$J$10,4,FALSE)</f>
        <v>1</v>
      </c>
      <c r="N782" s="14">
        <f>VLOOKUP($C782,Rotation!$A$2:$J$10,5,FALSE)</f>
        <v>1</v>
      </c>
      <c r="O782" s="14">
        <f>VLOOKUP($C782,Rotation!$A$2:$J$10,6,FALSE)</f>
        <v>0</v>
      </c>
      <c r="P782" s="14">
        <f>VLOOKUP($C782,Rotation!$A$2:$J$10,7,FALSE)</f>
        <v>0</v>
      </c>
      <c r="Q782" s="14">
        <f>VLOOKUP($C782,Rotation!$A$2:$J$10,8,FALSE)</f>
        <v>0</v>
      </c>
      <c r="R782" s="14">
        <f>VLOOKUP($C782,Rotation!$A$2:$J$10,9,FALSE)</f>
        <v>0</v>
      </c>
      <c r="S782" s="14">
        <f>VLOOKUP($C782,Rotation!$A$2:$J$10,10,FALSE)</f>
        <v>0</v>
      </c>
    </row>
    <row r="783" spans="1:19" ht="18">
      <c r="A783" s="14">
        <v>781</v>
      </c>
      <c r="B783" s="14" t="s">
        <v>77</v>
      </c>
      <c r="C783" s="14" t="str">
        <f>VLOOKUP(B783,Family!B:C,2,FALSE)</f>
        <v>E</v>
      </c>
      <c r="D783" s="15">
        <v>18</v>
      </c>
      <c r="E783" s="14">
        <f>ROUND(VLOOKUP(C783,'Production Plan'!A:B,2,FALSE),2)</f>
        <v>333.66</v>
      </c>
      <c r="F783" s="16">
        <v>45769</v>
      </c>
      <c r="G783" s="17">
        <f>F783+6*7</f>
        <v>45811</v>
      </c>
      <c r="H783" s="14">
        <f>G783-F783</f>
        <v>42</v>
      </c>
      <c r="I783" s="14">
        <f>ROUND(D783/E783,3)</f>
        <v>5.3999999999999999E-2</v>
      </c>
      <c r="J783" s="14">
        <f>I783*24</f>
        <v>1.296</v>
      </c>
      <c r="K783" s="14">
        <f>VLOOKUP($C783,Rotation!$A$2:$J$10,2,FALSE)</f>
        <v>1</v>
      </c>
      <c r="L783" s="14">
        <f>VLOOKUP($C783,Rotation!$A$2:$J$10,3,FALSE)</f>
        <v>0</v>
      </c>
      <c r="M783" s="14">
        <f>VLOOKUP($C783,Rotation!$A$2:$J$10,4,FALSE)</f>
        <v>0</v>
      </c>
      <c r="N783" s="14">
        <f>VLOOKUP($C783,Rotation!$A$2:$J$10,5,FALSE)</f>
        <v>0</v>
      </c>
      <c r="O783" s="14">
        <f>VLOOKUP($C783,Rotation!$A$2:$J$10,6,FALSE)</f>
        <v>0</v>
      </c>
      <c r="P783" s="14">
        <f>VLOOKUP($C783,Rotation!$A$2:$J$10,7,FALSE)</f>
        <v>1</v>
      </c>
      <c r="Q783" s="14">
        <f>VLOOKUP($C783,Rotation!$A$2:$J$10,8,FALSE)</f>
        <v>0</v>
      </c>
      <c r="R783" s="14">
        <f>VLOOKUP($C783,Rotation!$A$2:$J$10,9,FALSE)</f>
        <v>0</v>
      </c>
      <c r="S783" s="14">
        <f>VLOOKUP($C783,Rotation!$A$2:$J$10,10,FALSE)</f>
        <v>0</v>
      </c>
    </row>
    <row r="784" spans="1:19" ht="18">
      <c r="A784" s="14">
        <v>782</v>
      </c>
      <c r="B784" s="14" t="s">
        <v>92</v>
      </c>
      <c r="C784" s="14" t="str">
        <f>VLOOKUP(B784,Family!B:C,2,FALSE)</f>
        <v>E</v>
      </c>
      <c r="D784" s="15">
        <v>18</v>
      </c>
      <c r="E784" s="14">
        <f>ROUND(VLOOKUP(C784,'Production Plan'!A:B,2,FALSE),2)</f>
        <v>333.66</v>
      </c>
      <c r="F784" s="16">
        <v>45828</v>
      </c>
      <c r="G784" s="17">
        <f>F784+6*7</f>
        <v>45870</v>
      </c>
      <c r="H784" s="14">
        <f>G784-F784</f>
        <v>42</v>
      </c>
      <c r="I784" s="14">
        <f>ROUND(D784/E784,3)</f>
        <v>5.3999999999999999E-2</v>
      </c>
      <c r="J784" s="14">
        <f>I784*24</f>
        <v>1.296</v>
      </c>
      <c r="K784" s="14">
        <f>VLOOKUP($C784,Rotation!$A$2:$J$10,2,FALSE)</f>
        <v>1</v>
      </c>
      <c r="L784" s="14">
        <f>VLOOKUP($C784,Rotation!$A$2:$J$10,3,FALSE)</f>
        <v>0</v>
      </c>
      <c r="M784" s="14">
        <f>VLOOKUP($C784,Rotation!$A$2:$J$10,4,FALSE)</f>
        <v>0</v>
      </c>
      <c r="N784" s="14">
        <f>VLOOKUP($C784,Rotation!$A$2:$J$10,5,FALSE)</f>
        <v>0</v>
      </c>
      <c r="O784" s="14">
        <f>VLOOKUP($C784,Rotation!$A$2:$J$10,6,FALSE)</f>
        <v>0</v>
      </c>
      <c r="P784" s="14">
        <f>VLOOKUP($C784,Rotation!$A$2:$J$10,7,FALSE)</f>
        <v>1</v>
      </c>
      <c r="Q784" s="14">
        <f>VLOOKUP($C784,Rotation!$A$2:$J$10,8,FALSE)</f>
        <v>0</v>
      </c>
      <c r="R784" s="14">
        <f>VLOOKUP($C784,Rotation!$A$2:$J$10,9,FALSE)</f>
        <v>0</v>
      </c>
      <c r="S784" s="14">
        <f>VLOOKUP($C784,Rotation!$A$2:$J$10,10,FALSE)</f>
        <v>0</v>
      </c>
    </row>
    <row r="785" spans="1:19" ht="18">
      <c r="A785" s="14">
        <v>783</v>
      </c>
      <c r="B785" s="14" t="s">
        <v>112</v>
      </c>
      <c r="C785" s="14" t="str">
        <f>VLOOKUP(B785,Family!B:C,2,FALSE)</f>
        <v>N</v>
      </c>
      <c r="D785" s="15">
        <v>65.16</v>
      </c>
      <c r="E785" s="14">
        <f>ROUND(VLOOKUP(C785,'Production Plan'!A:B,2,FALSE),2)</f>
        <v>334.18</v>
      </c>
      <c r="F785" s="16">
        <v>45854</v>
      </c>
      <c r="G785" s="17">
        <f>F785+6*7</f>
        <v>45896</v>
      </c>
      <c r="H785" s="14">
        <f>G785-F785</f>
        <v>42</v>
      </c>
      <c r="I785" s="14">
        <f>ROUND(D785/E785,3)</f>
        <v>0.19500000000000001</v>
      </c>
      <c r="J785" s="14">
        <f>I785*24</f>
        <v>4.68</v>
      </c>
      <c r="K785" s="14">
        <f>VLOOKUP($C785,Rotation!$A$2:$J$10,2,FALSE)</f>
        <v>1</v>
      </c>
      <c r="L785" s="14">
        <f>VLOOKUP($C785,Rotation!$A$2:$J$10,3,FALSE)</f>
        <v>0</v>
      </c>
      <c r="M785" s="14">
        <f>VLOOKUP($C785,Rotation!$A$2:$J$10,4,FALSE)</f>
        <v>0</v>
      </c>
      <c r="N785" s="14">
        <f>VLOOKUP($C785,Rotation!$A$2:$J$10,5,FALSE)</f>
        <v>0</v>
      </c>
      <c r="O785" s="14">
        <f>VLOOKUP($C785,Rotation!$A$2:$J$10,6,FALSE)</f>
        <v>0</v>
      </c>
      <c r="P785" s="14">
        <f>VLOOKUP($C785,Rotation!$A$2:$J$10,7,FALSE)</f>
        <v>0</v>
      </c>
      <c r="Q785" s="14">
        <f>VLOOKUP($C785,Rotation!$A$2:$J$10,8,FALSE)</f>
        <v>1</v>
      </c>
      <c r="R785" s="14">
        <f>VLOOKUP($C785,Rotation!$A$2:$J$10,9,FALSE)</f>
        <v>0</v>
      </c>
      <c r="S785" s="14">
        <f>VLOOKUP($C785,Rotation!$A$2:$J$10,10,FALSE)</f>
        <v>0</v>
      </c>
    </row>
    <row r="786" spans="1:19" ht="18">
      <c r="A786" s="14">
        <v>784</v>
      </c>
      <c r="B786" s="14" t="s">
        <v>66</v>
      </c>
      <c r="C786" s="14" t="str">
        <f>VLOOKUP(B786,Family!B:C,2,FALSE)</f>
        <v>A</v>
      </c>
      <c r="D786" s="15">
        <v>117</v>
      </c>
      <c r="E786" s="14">
        <f>ROUND(VLOOKUP(C786,'Production Plan'!A:B,2,FALSE),2)</f>
        <v>407.17</v>
      </c>
      <c r="F786" s="16">
        <v>45862</v>
      </c>
      <c r="G786" s="17">
        <f>F786+6*7</f>
        <v>45904</v>
      </c>
      <c r="H786" s="14">
        <f>G786-F786</f>
        <v>42</v>
      </c>
      <c r="I786" s="14">
        <f>ROUND(D786/E786,3)</f>
        <v>0.28699999999999998</v>
      </c>
      <c r="J786" s="14">
        <f>I786*24</f>
        <v>6.8879999999999999</v>
      </c>
      <c r="K786" s="14">
        <f>VLOOKUP($C786,Rotation!$A$2:$J$10,2,FALSE)</f>
        <v>1</v>
      </c>
      <c r="L786" s="14">
        <f>VLOOKUP($C786,Rotation!$A$2:$J$10,3,FALSE)</f>
        <v>1</v>
      </c>
      <c r="M786" s="14">
        <f>VLOOKUP($C786,Rotation!$A$2:$J$10,4,FALSE)</f>
        <v>1</v>
      </c>
      <c r="N786" s="14">
        <f>VLOOKUP($C786,Rotation!$A$2:$J$10,5,FALSE)</f>
        <v>0</v>
      </c>
      <c r="O786" s="14">
        <f>VLOOKUP($C786,Rotation!$A$2:$J$10,6,FALSE)</f>
        <v>0</v>
      </c>
      <c r="P786" s="14">
        <f>VLOOKUP($C786,Rotation!$A$2:$J$10,7,FALSE)</f>
        <v>0</v>
      </c>
      <c r="Q786" s="14">
        <f>VLOOKUP($C786,Rotation!$A$2:$J$10,8,FALSE)</f>
        <v>0</v>
      </c>
      <c r="R786" s="14">
        <f>VLOOKUP($C786,Rotation!$A$2:$J$10,9,FALSE)</f>
        <v>0</v>
      </c>
      <c r="S786" s="14">
        <f>VLOOKUP($C786,Rotation!$A$2:$J$10,10,FALSE)</f>
        <v>0</v>
      </c>
    </row>
    <row r="787" spans="1:19" ht="18">
      <c r="A787" s="14">
        <v>785</v>
      </c>
      <c r="B787" s="14" t="s">
        <v>108</v>
      </c>
      <c r="C787" s="14" t="str">
        <f>VLOOKUP(B787,Family!B:C,2,FALSE)</f>
        <v>P</v>
      </c>
      <c r="D787" s="15">
        <v>108</v>
      </c>
      <c r="E787" s="14">
        <f>ROUND(VLOOKUP(C787,'Production Plan'!A:B,2,FALSE),2)</f>
        <v>409.15</v>
      </c>
      <c r="F787" s="16">
        <v>45862</v>
      </c>
      <c r="G787" s="17">
        <f>F787+6*7</f>
        <v>45904</v>
      </c>
      <c r="H787" s="14">
        <f>G787-F787</f>
        <v>42</v>
      </c>
      <c r="I787" s="14">
        <f>ROUND(D787/E787,3)</f>
        <v>0.26400000000000001</v>
      </c>
      <c r="J787" s="14">
        <f>I787*24</f>
        <v>6.3360000000000003</v>
      </c>
      <c r="K787" s="14">
        <f>VLOOKUP($C787,Rotation!$A$2:$J$10,2,FALSE)</f>
        <v>1</v>
      </c>
      <c r="L787" s="14">
        <f>VLOOKUP($C787,Rotation!$A$2:$J$10,3,FALSE)</f>
        <v>1</v>
      </c>
      <c r="M787" s="14">
        <f>VLOOKUP($C787,Rotation!$A$2:$J$10,4,FALSE)</f>
        <v>0</v>
      </c>
      <c r="N787" s="14">
        <f>VLOOKUP($C787,Rotation!$A$2:$J$10,5,FALSE)</f>
        <v>0</v>
      </c>
      <c r="O787" s="14">
        <f>VLOOKUP($C787,Rotation!$A$2:$J$10,6,FALSE)</f>
        <v>0</v>
      </c>
      <c r="P787" s="14">
        <f>VLOOKUP($C787,Rotation!$A$2:$J$10,7,FALSE)</f>
        <v>0</v>
      </c>
      <c r="Q787" s="14">
        <f>VLOOKUP($C787,Rotation!$A$2:$J$10,8,FALSE)</f>
        <v>0</v>
      </c>
      <c r="R787" s="14">
        <f>VLOOKUP($C787,Rotation!$A$2:$J$10,9,FALSE)</f>
        <v>0</v>
      </c>
      <c r="S787" s="14">
        <f>VLOOKUP($C787,Rotation!$A$2:$J$10,10,FALSE)</f>
        <v>0</v>
      </c>
    </row>
    <row r="788" spans="1:19" ht="18">
      <c r="A788" s="14">
        <v>786</v>
      </c>
      <c r="B788" s="14" t="s">
        <v>93</v>
      </c>
      <c r="C788" s="14" t="str">
        <f>VLOOKUP(B788,Family!B:C,2,FALSE)</f>
        <v>F</v>
      </c>
      <c r="D788" s="15">
        <v>504</v>
      </c>
      <c r="E788" s="14">
        <f>ROUND(VLOOKUP(C788,'Production Plan'!A:B,2,FALSE),2)</f>
        <v>394.98</v>
      </c>
      <c r="F788" s="16">
        <v>45828</v>
      </c>
      <c r="G788" s="17">
        <f>F788+6*7</f>
        <v>45870</v>
      </c>
      <c r="H788" s="14">
        <f>G788-F788</f>
        <v>42</v>
      </c>
      <c r="I788" s="14">
        <f>ROUND(D788/E788,3)</f>
        <v>1.276</v>
      </c>
      <c r="J788" s="14">
        <f>I788*24</f>
        <v>30.624000000000002</v>
      </c>
      <c r="K788" s="14">
        <f>VLOOKUP($C788,Rotation!$A$2:$J$10,2,FALSE)</f>
        <v>1</v>
      </c>
      <c r="L788" s="14">
        <f>VLOOKUP($C788,Rotation!$A$2:$J$10,3,FALSE)</f>
        <v>0</v>
      </c>
      <c r="M788" s="14">
        <f>VLOOKUP($C788,Rotation!$A$2:$J$10,4,FALSE)</f>
        <v>0</v>
      </c>
      <c r="N788" s="14">
        <f>VLOOKUP($C788,Rotation!$A$2:$J$10,5,FALSE)</f>
        <v>1</v>
      </c>
      <c r="O788" s="14">
        <f>VLOOKUP($C788,Rotation!$A$2:$J$10,6,FALSE)</f>
        <v>1</v>
      </c>
      <c r="P788" s="14">
        <f>VLOOKUP($C788,Rotation!$A$2:$J$10,7,FALSE)</f>
        <v>1</v>
      </c>
      <c r="Q788" s="14">
        <f>VLOOKUP($C788,Rotation!$A$2:$J$10,8,FALSE)</f>
        <v>1</v>
      </c>
      <c r="R788" s="14">
        <f>VLOOKUP($C788,Rotation!$A$2:$J$10,9,FALSE)</f>
        <v>1</v>
      </c>
      <c r="S788" s="14">
        <f>VLOOKUP($C788,Rotation!$A$2:$J$10,10,FALSE)</f>
        <v>1</v>
      </c>
    </row>
    <row r="789" spans="1:19" ht="18">
      <c r="A789" s="14">
        <v>787</v>
      </c>
      <c r="B789" s="14" t="s">
        <v>98</v>
      </c>
      <c r="C789" s="14" t="str">
        <f>VLOOKUP(B789,Family!B:C,2,FALSE)</f>
        <v>H</v>
      </c>
      <c r="D789" s="15">
        <v>19</v>
      </c>
      <c r="E789" s="14">
        <f>ROUND(VLOOKUP(C789,'Production Plan'!A:B,2,FALSE),2)</f>
        <v>402.02</v>
      </c>
      <c r="F789" s="16">
        <v>45706</v>
      </c>
      <c r="G789" s="17">
        <f>F789+6*7</f>
        <v>45748</v>
      </c>
      <c r="H789" s="14">
        <f>G789-F789</f>
        <v>42</v>
      </c>
      <c r="I789" s="14">
        <f>ROUND(D789/E789,3)</f>
        <v>4.7E-2</v>
      </c>
      <c r="J789" s="14">
        <f>I789*24</f>
        <v>1.1280000000000001</v>
      </c>
      <c r="K789" s="14">
        <f>VLOOKUP($C789,Rotation!$A$2:$J$10,2,FALSE)</f>
        <v>0</v>
      </c>
      <c r="L789" s="14">
        <f>VLOOKUP($C789,Rotation!$A$2:$J$10,3,FALSE)</f>
        <v>0</v>
      </c>
      <c r="M789" s="14">
        <f>VLOOKUP($C789,Rotation!$A$2:$J$10,4,FALSE)</f>
        <v>1</v>
      </c>
      <c r="N789" s="14">
        <f>VLOOKUP($C789,Rotation!$A$2:$J$10,5,FALSE)</f>
        <v>1</v>
      </c>
      <c r="O789" s="14">
        <f>VLOOKUP($C789,Rotation!$A$2:$J$10,6,FALSE)</f>
        <v>0</v>
      </c>
      <c r="P789" s="14">
        <f>VLOOKUP($C789,Rotation!$A$2:$J$10,7,FALSE)</f>
        <v>0</v>
      </c>
      <c r="Q789" s="14">
        <f>VLOOKUP($C789,Rotation!$A$2:$J$10,8,FALSE)</f>
        <v>0</v>
      </c>
      <c r="R789" s="14">
        <f>VLOOKUP($C789,Rotation!$A$2:$J$10,9,FALSE)</f>
        <v>0</v>
      </c>
      <c r="S789" s="14">
        <f>VLOOKUP($C789,Rotation!$A$2:$J$10,10,FALSE)</f>
        <v>0</v>
      </c>
    </row>
    <row r="790" spans="1:19" ht="18">
      <c r="A790" s="14">
        <v>788</v>
      </c>
      <c r="B790" s="14" t="s">
        <v>98</v>
      </c>
      <c r="C790" s="14" t="str">
        <f>VLOOKUP(B790,Family!B:C,2,FALSE)</f>
        <v>H</v>
      </c>
      <c r="D790" s="15">
        <v>19</v>
      </c>
      <c r="E790" s="14">
        <f>ROUND(VLOOKUP(C790,'Production Plan'!A:B,2,FALSE),2)</f>
        <v>402.02</v>
      </c>
      <c r="F790" s="16">
        <v>45706</v>
      </c>
      <c r="G790" s="17">
        <f>F790+6*7</f>
        <v>45748</v>
      </c>
      <c r="H790" s="14">
        <f>G790-F790</f>
        <v>42</v>
      </c>
      <c r="I790" s="14">
        <f>ROUND(D790/E790,3)</f>
        <v>4.7E-2</v>
      </c>
      <c r="J790" s="14">
        <f>I790*24</f>
        <v>1.1280000000000001</v>
      </c>
      <c r="K790" s="14">
        <f>VLOOKUP($C790,Rotation!$A$2:$J$10,2,FALSE)</f>
        <v>0</v>
      </c>
      <c r="L790" s="14">
        <f>VLOOKUP($C790,Rotation!$A$2:$J$10,3,FALSE)</f>
        <v>0</v>
      </c>
      <c r="M790" s="14">
        <f>VLOOKUP($C790,Rotation!$A$2:$J$10,4,FALSE)</f>
        <v>1</v>
      </c>
      <c r="N790" s="14">
        <f>VLOOKUP($C790,Rotation!$A$2:$J$10,5,FALSE)</f>
        <v>1</v>
      </c>
      <c r="O790" s="14">
        <f>VLOOKUP($C790,Rotation!$A$2:$J$10,6,FALSE)</f>
        <v>0</v>
      </c>
      <c r="P790" s="14">
        <f>VLOOKUP($C790,Rotation!$A$2:$J$10,7,FALSE)</f>
        <v>0</v>
      </c>
      <c r="Q790" s="14">
        <f>VLOOKUP($C790,Rotation!$A$2:$J$10,8,FALSE)</f>
        <v>0</v>
      </c>
      <c r="R790" s="14">
        <f>VLOOKUP($C790,Rotation!$A$2:$J$10,9,FALSE)</f>
        <v>0</v>
      </c>
      <c r="S790" s="14">
        <f>VLOOKUP($C790,Rotation!$A$2:$J$10,10,FALSE)</f>
        <v>0</v>
      </c>
    </row>
    <row r="791" spans="1:19" ht="18">
      <c r="A791" s="14">
        <v>789</v>
      </c>
      <c r="B791" s="14" t="s">
        <v>106</v>
      </c>
      <c r="C791" s="14" t="str">
        <f>VLOOKUP(B791,Family!B:C,2,FALSE)</f>
        <v>P</v>
      </c>
      <c r="D791" s="15">
        <v>19</v>
      </c>
      <c r="E791" s="14">
        <f>ROUND(VLOOKUP(C791,'Production Plan'!A:B,2,FALSE),2)</f>
        <v>409.15</v>
      </c>
      <c r="F791" s="16">
        <v>45809</v>
      </c>
      <c r="G791" s="17">
        <f>F791+6*7</f>
        <v>45851</v>
      </c>
      <c r="H791" s="14">
        <f>G791-F791</f>
        <v>42</v>
      </c>
      <c r="I791" s="14">
        <f>ROUND(D791/E791,3)</f>
        <v>4.5999999999999999E-2</v>
      </c>
      <c r="J791" s="14">
        <f>I791*24</f>
        <v>1.1040000000000001</v>
      </c>
      <c r="K791" s="14">
        <f>VLOOKUP($C791,Rotation!$A$2:$J$10,2,FALSE)</f>
        <v>1</v>
      </c>
      <c r="L791" s="14">
        <f>VLOOKUP($C791,Rotation!$A$2:$J$10,3,FALSE)</f>
        <v>1</v>
      </c>
      <c r="M791" s="14">
        <f>VLOOKUP($C791,Rotation!$A$2:$J$10,4,FALSE)</f>
        <v>0</v>
      </c>
      <c r="N791" s="14">
        <f>VLOOKUP($C791,Rotation!$A$2:$J$10,5,FALSE)</f>
        <v>0</v>
      </c>
      <c r="O791" s="14">
        <f>VLOOKUP($C791,Rotation!$A$2:$J$10,6,FALSE)</f>
        <v>0</v>
      </c>
      <c r="P791" s="14">
        <f>VLOOKUP($C791,Rotation!$A$2:$J$10,7,FALSE)</f>
        <v>0</v>
      </c>
      <c r="Q791" s="14">
        <f>VLOOKUP($C791,Rotation!$A$2:$J$10,8,FALSE)</f>
        <v>0</v>
      </c>
      <c r="R791" s="14">
        <f>VLOOKUP($C791,Rotation!$A$2:$J$10,9,FALSE)</f>
        <v>0</v>
      </c>
      <c r="S791" s="14">
        <f>VLOOKUP($C791,Rotation!$A$2:$J$10,10,FALSE)</f>
        <v>0</v>
      </c>
    </row>
    <row r="792" spans="1:19" ht="18">
      <c r="A792" s="14">
        <v>790</v>
      </c>
      <c r="B792" s="14" t="s">
        <v>106</v>
      </c>
      <c r="C792" s="14" t="str">
        <f>VLOOKUP(B792,Family!B:C,2,FALSE)</f>
        <v>P</v>
      </c>
      <c r="D792" s="15">
        <v>19</v>
      </c>
      <c r="E792" s="14">
        <f>ROUND(VLOOKUP(C792,'Production Plan'!A:B,2,FALSE),2)</f>
        <v>409.15</v>
      </c>
      <c r="F792" s="16">
        <v>45809</v>
      </c>
      <c r="G792" s="17">
        <f>F792+6*7</f>
        <v>45851</v>
      </c>
      <c r="H792" s="14">
        <f>G792-F792</f>
        <v>42</v>
      </c>
      <c r="I792" s="14">
        <f>ROUND(D792/E792,3)</f>
        <v>4.5999999999999999E-2</v>
      </c>
      <c r="J792" s="14">
        <f>I792*24</f>
        <v>1.1040000000000001</v>
      </c>
      <c r="K792" s="14">
        <f>VLOOKUP($C792,Rotation!$A$2:$J$10,2,FALSE)</f>
        <v>1</v>
      </c>
      <c r="L792" s="14">
        <f>VLOOKUP($C792,Rotation!$A$2:$J$10,3,FALSE)</f>
        <v>1</v>
      </c>
      <c r="M792" s="14">
        <f>VLOOKUP($C792,Rotation!$A$2:$J$10,4,FALSE)</f>
        <v>0</v>
      </c>
      <c r="N792" s="14">
        <f>VLOOKUP($C792,Rotation!$A$2:$J$10,5,FALSE)</f>
        <v>0</v>
      </c>
      <c r="O792" s="14">
        <f>VLOOKUP($C792,Rotation!$A$2:$J$10,6,FALSE)</f>
        <v>0</v>
      </c>
      <c r="P792" s="14">
        <f>VLOOKUP($C792,Rotation!$A$2:$J$10,7,FALSE)</f>
        <v>0</v>
      </c>
      <c r="Q792" s="14">
        <f>VLOOKUP($C792,Rotation!$A$2:$J$10,8,FALSE)</f>
        <v>0</v>
      </c>
      <c r="R792" s="14">
        <f>VLOOKUP($C792,Rotation!$A$2:$J$10,9,FALSE)</f>
        <v>0</v>
      </c>
      <c r="S792" s="14">
        <f>VLOOKUP($C792,Rotation!$A$2:$J$10,10,FALSE)</f>
        <v>0</v>
      </c>
    </row>
    <row r="793" spans="1:19" ht="18">
      <c r="A793" s="14">
        <v>791</v>
      </c>
      <c r="B793" s="14" t="s">
        <v>74</v>
      </c>
      <c r="C793" s="14" t="str">
        <f>VLOOKUP(B793,Family!B:C,2,FALSE)</f>
        <v>A</v>
      </c>
      <c r="D793" s="15">
        <v>209</v>
      </c>
      <c r="E793" s="14">
        <f>ROUND(VLOOKUP(C793,'Production Plan'!A:B,2,FALSE),2)</f>
        <v>407.17</v>
      </c>
      <c r="F793" s="16">
        <v>45805</v>
      </c>
      <c r="G793" s="17">
        <f>F793+6*7</f>
        <v>45847</v>
      </c>
      <c r="H793" s="14">
        <f>G793-F793</f>
        <v>42</v>
      </c>
      <c r="I793" s="14">
        <f>ROUND(D793/E793,3)</f>
        <v>0.51300000000000001</v>
      </c>
      <c r="J793" s="14">
        <f>I793*24</f>
        <v>12.312000000000001</v>
      </c>
      <c r="K793" s="14">
        <f>VLOOKUP($C793,Rotation!$A$2:$J$10,2,FALSE)</f>
        <v>1</v>
      </c>
      <c r="L793" s="14">
        <f>VLOOKUP($C793,Rotation!$A$2:$J$10,3,FALSE)</f>
        <v>1</v>
      </c>
      <c r="M793" s="14">
        <f>VLOOKUP($C793,Rotation!$A$2:$J$10,4,FALSE)</f>
        <v>1</v>
      </c>
      <c r="N793" s="14">
        <f>VLOOKUP($C793,Rotation!$A$2:$J$10,5,FALSE)</f>
        <v>0</v>
      </c>
      <c r="O793" s="14">
        <f>VLOOKUP($C793,Rotation!$A$2:$J$10,6,FALSE)</f>
        <v>0</v>
      </c>
      <c r="P793" s="14">
        <f>VLOOKUP($C793,Rotation!$A$2:$J$10,7,FALSE)</f>
        <v>0</v>
      </c>
      <c r="Q793" s="14">
        <f>VLOOKUP($C793,Rotation!$A$2:$J$10,8,FALSE)</f>
        <v>0</v>
      </c>
      <c r="R793" s="14">
        <f>VLOOKUP($C793,Rotation!$A$2:$J$10,9,FALSE)</f>
        <v>0</v>
      </c>
      <c r="S793" s="14">
        <f>VLOOKUP($C793,Rotation!$A$2:$J$10,10,FALSE)</f>
        <v>0</v>
      </c>
    </row>
    <row r="794" spans="1:19" ht="18">
      <c r="A794" s="14">
        <v>792</v>
      </c>
      <c r="B794" s="14" t="s">
        <v>70</v>
      </c>
      <c r="C794" s="14" t="str">
        <f>VLOOKUP(B794,Family!B:C,2,FALSE)</f>
        <v>A</v>
      </c>
      <c r="D794" s="15">
        <v>99</v>
      </c>
      <c r="E794" s="14">
        <f>ROUND(VLOOKUP(C794,'Production Plan'!A:B,2,FALSE),2)</f>
        <v>407.17</v>
      </c>
      <c r="F794" s="16">
        <v>45818</v>
      </c>
      <c r="G794" s="17">
        <f>F794+6*7</f>
        <v>45860</v>
      </c>
      <c r="H794" s="14">
        <f>G794-F794</f>
        <v>42</v>
      </c>
      <c r="I794" s="14">
        <f>ROUND(D794/E794,3)</f>
        <v>0.24299999999999999</v>
      </c>
      <c r="J794" s="14">
        <f>I794*24</f>
        <v>5.8319999999999999</v>
      </c>
      <c r="K794" s="14">
        <f>VLOOKUP($C794,Rotation!$A$2:$J$10,2,FALSE)</f>
        <v>1</v>
      </c>
      <c r="L794" s="14">
        <f>VLOOKUP($C794,Rotation!$A$2:$J$10,3,FALSE)</f>
        <v>1</v>
      </c>
      <c r="M794" s="14">
        <f>VLOOKUP($C794,Rotation!$A$2:$J$10,4,FALSE)</f>
        <v>1</v>
      </c>
      <c r="N794" s="14">
        <f>VLOOKUP($C794,Rotation!$A$2:$J$10,5,FALSE)</f>
        <v>0</v>
      </c>
      <c r="O794" s="14">
        <f>VLOOKUP($C794,Rotation!$A$2:$J$10,6,FALSE)</f>
        <v>0</v>
      </c>
      <c r="P794" s="14">
        <f>VLOOKUP($C794,Rotation!$A$2:$J$10,7,FALSE)</f>
        <v>0</v>
      </c>
      <c r="Q794" s="14">
        <f>VLOOKUP($C794,Rotation!$A$2:$J$10,8,FALSE)</f>
        <v>0</v>
      </c>
      <c r="R794" s="14">
        <f>VLOOKUP($C794,Rotation!$A$2:$J$10,9,FALSE)</f>
        <v>0</v>
      </c>
      <c r="S794" s="14">
        <f>VLOOKUP($C794,Rotation!$A$2:$J$10,10,FALSE)</f>
        <v>0</v>
      </c>
    </row>
    <row r="795" spans="1:19" ht="18">
      <c r="A795" s="14">
        <v>793</v>
      </c>
      <c r="B795" s="14" t="s">
        <v>100</v>
      </c>
      <c r="C795" s="14" t="str">
        <f>VLOOKUP(B795,Family!B:C,2,FALSE)</f>
        <v>H</v>
      </c>
      <c r="D795" s="15">
        <v>46</v>
      </c>
      <c r="E795" s="14">
        <f>ROUND(VLOOKUP(C795,'Production Plan'!A:B,2,FALSE),2)</f>
        <v>402.02</v>
      </c>
      <c r="F795" s="16">
        <v>45846</v>
      </c>
      <c r="G795" s="17">
        <f>F795+6*7</f>
        <v>45888</v>
      </c>
      <c r="H795" s="14">
        <f>G795-F795</f>
        <v>42</v>
      </c>
      <c r="I795" s="14">
        <f>ROUND(D795/E795,3)</f>
        <v>0.114</v>
      </c>
      <c r="J795" s="14">
        <f>I795*24</f>
        <v>2.7360000000000002</v>
      </c>
      <c r="K795" s="14">
        <f>VLOOKUP($C795,Rotation!$A$2:$J$10,2,FALSE)</f>
        <v>0</v>
      </c>
      <c r="L795" s="14">
        <f>VLOOKUP($C795,Rotation!$A$2:$J$10,3,FALSE)</f>
        <v>0</v>
      </c>
      <c r="M795" s="14">
        <f>VLOOKUP($C795,Rotation!$A$2:$J$10,4,FALSE)</f>
        <v>1</v>
      </c>
      <c r="N795" s="14">
        <f>VLOOKUP($C795,Rotation!$A$2:$J$10,5,FALSE)</f>
        <v>1</v>
      </c>
      <c r="O795" s="14">
        <f>VLOOKUP($C795,Rotation!$A$2:$J$10,6,FALSE)</f>
        <v>0</v>
      </c>
      <c r="P795" s="14">
        <f>VLOOKUP($C795,Rotation!$A$2:$J$10,7,FALSE)</f>
        <v>0</v>
      </c>
      <c r="Q795" s="14">
        <f>VLOOKUP($C795,Rotation!$A$2:$J$10,8,FALSE)</f>
        <v>0</v>
      </c>
      <c r="R795" s="14">
        <f>VLOOKUP($C795,Rotation!$A$2:$J$10,9,FALSE)</f>
        <v>0</v>
      </c>
      <c r="S795" s="14">
        <f>VLOOKUP($C795,Rotation!$A$2:$J$10,10,FALSE)</f>
        <v>0</v>
      </c>
    </row>
    <row r="796" spans="1:19" ht="18">
      <c r="A796" s="14">
        <v>794</v>
      </c>
      <c r="B796" s="14" t="s">
        <v>73</v>
      </c>
      <c r="C796" s="14" t="str">
        <f>VLOOKUP(B796,Family!B:C,2,FALSE)</f>
        <v>A</v>
      </c>
      <c r="D796" s="15">
        <v>490</v>
      </c>
      <c r="E796" s="14">
        <f>ROUND(VLOOKUP(C796,'Production Plan'!A:B,2,FALSE),2)</f>
        <v>407.17</v>
      </c>
      <c r="F796" s="16">
        <v>45831</v>
      </c>
      <c r="G796" s="17">
        <f>F796+6*7</f>
        <v>45873</v>
      </c>
      <c r="H796" s="14">
        <f>G796-F796</f>
        <v>42</v>
      </c>
      <c r="I796" s="14">
        <f>ROUND(D796/E796,3)</f>
        <v>1.2030000000000001</v>
      </c>
      <c r="J796" s="14">
        <f>I796*24</f>
        <v>28.872</v>
      </c>
      <c r="K796" s="14">
        <f>VLOOKUP($C796,Rotation!$A$2:$J$10,2,FALSE)</f>
        <v>1</v>
      </c>
      <c r="L796" s="14">
        <f>VLOOKUP($C796,Rotation!$A$2:$J$10,3,FALSE)</f>
        <v>1</v>
      </c>
      <c r="M796" s="14">
        <f>VLOOKUP($C796,Rotation!$A$2:$J$10,4,FALSE)</f>
        <v>1</v>
      </c>
      <c r="N796" s="14">
        <f>VLOOKUP($C796,Rotation!$A$2:$J$10,5,FALSE)</f>
        <v>0</v>
      </c>
      <c r="O796" s="14">
        <f>VLOOKUP($C796,Rotation!$A$2:$J$10,6,FALSE)</f>
        <v>0</v>
      </c>
      <c r="P796" s="14">
        <f>VLOOKUP($C796,Rotation!$A$2:$J$10,7,FALSE)</f>
        <v>0</v>
      </c>
      <c r="Q796" s="14">
        <f>VLOOKUP($C796,Rotation!$A$2:$J$10,8,FALSE)</f>
        <v>0</v>
      </c>
      <c r="R796" s="14">
        <f>VLOOKUP($C796,Rotation!$A$2:$J$10,9,FALSE)</f>
        <v>0</v>
      </c>
      <c r="S796" s="14">
        <f>VLOOKUP($C796,Rotation!$A$2:$J$10,10,FALSE)</f>
        <v>0</v>
      </c>
    </row>
    <row r="797" spans="1:19" ht="18">
      <c r="A797" s="14">
        <v>795</v>
      </c>
      <c r="B797" s="14" t="s">
        <v>77</v>
      </c>
      <c r="C797" s="14" t="str">
        <f>VLOOKUP(B797,Family!B:C,2,FALSE)</f>
        <v>E</v>
      </c>
      <c r="D797" s="15">
        <v>18</v>
      </c>
      <c r="E797" s="14">
        <f>ROUND(VLOOKUP(C797,'Production Plan'!A:B,2,FALSE),2)</f>
        <v>333.66</v>
      </c>
      <c r="F797" s="16">
        <v>45860</v>
      </c>
      <c r="G797" s="17">
        <f>F797+6*7</f>
        <v>45902</v>
      </c>
      <c r="H797" s="14">
        <f>G797-F797</f>
        <v>42</v>
      </c>
      <c r="I797" s="14">
        <f>ROUND(D797/E797,3)</f>
        <v>5.3999999999999999E-2</v>
      </c>
      <c r="J797" s="14">
        <f>I797*24</f>
        <v>1.296</v>
      </c>
      <c r="K797" s="14">
        <f>VLOOKUP($C797,Rotation!$A$2:$J$10,2,FALSE)</f>
        <v>1</v>
      </c>
      <c r="L797" s="14">
        <f>VLOOKUP($C797,Rotation!$A$2:$J$10,3,FALSE)</f>
        <v>0</v>
      </c>
      <c r="M797" s="14">
        <f>VLOOKUP($C797,Rotation!$A$2:$J$10,4,FALSE)</f>
        <v>0</v>
      </c>
      <c r="N797" s="14">
        <f>VLOOKUP($C797,Rotation!$A$2:$J$10,5,FALSE)</f>
        <v>0</v>
      </c>
      <c r="O797" s="14">
        <f>VLOOKUP($C797,Rotation!$A$2:$J$10,6,FALSE)</f>
        <v>0</v>
      </c>
      <c r="P797" s="14">
        <f>VLOOKUP($C797,Rotation!$A$2:$J$10,7,FALSE)</f>
        <v>1</v>
      </c>
      <c r="Q797" s="14">
        <f>VLOOKUP($C797,Rotation!$A$2:$J$10,8,FALSE)</f>
        <v>0</v>
      </c>
      <c r="R797" s="14">
        <f>VLOOKUP($C797,Rotation!$A$2:$J$10,9,FALSE)</f>
        <v>0</v>
      </c>
      <c r="S797" s="14">
        <f>VLOOKUP($C797,Rotation!$A$2:$J$10,10,FALSE)</f>
        <v>0</v>
      </c>
    </row>
    <row r="798" spans="1:19" ht="18">
      <c r="A798" s="14">
        <v>796</v>
      </c>
      <c r="B798" s="14" t="s">
        <v>98</v>
      </c>
      <c r="C798" s="14" t="str">
        <f>VLOOKUP(B798,Family!B:C,2,FALSE)</f>
        <v>H</v>
      </c>
      <c r="D798" s="15">
        <v>19</v>
      </c>
      <c r="E798" s="14">
        <f>ROUND(VLOOKUP(C798,'Production Plan'!A:B,2,FALSE),2)</f>
        <v>402.02</v>
      </c>
      <c r="F798" s="16">
        <v>45706</v>
      </c>
      <c r="G798" s="17">
        <f>F798+6*7</f>
        <v>45748</v>
      </c>
      <c r="H798" s="14">
        <f>G798-F798</f>
        <v>42</v>
      </c>
      <c r="I798" s="14">
        <f>ROUND(D798/E798,3)</f>
        <v>4.7E-2</v>
      </c>
      <c r="J798" s="14">
        <f>I798*24</f>
        <v>1.1280000000000001</v>
      </c>
      <c r="K798" s="14">
        <f>VLOOKUP($C798,Rotation!$A$2:$J$10,2,FALSE)</f>
        <v>0</v>
      </c>
      <c r="L798" s="14">
        <f>VLOOKUP($C798,Rotation!$A$2:$J$10,3,FALSE)</f>
        <v>0</v>
      </c>
      <c r="M798" s="14">
        <f>VLOOKUP($C798,Rotation!$A$2:$J$10,4,FALSE)</f>
        <v>1</v>
      </c>
      <c r="N798" s="14">
        <f>VLOOKUP($C798,Rotation!$A$2:$J$10,5,FALSE)</f>
        <v>1</v>
      </c>
      <c r="O798" s="14">
        <f>VLOOKUP($C798,Rotation!$A$2:$J$10,6,FALSE)</f>
        <v>0</v>
      </c>
      <c r="P798" s="14">
        <f>VLOOKUP($C798,Rotation!$A$2:$J$10,7,FALSE)</f>
        <v>0</v>
      </c>
      <c r="Q798" s="14">
        <f>VLOOKUP($C798,Rotation!$A$2:$J$10,8,FALSE)</f>
        <v>0</v>
      </c>
      <c r="R798" s="14">
        <f>VLOOKUP($C798,Rotation!$A$2:$J$10,9,FALSE)</f>
        <v>0</v>
      </c>
      <c r="S798" s="14">
        <f>VLOOKUP($C798,Rotation!$A$2:$J$10,10,FALSE)</f>
        <v>0</v>
      </c>
    </row>
    <row r="799" spans="1:19" ht="18">
      <c r="A799" s="14">
        <v>797</v>
      </c>
      <c r="B799" s="14" t="s">
        <v>98</v>
      </c>
      <c r="C799" s="14" t="str">
        <f>VLOOKUP(B799,Family!B:C,2,FALSE)</f>
        <v>H</v>
      </c>
      <c r="D799" s="15">
        <v>19</v>
      </c>
      <c r="E799" s="14">
        <f>ROUND(VLOOKUP(C799,'Production Plan'!A:B,2,FALSE),2)</f>
        <v>402.02</v>
      </c>
      <c r="F799" s="16">
        <v>45706</v>
      </c>
      <c r="G799" s="17">
        <f>F799+6*7</f>
        <v>45748</v>
      </c>
      <c r="H799" s="14">
        <f>G799-F799</f>
        <v>42</v>
      </c>
      <c r="I799" s="14">
        <f>ROUND(D799/E799,3)</f>
        <v>4.7E-2</v>
      </c>
      <c r="J799" s="14">
        <f>I799*24</f>
        <v>1.1280000000000001</v>
      </c>
      <c r="K799" s="14">
        <f>VLOOKUP($C799,Rotation!$A$2:$J$10,2,FALSE)</f>
        <v>0</v>
      </c>
      <c r="L799" s="14">
        <f>VLOOKUP($C799,Rotation!$A$2:$J$10,3,FALSE)</f>
        <v>0</v>
      </c>
      <c r="M799" s="14">
        <f>VLOOKUP($C799,Rotation!$A$2:$J$10,4,FALSE)</f>
        <v>1</v>
      </c>
      <c r="N799" s="14">
        <f>VLOOKUP($C799,Rotation!$A$2:$J$10,5,FALSE)</f>
        <v>1</v>
      </c>
      <c r="O799" s="14">
        <f>VLOOKUP($C799,Rotation!$A$2:$J$10,6,FALSE)</f>
        <v>0</v>
      </c>
      <c r="P799" s="14">
        <f>VLOOKUP($C799,Rotation!$A$2:$J$10,7,FALSE)</f>
        <v>0</v>
      </c>
      <c r="Q799" s="14">
        <f>VLOOKUP($C799,Rotation!$A$2:$J$10,8,FALSE)</f>
        <v>0</v>
      </c>
      <c r="R799" s="14">
        <f>VLOOKUP($C799,Rotation!$A$2:$J$10,9,FALSE)</f>
        <v>0</v>
      </c>
      <c r="S799" s="14">
        <f>VLOOKUP($C799,Rotation!$A$2:$J$10,10,FALSE)</f>
        <v>0</v>
      </c>
    </row>
    <row r="800" spans="1:19" ht="18">
      <c r="A800" s="14">
        <v>798</v>
      </c>
      <c r="B800" s="14" t="s">
        <v>77</v>
      </c>
      <c r="C800" s="14" t="str">
        <f>VLOOKUP(B800,Family!B:C,2,FALSE)</f>
        <v>E</v>
      </c>
      <c r="D800" s="15">
        <v>18</v>
      </c>
      <c r="E800" s="14">
        <f>ROUND(VLOOKUP(C800,'Production Plan'!A:B,2,FALSE),2)</f>
        <v>333.66</v>
      </c>
      <c r="F800" s="16">
        <v>45769</v>
      </c>
      <c r="G800" s="17">
        <f>F800+6*7</f>
        <v>45811</v>
      </c>
      <c r="H800" s="14">
        <f>G800-F800</f>
        <v>42</v>
      </c>
      <c r="I800" s="14">
        <f>ROUND(D800/E800,3)</f>
        <v>5.3999999999999999E-2</v>
      </c>
      <c r="J800" s="14">
        <f>I800*24</f>
        <v>1.296</v>
      </c>
      <c r="K800" s="14">
        <f>VLOOKUP($C800,Rotation!$A$2:$J$10,2,FALSE)</f>
        <v>1</v>
      </c>
      <c r="L800" s="14">
        <f>VLOOKUP($C800,Rotation!$A$2:$J$10,3,FALSE)</f>
        <v>0</v>
      </c>
      <c r="M800" s="14">
        <f>VLOOKUP($C800,Rotation!$A$2:$J$10,4,FALSE)</f>
        <v>0</v>
      </c>
      <c r="N800" s="14">
        <f>VLOOKUP($C800,Rotation!$A$2:$J$10,5,FALSE)</f>
        <v>0</v>
      </c>
      <c r="O800" s="14">
        <f>VLOOKUP($C800,Rotation!$A$2:$J$10,6,FALSE)</f>
        <v>0</v>
      </c>
      <c r="P800" s="14">
        <f>VLOOKUP($C800,Rotation!$A$2:$J$10,7,FALSE)</f>
        <v>1</v>
      </c>
      <c r="Q800" s="14">
        <f>VLOOKUP($C800,Rotation!$A$2:$J$10,8,FALSE)</f>
        <v>0</v>
      </c>
      <c r="R800" s="14">
        <f>VLOOKUP($C800,Rotation!$A$2:$J$10,9,FALSE)</f>
        <v>0</v>
      </c>
      <c r="S800" s="14">
        <f>VLOOKUP($C800,Rotation!$A$2:$J$10,10,FALSE)</f>
        <v>0</v>
      </c>
    </row>
    <row r="801" spans="1:19" ht="18">
      <c r="A801" s="14">
        <v>799</v>
      </c>
      <c r="B801" s="14" t="s">
        <v>65</v>
      </c>
      <c r="C801" s="14" t="str">
        <f>VLOOKUP(B801,Family!B:C,2,FALSE)</f>
        <v>A</v>
      </c>
      <c r="D801" s="15">
        <v>38</v>
      </c>
      <c r="E801" s="14">
        <f>ROUND(VLOOKUP(C801,'Production Plan'!A:B,2,FALSE),2)</f>
        <v>407.17</v>
      </c>
      <c r="F801" s="16">
        <v>45813</v>
      </c>
      <c r="G801" s="17">
        <f>F801+6*7</f>
        <v>45855</v>
      </c>
      <c r="H801" s="14">
        <f>G801-F801</f>
        <v>42</v>
      </c>
      <c r="I801" s="14">
        <f>ROUND(D801/E801,3)</f>
        <v>9.2999999999999999E-2</v>
      </c>
      <c r="J801" s="14">
        <f>I801*24</f>
        <v>2.2320000000000002</v>
      </c>
      <c r="K801" s="14">
        <f>VLOOKUP($C801,Rotation!$A$2:$J$10,2,FALSE)</f>
        <v>1</v>
      </c>
      <c r="L801" s="14">
        <f>VLOOKUP($C801,Rotation!$A$2:$J$10,3,FALSE)</f>
        <v>1</v>
      </c>
      <c r="M801" s="14">
        <f>VLOOKUP($C801,Rotation!$A$2:$J$10,4,FALSE)</f>
        <v>1</v>
      </c>
      <c r="N801" s="14">
        <f>VLOOKUP($C801,Rotation!$A$2:$J$10,5,FALSE)</f>
        <v>0</v>
      </c>
      <c r="O801" s="14">
        <f>VLOOKUP($C801,Rotation!$A$2:$J$10,6,FALSE)</f>
        <v>0</v>
      </c>
      <c r="P801" s="14">
        <f>VLOOKUP($C801,Rotation!$A$2:$J$10,7,FALSE)</f>
        <v>0</v>
      </c>
      <c r="Q801" s="14">
        <f>VLOOKUP($C801,Rotation!$A$2:$J$10,8,FALSE)</f>
        <v>0</v>
      </c>
      <c r="R801" s="14">
        <f>VLOOKUP($C801,Rotation!$A$2:$J$10,9,FALSE)</f>
        <v>0</v>
      </c>
      <c r="S801" s="14">
        <f>VLOOKUP($C801,Rotation!$A$2:$J$10,10,FALSE)</f>
        <v>0</v>
      </c>
    </row>
    <row r="802" spans="1:19" ht="18">
      <c r="A802" s="14">
        <v>800</v>
      </c>
      <c r="B802" s="14" t="s">
        <v>108</v>
      </c>
      <c r="C802" s="14" t="str">
        <f>VLOOKUP(B802,Family!B:C,2,FALSE)</f>
        <v>P</v>
      </c>
      <c r="D802" s="15">
        <v>108</v>
      </c>
      <c r="E802" s="14">
        <f>ROUND(VLOOKUP(C802,'Production Plan'!A:B,2,FALSE),2)</f>
        <v>409.15</v>
      </c>
      <c r="F802" s="16">
        <v>45862</v>
      </c>
      <c r="G802" s="17">
        <f>F802+6*7</f>
        <v>45904</v>
      </c>
      <c r="H802" s="14">
        <f>G802-F802</f>
        <v>42</v>
      </c>
      <c r="I802" s="14">
        <f>ROUND(D802/E802,3)</f>
        <v>0.26400000000000001</v>
      </c>
      <c r="J802" s="14">
        <f>I802*24</f>
        <v>6.3360000000000003</v>
      </c>
      <c r="K802" s="14">
        <f>VLOOKUP($C802,Rotation!$A$2:$J$10,2,FALSE)</f>
        <v>1</v>
      </c>
      <c r="L802" s="14">
        <f>VLOOKUP($C802,Rotation!$A$2:$J$10,3,FALSE)</f>
        <v>1</v>
      </c>
      <c r="M802" s="14">
        <f>VLOOKUP($C802,Rotation!$A$2:$J$10,4,FALSE)</f>
        <v>0</v>
      </c>
      <c r="N802" s="14">
        <f>VLOOKUP($C802,Rotation!$A$2:$J$10,5,FALSE)</f>
        <v>0</v>
      </c>
      <c r="O802" s="14">
        <f>VLOOKUP($C802,Rotation!$A$2:$J$10,6,FALSE)</f>
        <v>0</v>
      </c>
      <c r="P802" s="14">
        <f>VLOOKUP($C802,Rotation!$A$2:$J$10,7,FALSE)</f>
        <v>0</v>
      </c>
      <c r="Q802" s="14">
        <f>VLOOKUP($C802,Rotation!$A$2:$J$10,8,FALSE)</f>
        <v>0</v>
      </c>
      <c r="R802" s="14">
        <f>VLOOKUP($C802,Rotation!$A$2:$J$10,9,FALSE)</f>
        <v>0</v>
      </c>
      <c r="S802" s="14">
        <f>VLOOKUP($C802,Rotation!$A$2:$J$10,10,FALSE)</f>
        <v>0</v>
      </c>
    </row>
    <row r="803" spans="1:19" ht="18">
      <c r="A803" s="14">
        <v>801</v>
      </c>
      <c r="B803" s="14" t="s">
        <v>108</v>
      </c>
      <c r="C803" s="14" t="str">
        <f>VLOOKUP(B803,Family!B:C,2,FALSE)</f>
        <v>P</v>
      </c>
      <c r="D803" s="15">
        <v>108</v>
      </c>
      <c r="E803" s="14">
        <f>ROUND(VLOOKUP(C803,'Production Plan'!A:B,2,FALSE),2)</f>
        <v>409.15</v>
      </c>
      <c r="F803" s="16">
        <v>45862</v>
      </c>
      <c r="G803" s="17">
        <f>F803+6*7</f>
        <v>45904</v>
      </c>
      <c r="H803" s="14">
        <f>G803-F803</f>
        <v>42</v>
      </c>
      <c r="I803" s="14">
        <f>ROUND(D803/E803,3)</f>
        <v>0.26400000000000001</v>
      </c>
      <c r="J803" s="14">
        <f>I803*24</f>
        <v>6.3360000000000003</v>
      </c>
      <c r="K803" s="14">
        <f>VLOOKUP($C803,Rotation!$A$2:$J$10,2,FALSE)</f>
        <v>1</v>
      </c>
      <c r="L803" s="14">
        <f>VLOOKUP($C803,Rotation!$A$2:$J$10,3,FALSE)</f>
        <v>1</v>
      </c>
      <c r="M803" s="14">
        <f>VLOOKUP($C803,Rotation!$A$2:$J$10,4,FALSE)</f>
        <v>0</v>
      </c>
      <c r="N803" s="14">
        <f>VLOOKUP($C803,Rotation!$A$2:$J$10,5,FALSE)</f>
        <v>0</v>
      </c>
      <c r="O803" s="14">
        <f>VLOOKUP($C803,Rotation!$A$2:$J$10,6,FALSE)</f>
        <v>0</v>
      </c>
      <c r="P803" s="14">
        <f>VLOOKUP($C803,Rotation!$A$2:$J$10,7,FALSE)</f>
        <v>0</v>
      </c>
      <c r="Q803" s="14">
        <f>VLOOKUP($C803,Rotation!$A$2:$J$10,8,FALSE)</f>
        <v>0</v>
      </c>
      <c r="R803" s="14">
        <f>VLOOKUP($C803,Rotation!$A$2:$J$10,9,FALSE)</f>
        <v>0</v>
      </c>
      <c r="S803" s="14">
        <f>VLOOKUP($C803,Rotation!$A$2:$J$10,10,FALSE)</f>
        <v>0</v>
      </c>
    </row>
    <row r="804" spans="1:19" ht="18">
      <c r="A804" s="14">
        <v>802</v>
      </c>
      <c r="B804" s="14" t="s">
        <v>108</v>
      </c>
      <c r="C804" s="14" t="str">
        <f>VLOOKUP(B804,Family!B:C,2,FALSE)</f>
        <v>P</v>
      </c>
      <c r="D804" s="15">
        <v>54</v>
      </c>
      <c r="E804" s="14">
        <f>ROUND(VLOOKUP(C804,'Production Plan'!A:B,2,FALSE),2)</f>
        <v>409.15</v>
      </c>
      <c r="F804" s="16">
        <v>45862</v>
      </c>
      <c r="G804" s="17">
        <f>F804+6*7</f>
        <v>45904</v>
      </c>
      <c r="H804" s="14">
        <f>G804-F804</f>
        <v>42</v>
      </c>
      <c r="I804" s="14">
        <f>ROUND(D804/E804,3)</f>
        <v>0.13200000000000001</v>
      </c>
      <c r="J804" s="14">
        <f>I804*24</f>
        <v>3.1680000000000001</v>
      </c>
      <c r="K804" s="14">
        <f>VLOOKUP($C804,Rotation!$A$2:$J$10,2,FALSE)</f>
        <v>1</v>
      </c>
      <c r="L804" s="14">
        <f>VLOOKUP($C804,Rotation!$A$2:$J$10,3,FALSE)</f>
        <v>1</v>
      </c>
      <c r="M804" s="14">
        <f>VLOOKUP($C804,Rotation!$A$2:$J$10,4,FALSE)</f>
        <v>0</v>
      </c>
      <c r="N804" s="14">
        <f>VLOOKUP($C804,Rotation!$A$2:$J$10,5,FALSE)</f>
        <v>0</v>
      </c>
      <c r="O804" s="14">
        <f>VLOOKUP($C804,Rotation!$A$2:$J$10,6,FALSE)</f>
        <v>0</v>
      </c>
      <c r="P804" s="14">
        <f>VLOOKUP($C804,Rotation!$A$2:$J$10,7,FALSE)</f>
        <v>0</v>
      </c>
      <c r="Q804" s="14">
        <f>VLOOKUP($C804,Rotation!$A$2:$J$10,8,FALSE)</f>
        <v>0</v>
      </c>
      <c r="R804" s="14">
        <f>VLOOKUP($C804,Rotation!$A$2:$J$10,9,FALSE)</f>
        <v>0</v>
      </c>
      <c r="S804" s="14">
        <f>VLOOKUP($C804,Rotation!$A$2:$J$10,10,FALSE)</f>
        <v>0</v>
      </c>
    </row>
    <row r="805" spans="1:19" ht="18">
      <c r="A805" s="14">
        <v>803</v>
      </c>
      <c r="B805" s="14" t="s">
        <v>65</v>
      </c>
      <c r="C805" s="14" t="str">
        <f>VLOOKUP(B805,Family!B:C,2,FALSE)</f>
        <v>A</v>
      </c>
      <c r="D805" s="15">
        <v>57</v>
      </c>
      <c r="E805" s="14">
        <f>ROUND(VLOOKUP(C805,'Production Plan'!A:B,2,FALSE),2)</f>
        <v>407.17</v>
      </c>
      <c r="F805" s="16">
        <v>45813</v>
      </c>
      <c r="G805" s="17">
        <f>F805+6*7</f>
        <v>45855</v>
      </c>
      <c r="H805" s="14">
        <f>G805-F805</f>
        <v>42</v>
      </c>
      <c r="I805" s="14">
        <f>ROUND(D805/E805,3)</f>
        <v>0.14000000000000001</v>
      </c>
      <c r="J805" s="14">
        <f>I805*24</f>
        <v>3.3600000000000003</v>
      </c>
      <c r="K805" s="14">
        <f>VLOOKUP($C805,Rotation!$A$2:$J$10,2,FALSE)</f>
        <v>1</v>
      </c>
      <c r="L805" s="14">
        <f>VLOOKUP($C805,Rotation!$A$2:$J$10,3,FALSE)</f>
        <v>1</v>
      </c>
      <c r="M805" s="14">
        <f>VLOOKUP($C805,Rotation!$A$2:$J$10,4,FALSE)</f>
        <v>1</v>
      </c>
      <c r="N805" s="14">
        <f>VLOOKUP($C805,Rotation!$A$2:$J$10,5,FALSE)</f>
        <v>0</v>
      </c>
      <c r="O805" s="14">
        <f>VLOOKUP($C805,Rotation!$A$2:$J$10,6,FALSE)</f>
        <v>0</v>
      </c>
      <c r="P805" s="14">
        <f>VLOOKUP($C805,Rotation!$A$2:$J$10,7,FALSE)</f>
        <v>0</v>
      </c>
      <c r="Q805" s="14">
        <f>VLOOKUP($C805,Rotation!$A$2:$J$10,8,FALSE)</f>
        <v>0</v>
      </c>
      <c r="R805" s="14">
        <f>VLOOKUP($C805,Rotation!$A$2:$J$10,9,FALSE)</f>
        <v>0</v>
      </c>
      <c r="S805" s="14">
        <f>VLOOKUP($C805,Rotation!$A$2:$J$10,10,FALSE)</f>
        <v>0</v>
      </c>
    </row>
    <row r="806" spans="1:19" ht="18">
      <c r="A806" s="14">
        <v>804</v>
      </c>
      <c r="B806" s="14" t="s">
        <v>99</v>
      </c>
      <c r="C806" s="14" t="str">
        <f>VLOOKUP(B806,Family!B:C,2,FALSE)</f>
        <v>N</v>
      </c>
      <c r="D806" s="15">
        <v>19</v>
      </c>
      <c r="E806" s="14">
        <f>ROUND(VLOOKUP(C806,'Production Plan'!A:B,2,FALSE),2)</f>
        <v>334.18</v>
      </c>
      <c r="F806" s="16">
        <v>45867</v>
      </c>
      <c r="G806" s="17">
        <f>F806+6*7</f>
        <v>45909</v>
      </c>
      <c r="H806" s="14">
        <f>G806-F806</f>
        <v>42</v>
      </c>
      <c r="I806" s="14">
        <f>ROUND(D806/E806,3)</f>
        <v>5.7000000000000002E-2</v>
      </c>
      <c r="J806" s="14">
        <f>I806*24</f>
        <v>1.3680000000000001</v>
      </c>
      <c r="K806" s="14">
        <f>VLOOKUP($C806,Rotation!$A$2:$J$10,2,FALSE)</f>
        <v>1</v>
      </c>
      <c r="L806" s="14">
        <f>VLOOKUP($C806,Rotation!$A$2:$J$10,3,FALSE)</f>
        <v>0</v>
      </c>
      <c r="M806" s="14">
        <f>VLOOKUP($C806,Rotation!$A$2:$J$10,4,FALSE)</f>
        <v>0</v>
      </c>
      <c r="N806" s="14">
        <f>VLOOKUP($C806,Rotation!$A$2:$J$10,5,FALSE)</f>
        <v>0</v>
      </c>
      <c r="O806" s="14">
        <f>VLOOKUP($C806,Rotation!$A$2:$J$10,6,FALSE)</f>
        <v>0</v>
      </c>
      <c r="P806" s="14">
        <f>VLOOKUP($C806,Rotation!$A$2:$J$10,7,FALSE)</f>
        <v>0</v>
      </c>
      <c r="Q806" s="14">
        <f>VLOOKUP($C806,Rotation!$A$2:$J$10,8,FALSE)</f>
        <v>1</v>
      </c>
      <c r="R806" s="14">
        <f>VLOOKUP($C806,Rotation!$A$2:$J$10,9,FALSE)</f>
        <v>0</v>
      </c>
      <c r="S806" s="14">
        <f>VLOOKUP($C806,Rotation!$A$2:$J$10,10,FALSE)</f>
        <v>0</v>
      </c>
    </row>
    <row r="807" spans="1:19" ht="18">
      <c r="A807" s="14">
        <v>805</v>
      </c>
      <c r="B807" s="14" t="s">
        <v>99</v>
      </c>
      <c r="C807" s="14" t="str">
        <f>VLOOKUP(B807,Family!B:C,2,FALSE)</f>
        <v>N</v>
      </c>
      <c r="D807" s="15">
        <v>19</v>
      </c>
      <c r="E807" s="14">
        <f>ROUND(VLOOKUP(C807,'Production Plan'!A:B,2,FALSE),2)</f>
        <v>334.18</v>
      </c>
      <c r="F807" s="16">
        <v>45867</v>
      </c>
      <c r="G807" s="17">
        <f>F807+6*7</f>
        <v>45909</v>
      </c>
      <c r="H807" s="14">
        <f>G807-F807</f>
        <v>42</v>
      </c>
      <c r="I807" s="14">
        <f>ROUND(D807/E807,3)</f>
        <v>5.7000000000000002E-2</v>
      </c>
      <c r="J807" s="14">
        <f>I807*24</f>
        <v>1.3680000000000001</v>
      </c>
      <c r="K807" s="14">
        <f>VLOOKUP($C807,Rotation!$A$2:$J$10,2,FALSE)</f>
        <v>1</v>
      </c>
      <c r="L807" s="14">
        <f>VLOOKUP($C807,Rotation!$A$2:$J$10,3,FALSE)</f>
        <v>0</v>
      </c>
      <c r="M807" s="14">
        <f>VLOOKUP($C807,Rotation!$A$2:$J$10,4,FALSE)</f>
        <v>0</v>
      </c>
      <c r="N807" s="14">
        <f>VLOOKUP($C807,Rotation!$A$2:$J$10,5,FALSE)</f>
        <v>0</v>
      </c>
      <c r="O807" s="14">
        <f>VLOOKUP($C807,Rotation!$A$2:$J$10,6,FALSE)</f>
        <v>0</v>
      </c>
      <c r="P807" s="14">
        <f>VLOOKUP($C807,Rotation!$A$2:$J$10,7,FALSE)</f>
        <v>0</v>
      </c>
      <c r="Q807" s="14">
        <f>VLOOKUP($C807,Rotation!$A$2:$J$10,8,FALSE)</f>
        <v>1</v>
      </c>
      <c r="R807" s="14">
        <f>VLOOKUP($C807,Rotation!$A$2:$J$10,9,FALSE)</f>
        <v>0</v>
      </c>
      <c r="S807" s="14">
        <f>VLOOKUP($C807,Rotation!$A$2:$J$10,10,FALSE)</f>
        <v>0</v>
      </c>
    </row>
    <row r="808" spans="1:19" ht="18">
      <c r="A808" s="14">
        <v>806</v>
      </c>
      <c r="B808" s="14" t="s">
        <v>99</v>
      </c>
      <c r="C808" s="14" t="str">
        <f>VLOOKUP(B808,Family!B:C,2,FALSE)</f>
        <v>N</v>
      </c>
      <c r="D808" s="15">
        <v>19</v>
      </c>
      <c r="E808" s="14">
        <f>ROUND(VLOOKUP(C808,'Production Plan'!A:B,2,FALSE),2)</f>
        <v>334.18</v>
      </c>
      <c r="F808" s="16">
        <v>45867</v>
      </c>
      <c r="G808" s="17">
        <f>F808+6*7</f>
        <v>45909</v>
      </c>
      <c r="H808" s="14">
        <f>G808-F808</f>
        <v>42</v>
      </c>
      <c r="I808" s="14">
        <f>ROUND(D808/E808,3)</f>
        <v>5.7000000000000002E-2</v>
      </c>
      <c r="J808" s="14">
        <f>I808*24</f>
        <v>1.3680000000000001</v>
      </c>
      <c r="K808" s="14">
        <f>VLOOKUP($C808,Rotation!$A$2:$J$10,2,FALSE)</f>
        <v>1</v>
      </c>
      <c r="L808" s="14">
        <f>VLOOKUP($C808,Rotation!$A$2:$J$10,3,FALSE)</f>
        <v>0</v>
      </c>
      <c r="M808" s="14">
        <f>VLOOKUP($C808,Rotation!$A$2:$J$10,4,FALSE)</f>
        <v>0</v>
      </c>
      <c r="N808" s="14">
        <f>VLOOKUP($C808,Rotation!$A$2:$J$10,5,FALSE)</f>
        <v>0</v>
      </c>
      <c r="O808" s="14">
        <f>VLOOKUP($C808,Rotation!$A$2:$J$10,6,FALSE)</f>
        <v>0</v>
      </c>
      <c r="P808" s="14">
        <f>VLOOKUP($C808,Rotation!$A$2:$J$10,7,FALSE)</f>
        <v>0</v>
      </c>
      <c r="Q808" s="14">
        <f>VLOOKUP($C808,Rotation!$A$2:$J$10,8,FALSE)</f>
        <v>1</v>
      </c>
      <c r="R808" s="14">
        <f>VLOOKUP($C808,Rotation!$A$2:$J$10,9,FALSE)</f>
        <v>0</v>
      </c>
      <c r="S808" s="14">
        <f>VLOOKUP($C808,Rotation!$A$2:$J$10,10,FALSE)</f>
        <v>0</v>
      </c>
    </row>
    <row r="809" spans="1:19" ht="18">
      <c r="A809" s="14">
        <v>807</v>
      </c>
      <c r="B809" s="14" t="s">
        <v>99</v>
      </c>
      <c r="C809" s="14" t="str">
        <f>VLOOKUP(B809,Family!B:C,2,FALSE)</f>
        <v>N</v>
      </c>
      <c r="D809" s="15">
        <v>19</v>
      </c>
      <c r="E809" s="14">
        <f>ROUND(VLOOKUP(C809,'Production Plan'!A:B,2,FALSE),2)</f>
        <v>334.18</v>
      </c>
      <c r="F809" s="16">
        <v>45867</v>
      </c>
      <c r="G809" s="17">
        <f>F809+6*7</f>
        <v>45909</v>
      </c>
      <c r="H809" s="14">
        <f>G809-F809</f>
        <v>42</v>
      </c>
      <c r="I809" s="14">
        <f>ROUND(D809/E809,3)</f>
        <v>5.7000000000000002E-2</v>
      </c>
      <c r="J809" s="14">
        <f>I809*24</f>
        <v>1.3680000000000001</v>
      </c>
      <c r="K809" s="14">
        <f>VLOOKUP($C809,Rotation!$A$2:$J$10,2,FALSE)</f>
        <v>1</v>
      </c>
      <c r="L809" s="14">
        <f>VLOOKUP($C809,Rotation!$A$2:$J$10,3,FALSE)</f>
        <v>0</v>
      </c>
      <c r="M809" s="14">
        <f>VLOOKUP($C809,Rotation!$A$2:$J$10,4,FALSE)</f>
        <v>0</v>
      </c>
      <c r="N809" s="14">
        <f>VLOOKUP($C809,Rotation!$A$2:$J$10,5,FALSE)</f>
        <v>0</v>
      </c>
      <c r="O809" s="14">
        <f>VLOOKUP($C809,Rotation!$A$2:$J$10,6,FALSE)</f>
        <v>0</v>
      </c>
      <c r="P809" s="14">
        <f>VLOOKUP($C809,Rotation!$A$2:$J$10,7,FALSE)</f>
        <v>0</v>
      </c>
      <c r="Q809" s="14">
        <f>VLOOKUP($C809,Rotation!$A$2:$J$10,8,FALSE)</f>
        <v>1</v>
      </c>
      <c r="R809" s="14">
        <f>VLOOKUP($C809,Rotation!$A$2:$J$10,9,FALSE)</f>
        <v>0</v>
      </c>
      <c r="S809" s="14">
        <f>VLOOKUP($C809,Rotation!$A$2:$J$10,10,FALSE)</f>
        <v>0</v>
      </c>
    </row>
    <row r="810" spans="1:19" ht="18">
      <c r="A810" s="14">
        <v>808</v>
      </c>
      <c r="B810" s="14" t="s">
        <v>69</v>
      </c>
      <c r="C810" s="14" t="str">
        <f>VLOOKUP(B810,Family!B:C,2,FALSE)</f>
        <v>A</v>
      </c>
      <c r="D810" s="15">
        <v>19</v>
      </c>
      <c r="E810" s="14">
        <f>ROUND(VLOOKUP(C810,'Production Plan'!A:B,2,FALSE),2)</f>
        <v>407.17</v>
      </c>
      <c r="F810" s="16">
        <v>45751</v>
      </c>
      <c r="G810" s="17">
        <f>F810+6*7</f>
        <v>45793</v>
      </c>
      <c r="H810" s="14">
        <f>G810-F810</f>
        <v>42</v>
      </c>
      <c r="I810" s="14">
        <f>ROUND(D810/E810,3)</f>
        <v>4.7E-2</v>
      </c>
      <c r="J810" s="14">
        <f>I810*24</f>
        <v>1.1280000000000001</v>
      </c>
      <c r="K810" s="14">
        <f>VLOOKUP($C810,Rotation!$A$2:$J$10,2,FALSE)</f>
        <v>1</v>
      </c>
      <c r="L810" s="14">
        <f>VLOOKUP($C810,Rotation!$A$2:$J$10,3,FALSE)</f>
        <v>1</v>
      </c>
      <c r="M810" s="14">
        <f>VLOOKUP($C810,Rotation!$A$2:$J$10,4,FALSE)</f>
        <v>1</v>
      </c>
      <c r="N810" s="14">
        <f>VLOOKUP($C810,Rotation!$A$2:$J$10,5,FALSE)</f>
        <v>0</v>
      </c>
      <c r="O810" s="14">
        <f>VLOOKUP($C810,Rotation!$A$2:$J$10,6,FALSE)</f>
        <v>0</v>
      </c>
      <c r="P810" s="14">
        <f>VLOOKUP($C810,Rotation!$A$2:$J$10,7,FALSE)</f>
        <v>0</v>
      </c>
      <c r="Q810" s="14">
        <f>VLOOKUP($C810,Rotation!$A$2:$J$10,8,FALSE)</f>
        <v>0</v>
      </c>
      <c r="R810" s="14">
        <f>VLOOKUP($C810,Rotation!$A$2:$J$10,9,FALSE)</f>
        <v>0</v>
      </c>
      <c r="S810" s="14">
        <f>VLOOKUP($C810,Rotation!$A$2:$J$10,10,FALSE)</f>
        <v>0</v>
      </c>
    </row>
    <row r="811" spans="1:19" ht="18">
      <c r="A811" s="14">
        <v>809</v>
      </c>
      <c r="B811" s="14" t="s">
        <v>64</v>
      </c>
      <c r="C811" s="14" t="str">
        <f>VLOOKUP(B811,Family!B:C,2,FALSE)</f>
        <v>A</v>
      </c>
      <c r="D811" s="15">
        <v>37</v>
      </c>
      <c r="E811" s="14">
        <f>ROUND(VLOOKUP(C811,'Production Plan'!A:B,2,FALSE),2)</f>
        <v>407.17</v>
      </c>
      <c r="F811" s="16">
        <v>45831</v>
      </c>
      <c r="G811" s="17">
        <f>F811+6*7</f>
        <v>45873</v>
      </c>
      <c r="H811" s="14">
        <f>G811-F811</f>
        <v>42</v>
      </c>
      <c r="I811" s="14">
        <f>ROUND(D811/E811,3)</f>
        <v>9.0999999999999998E-2</v>
      </c>
      <c r="J811" s="14">
        <f>I811*24</f>
        <v>2.1840000000000002</v>
      </c>
      <c r="K811" s="14">
        <f>VLOOKUP($C811,Rotation!$A$2:$J$10,2,FALSE)</f>
        <v>1</v>
      </c>
      <c r="L811" s="14">
        <f>VLOOKUP($C811,Rotation!$A$2:$J$10,3,FALSE)</f>
        <v>1</v>
      </c>
      <c r="M811" s="14">
        <f>VLOOKUP($C811,Rotation!$A$2:$J$10,4,FALSE)</f>
        <v>1</v>
      </c>
      <c r="N811" s="14">
        <f>VLOOKUP($C811,Rotation!$A$2:$J$10,5,FALSE)</f>
        <v>0</v>
      </c>
      <c r="O811" s="14">
        <f>VLOOKUP($C811,Rotation!$A$2:$J$10,6,FALSE)</f>
        <v>0</v>
      </c>
      <c r="P811" s="14">
        <f>VLOOKUP($C811,Rotation!$A$2:$J$10,7,FALSE)</f>
        <v>0</v>
      </c>
      <c r="Q811" s="14">
        <f>VLOOKUP($C811,Rotation!$A$2:$J$10,8,FALSE)</f>
        <v>0</v>
      </c>
      <c r="R811" s="14">
        <f>VLOOKUP($C811,Rotation!$A$2:$J$10,9,FALSE)</f>
        <v>0</v>
      </c>
      <c r="S811" s="14">
        <f>VLOOKUP($C811,Rotation!$A$2:$J$10,10,FALSE)</f>
        <v>0</v>
      </c>
    </row>
    <row r="812" spans="1:19" ht="18">
      <c r="A812" s="14">
        <v>810</v>
      </c>
      <c r="B812" s="14" t="s">
        <v>69</v>
      </c>
      <c r="C812" s="14" t="str">
        <f>VLOOKUP(B812,Family!B:C,2,FALSE)</f>
        <v>A</v>
      </c>
      <c r="D812" s="15">
        <v>19</v>
      </c>
      <c r="E812" s="14">
        <f>ROUND(VLOOKUP(C812,'Production Plan'!A:B,2,FALSE),2)</f>
        <v>407.17</v>
      </c>
      <c r="F812" s="16">
        <v>45751</v>
      </c>
      <c r="G812" s="17">
        <f>F812+6*7</f>
        <v>45793</v>
      </c>
      <c r="H812" s="14">
        <f>G812-F812</f>
        <v>42</v>
      </c>
      <c r="I812" s="14">
        <f>ROUND(D812/E812,3)</f>
        <v>4.7E-2</v>
      </c>
      <c r="J812" s="14">
        <f>I812*24</f>
        <v>1.1280000000000001</v>
      </c>
      <c r="K812" s="14">
        <f>VLOOKUP($C812,Rotation!$A$2:$J$10,2,FALSE)</f>
        <v>1</v>
      </c>
      <c r="L812" s="14">
        <f>VLOOKUP($C812,Rotation!$A$2:$J$10,3,FALSE)</f>
        <v>1</v>
      </c>
      <c r="M812" s="14">
        <f>VLOOKUP($C812,Rotation!$A$2:$J$10,4,FALSE)</f>
        <v>1</v>
      </c>
      <c r="N812" s="14">
        <f>VLOOKUP($C812,Rotation!$A$2:$J$10,5,FALSE)</f>
        <v>0</v>
      </c>
      <c r="O812" s="14">
        <f>VLOOKUP($C812,Rotation!$A$2:$J$10,6,FALSE)</f>
        <v>0</v>
      </c>
      <c r="P812" s="14">
        <f>VLOOKUP($C812,Rotation!$A$2:$J$10,7,FALSE)</f>
        <v>0</v>
      </c>
      <c r="Q812" s="14">
        <f>VLOOKUP($C812,Rotation!$A$2:$J$10,8,FALSE)</f>
        <v>0</v>
      </c>
      <c r="R812" s="14">
        <f>VLOOKUP($C812,Rotation!$A$2:$J$10,9,FALSE)</f>
        <v>0</v>
      </c>
      <c r="S812" s="14">
        <f>VLOOKUP($C812,Rotation!$A$2:$J$10,10,FALSE)</f>
        <v>0</v>
      </c>
    </row>
    <row r="813" spans="1:19" ht="18">
      <c r="A813" s="14">
        <v>811</v>
      </c>
      <c r="B813" s="14" t="s">
        <v>69</v>
      </c>
      <c r="C813" s="14" t="str">
        <f>VLOOKUP(B813,Family!B:C,2,FALSE)</f>
        <v>A</v>
      </c>
      <c r="D813" s="15">
        <v>19</v>
      </c>
      <c r="E813" s="14">
        <f>ROUND(VLOOKUP(C813,'Production Plan'!A:B,2,FALSE),2)</f>
        <v>407.17</v>
      </c>
      <c r="F813" s="16">
        <v>45751</v>
      </c>
      <c r="G813" s="17">
        <f>F813+6*7</f>
        <v>45793</v>
      </c>
      <c r="H813" s="14">
        <f>G813-F813</f>
        <v>42</v>
      </c>
      <c r="I813" s="14">
        <f>ROUND(D813/E813,3)</f>
        <v>4.7E-2</v>
      </c>
      <c r="J813" s="14">
        <f>I813*24</f>
        <v>1.1280000000000001</v>
      </c>
      <c r="K813" s="14">
        <f>VLOOKUP($C813,Rotation!$A$2:$J$10,2,FALSE)</f>
        <v>1</v>
      </c>
      <c r="L813" s="14">
        <f>VLOOKUP($C813,Rotation!$A$2:$J$10,3,FALSE)</f>
        <v>1</v>
      </c>
      <c r="M813" s="14">
        <f>VLOOKUP($C813,Rotation!$A$2:$J$10,4,FALSE)</f>
        <v>1</v>
      </c>
      <c r="N813" s="14">
        <f>VLOOKUP($C813,Rotation!$A$2:$J$10,5,FALSE)</f>
        <v>0</v>
      </c>
      <c r="O813" s="14">
        <f>VLOOKUP($C813,Rotation!$A$2:$J$10,6,FALSE)</f>
        <v>0</v>
      </c>
      <c r="P813" s="14">
        <f>VLOOKUP($C813,Rotation!$A$2:$J$10,7,FALSE)</f>
        <v>0</v>
      </c>
      <c r="Q813" s="14">
        <f>VLOOKUP($C813,Rotation!$A$2:$J$10,8,FALSE)</f>
        <v>0</v>
      </c>
      <c r="R813" s="14">
        <f>VLOOKUP($C813,Rotation!$A$2:$J$10,9,FALSE)</f>
        <v>0</v>
      </c>
      <c r="S813" s="14">
        <f>VLOOKUP($C813,Rotation!$A$2:$J$10,10,FALSE)</f>
        <v>0</v>
      </c>
    </row>
    <row r="814" spans="1:19" ht="18">
      <c r="A814" s="14">
        <v>812</v>
      </c>
      <c r="B814" s="14" t="s">
        <v>98</v>
      </c>
      <c r="C814" s="14" t="str">
        <f>VLOOKUP(B814,Family!B:C,2,FALSE)</f>
        <v>H</v>
      </c>
      <c r="D814" s="15">
        <v>19</v>
      </c>
      <c r="E814" s="14">
        <f>ROUND(VLOOKUP(C814,'Production Plan'!A:B,2,FALSE),2)</f>
        <v>402.02</v>
      </c>
      <c r="F814" s="16">
        <v>45761</v>
      </c>
      <c r="G814" s="17">
        <f>F814+6*7</f>
        <v>45803</v>
      </c>
      <c r="H814" s="14">
        <f>G814-F814</f>
        <v>42</v>
      </c>
      <c r="I814" s="14">
        <f>ROUND(D814/E814,3)</f>
        <v>4.7E-2</v>
      </c>
      <c r="J814" s="14">
        <f>I814*24</f>
        <v>1.1280000000000001</v>
      </c>
      <c r="K814" s="14">
        <f>VLOOKUP($C814,Rotation!$A$2:$J$10,2,FALSE)</f>
        <v>0</v>
      </c>
      <c r="L814" s="14">
        <f>VLOOKUP($C814,Rotation!$A$2:$J$10,3,FALSE)</f>
        <v>0</v>
      </c>
      <c r="M814" s="14">
        <f>VLOOKUP($C814,Rotation!$A$2:$J$10,4,FALSE)</f>
        <v>1</v>
      </c>
      <c r="N814" s="14">
        <f>VLOOKUP($C814,Rotation!$A$2:$J$10,5,FALSE)</f>
        <v>1</v>
      </c>
      <c r="O814" s="14">
        <f>VLOOKUP($C814,Rotation!$A$2:$J$10,6,FALSE)</f>
        <v>0</v>
      </c>
      <c r="P814" s="14">
        <f>VLOOKUP($C814,Rotation!$A$2:$J$10,7,FALSE)</f>
        <v>0</v>
      </c>
      <c r="Q814" s="14">
        <f>VLOOKUP($C814,Rotation!$A$2:$J$10,8,FALSE)</f>
        <v>0</v>
      </c>
      <c r="R814" s="14">
        <f>VLOOKUP($C814,Rotation!$A$2:$J$10,9,FALSE)</f>
        <v>0</v>
      </c>
      <c r="S814" s="14">
        <f>VLOOKUP($C814,Rotation!$A$2:$J$10,10,FALSE)</f>
        <v>0</v>
      </c>
    </row>
    <row r="815" spans="1:19" ht="18">
      <c r="A815" s="14">
        <v>813</v>
      </c>
      <c r="B815" s="14" t="s">
        <v>98</v>
      </c>
      <c r="C815" s="14" t="str">
        <f>VLOOKUP(B815,Family!B:C,2,FALSE)</f>
        <v>H</v>
      </c>
      <c r="D815" s="15">
        <v>19</v>
      </c>
      <c r="E815" s="14">
        <f>ROUND(VLOOKUP(C815,'Production Plan'!A:B,2,FALSE),2)</f>
        <v>402.02</v>
      </c>
      <c r="F815" s="16">
        <v>45790</v>
      </c>
      <c r="G815" s="17">
        <f>F815+6*7</f>
        <v>45832</v>
      </c>
      <c r="H815" s="14">
        <f>G815-F815</f>
        <v>42</v>
      </c>
      <c r="I815" s="14">
        <f>ROUND(D815/E815,3)</f>
        <v>4.7E-2</v>
      </c>
      <c r="J815" s="14">
        <f>I815*24</f>
        <v>1.1280000000000001</v>
      </c>
      <c r="K815" s="14">
        <f>VLOOKUP($C815,Rotation!$A$2:$J$10,2,FALSE)</f>
        <v>0</v>
      </c>
      <c r="L815" s="14">
        <f>VLOOKUP($C815,Rotation!$A$2:$J$10,3,FALSE)</f>
        <v>0</v>
      </c>
      <c r="M815" s="14">
        <f>VLOOKUP($C815,Rotation!$A$2:$J$10,4,FALSE)</f>
        <v>1</v>
      </c>
      <c r="N815" s="14">
        <f>VLOOKUP($C815,Rotation!$A$2:$J$10,5,FALSE)</f>
        <v>1</v>
      </c>
      <c r="O815" s="14">
        <f>VLOOKUP($C815,Rotation!$A$2:$J$10,6,FALSE)</f>
        <v>0</v>
      </c>
      <c r="P815" s="14">
        <f>VLOOKUP($C815,Rotation!$A$2:$J$10,7,FALSE)</f>
        <v>0</v>
      </c>
      <c r="Q815" s="14">
        <f>VLOOKUP($C815,Rotation!$A$2:$J$10,8,FALSE)</f>
        <v>0</v>
      </c>
      <c r="R815" s="14">
        <f>VLOOKUP($C815,Rotation!$A$2:$J$10,9,FALSE)</f>
        <v>0</v>
      </c>
      <c r="S815" s="14">
        <f>VLOOKUP($C815,Rotation!$A$2:$J$10,10,FALSE)</f>
        <v>0</v>
      </c>
    </row>
    <row r="816" spans="1:19" ht="18">
      <c r="A816" s="14">
        <v>814</v>
      </c>
      <c r="B816" s="14" t="s">
        <v>65</v>
      </c>
      <c r="C816" s="14" t="str">
        <f>VLOOKUP(B816,Family!B:C,2,FALSE)</f>
        <v>A</v>
      </c>
      <c r="D816" s="15">
        <v>19</v>
      </c>
      <c r="E816" s="14">
        <f>ROUND(VLOOKUP(C816,'Production Plan'!A:B,2,FALSE),2)</f>
        <v>407.17</v>
      </c>
      <c r="F816" s="16">
        <v>45870</v>
      </c>
      <c r="G816" s="17">
        <f>F816+6*7</f>
        <v>45912</v>
      </c>
      <c r="H816" s="14">
        <f>G816-F816</f>
        <v>42</v>
      </c>
      <c r="I816" s="14">
        <f>ROUND(D816/E816,3)</f>
        <v>4.7E-2</v>
      </c>
      <c r="J816" s="14">
        <f>I816*24</f>
        <v>1.1280000000000001</v>
      </c>
      <c r="K816" s="14">
        <f>VLOOKUP($C816,Rotation!$A$2:$J$10,2,FALSE)</f>
        <v>1</v>
      </c>
      <c r="L816" s="14">
        <f>VLOOKUP($C816,Rotation!$A$2:$J$10,3,FALSE)</f>
        <v>1</v>
      </c>
      <c r="M816" s="14">
        <f>VLOOKUP($C816,Rotation!$A$2:$J$10,4,FALSE)</f>
        <v>1</v>
      </c>
      <c r="N816" s="14">
        <f>VLOOKUP($C816,Rotation!$A$2:$J$10,5,FALSE)</f>
        <v>0</v>
      </c>
      <c r="O816" s="14">
        <f>VLOOKUP($C816,Rotation!$A$2:$J$10,6,FALSE)</f>
        <v>0</v>
      </c>
      <c r="P816" s="14">
        <f>VLOOKUP($C816,Rotation!$A$2:$J$10,7,FALSE)</f>
        <v>0</v>
      </c>
      <c r="Q816" s="14">
        <f>VLOOKUP($C816,Rotation!$A$2:$J$10,8,FALSE)</f>
        <v>0</v>
      </c>
      <c r="R816" s="14">
        <f>VLOOKUP($C816,Rotation!$A$2:$J$10,9,FALSE)</f>
        <v>0</v>
      </c>
      <c r="S816" s="14">
        <f>VLOOKUP($C816,Rotation!$A$2:$J$10,10,FALSE)</f>
        <v>0</v>
      </c>
    </row>
    <row r="817" spans="1:19" ht="18">
      <c r="A817" s="14">
        <v>815</v>
      </c>
      <c r="B817" s="14" t="s">
        <v>72</v>
      </c>
      <c r="C817" s="14" t="str">
        <f>VLOOKUP(B817,Family!B:C,2,FALSE)</f>
        <v>A</v>
      </c>
      <c r="D817" s="15">
        <v>49</v>
      </c>
      <c r="E817" s="14">
        <f>ROUND(VLOOKUP(C817,'Production Plan'!A:B,2,FALSE),2)</f>
        <v>407.17</v>
      </c>
      <c r="F817" s="16">
        <v>45859</v>
      </c>
      <c r="G817" s="17">
        <f>F817+6*7</f>
        <v>45901</v>
      </c>
      <c r="H817" s="14">
        <f>G817-F817</f>
        <v>42</v>
      </c>
      <c r="I817" s="14">
        <f>ROUND(D817/E817,3)</f>
        <v>0.12</v>
      </c>
      <c r="J817" s="14">
        <f>I817*24</f>
        <v>2.88</v>
      </c>
      <c r="K817" s="14">
        <f>VLOOKUP($C817,Rotation!$A$2:$J$10,2,FALSE)</f>
        <v>1</v>
      </c>
      <c r="L817" s="14">
        <f>VLOOKUP($C817,Rotation!$A$2:$J$10,3,FALSE)</f>
        <v>1</v>
      </c>
      <c r="M817" s="14">
        <f>VLOOKUP($C817,Rotation!$A$2:$J$10,4,FALSE)</f>
        <v>1</v>
      </c>
      <c r="N817" s="14">
        <f>VLOOKUP($C817,Rotation!$A$2:$J$10,5,FALSE)</f>
        <v>0</v>
      </c>
      <c r="O817" s="14">
        <f>VLOOKUP($C817,Rotation!$A$2:$J$10,6,FALSE)</f>
        <v>0</v>
      </c>
      <c r="P817" s="14">
        <f>VLOOKUP($C817,Rotation!$A$2:$J$10,7,FALSE)</f>
        <v>0</v>
      </c>
      <c r="Q817" s="14">
        <f>VLOOKUP($C817,Rotation!$A$2:$J$10,8,FALSE)</f>
        <v>0</v>
      </c>
      <c r="R817" s="14">
        <f>VLOOKUP($C817,Rotation!$A$2:$J$10,9,FALSE)</f>
        <v>0</v>
      </c>
      <c r="S817" s="14">
        <f>VLOOKUP($C817,Rotation!$A$2:$J$10,10,FALSE)</f>
        <v>0</v>
      </c>
    </row>
    <row r="818" spans="1:19" ht="18">
      <c r="A818" s="14">
        <v>816</v>
      </c>
      <c r="B818" s="14" t="s">
        <v>108</v>
      </c>
      <c r="C818" s="14" t="str">
        <f>VLOOKUP(B818,Family!B:C,2,FALSE)</f>
        <v>P</v>
      </c>
      <c r="D818" s="15">
        <v>108</v>
      </c>
      <c r="E818" s="14">
        <f>ROUND(VLOOKUP(C818,'Production Plan'!A:B,2,FALSE),2)</f>
        <v>409.15</v>
      </c>
      <c r="F818" s="16">
        <v>45859</v>
      </c>
      <c r="G818" s="17">
        <f>F818+6*7</f>
        <v>45901</v>
      </c>
      <c r="H818" s="14">
        <f>G818-F818</f>
        <v>42</v>
      </c>
      <c r="I818" s="14">
        <f>ROUND(D818/E818,3)</f>
        <v>0.26400000000000001</v>
      </c>
      <c r="J818" s="14">
        <f>I818*24</f>
        <v>6.3360000000000003</v>
      </c>
      <c r="K818" s="14">
        <f>VLOOKUP($C818,Rotation!$A$2:$J$10,2,FALSE)</f>
        <v>1</v>
      </c>
      <c r="L818" s="14">
        <f>VLOOKUP($C818,Rotation!$A$2:$J$10,3,FALSE)</f>
        <v>1</v>
      </c>
      <c r="M818" s="14">
        <f>VLOOKUP($C818,Rotation!$A$2:$J$10,4,FALSE)</f>
        <v>0</v>
      </c>
      <c r="N818" s="14">
        <f>VLOOKUP($C818,Rotation!$A$2:$J$10,5,FALSE)</f>
        <v>0</v>
      </c>
      <c r="O818" s="14">
        <f>VLOOKUP($C818,Rotation!$A$2:$J$10,6,FALSE)</f>
        <v>0</v>
      </c>
      <c r="P818" s="14">
        <f>VLOOKUP($C818,Rotation!$A$2:$J$10,7,FALSE)</f>
        <v>0</v>
      </c>
      <c r="Q818" s="14">
        <f>VLOOKUP($C818,Rotation!$A$2:$J$10,8,FALSE)</f>
        <v>0</v>
      </c>
      <c r="R818" s="14">
        <f>VLOOKUP($C818,Rotation!$A$2:$J$10,9,FALSE)</f>
        <v>0</v>
      </c>
      <c r="S818" s="14">
        <f>VLOOKUP($C818,Rotation!$A$2:$J$10,10,FALSE)</f>
        <v>0</v>
      </c>
    </row>
    <row r="819" spans="1:19" ht="18">
      <c r="A819" s="14">
        <v>817</v>
      </c>
      <c r="B819" s="14" t="s">
        <v>108</v>
      </c>
      <c r="C819" s="14" t="str">
        <f>VLOOKUP(B819,Family!B:C,2,FALSE)</f>
        <v>P</v>
      </c>
      <c r="D819" s="15">
        <v>108</v>
      </c>
      <c r="E819" s="14">
        <f>ROUND(VLOOKUP(C819,'Production Plan'!A:B,2,FALSE),2)</f>
        <v>409.15</v>
      </c>
      <c r="F819" s="16">
        <v>45859</v>
      </c>
      <c r="G819" s="17">
        <f>F819+6*7</f>
        <v>45901</v>
      </c>
      <c r="H819" s="14">
        <f>G819-F819</f>
        <v>42</v>
      </c>
      <c r="I819" s="14">
        <f>ROUND(D819/E819,3)</f>
        <v>0.26400000000000001</v>
      </c>
      <c r="J819" s="14">
        <f>I819*24</f>
        <v>6.3360000000000003</v>
      </c>
      <c r="K819" s="14">
        <f>VLOOKUP($C819,Rotation!$A$2:$J$10,2,FALSE)</f>
        <v>1</v>
      </c>
      <c r="L819" s="14">
        <f>VLOOKUP($C819,Rotation!$A$2:$J$10,3,FALSE)</f>
        <v>1</v>
      </c>
      <c r="M819" s="14">
        <f>VLOOKUP($C819,Rotation!$A$2:$J$10,4,FALSE)</f>
        <v>0</v>
      </c>
      <c r="N819" s="14">
        <f>VLOOKUP($C819,Rotation!$A$2:$J$10,5,FALSE)</f>
        <v>0</v>
      </c>
      <c r="O819" s="14">
        <f>VLOOKUP($C819,Rotation!$A$2:$J$10,6,FALSE)</f>
        <v>0</v>
      </c>
      <c r="P819" s="14">
        <f>VLOOKUP($C819,Rotation!$A$2:$J$10,7,FALSE)</f>
        <v>0</v>
      </c>
      <c r="Q819" s="14">
        <f>VLOOKUP($C819,Rotation!$A$2:$J$10,8,FALSE)</f>
        <v>0</v>
      </c>
      <c r="R819" s="14">
        <f>VLOOKUP($C819,Rotation!$A$2:$J$10,9,FALSE)</f>
        <v>0</v>
      </c>
      <c r="S819" s="14">
        <f>VLOOKUP($C819,Rotation!$A$2:$J$10,10,FALSE)</f>
        <v>0</v>
      </c>
    </row>
    <row r="820" spans="1:19" ht="18">
      <c r="A820" s="14">
        <v>818</v>
      </c>
      <c r="B820" s="14" t="s">
        <v>66</v>
      </c>
      <c r="C820" s="14" t="str">
        <f>VLOOKUP(B820,Family!B:C,2,FALSE)</f>
        <v>A</v>
      </c>
      <c r="D820" s="15">
        <v>117</v>
      </c>
      <c r="E820" s="14">
        <f>ROUND(VLOOKUP(C820,'Production Plan'!A:B,2,FALSE),2)</f>
        <v>407.17</v>
      </c>
      <c r="F820" s="16">
        <v>45862</v>
      </c>
      <c r="G820" s="17">
        <f>F820+6*7</f>
        <v>45904</v>
      </c>
      <c r="H820" s="14">
        <f>G820-F820</f>
        <v>42</v>
      </c>
      <c r="I820" s="14">
        <f>ROUND(D820/E820,3)</f>
        <v>0.28699999999999998</v>
      </c>
      <c r="J820" s="14">
        <f>I820*24</f>
        <v>6.8879999999999999</v>
      </c>
      <c r="K820" s="14">
        <f>VLOOKUP($C820,Rotation!$A$2:$J$10,2,FALSE)</f>
        <v>1</v>
      </c>
      <c r="L820" s="14">
        <f>VLOOKUP($C820,Rotation!$A$2:$J$10,3,FALSE)</f>
        <v>1</v>
      </c>
      <c r="M820" s="14">
        <f>VLOOKUP($C820,Rotation!$A$2:$J$10,4,FALSE)</f>
        <v>1</v>
      </c>
      <c r="N820" s="14">
        <f>VLOOKUP($C820,Rotation!$A$2:$J$10,5,FALSE)</f>
        <v>0</v>
      </c>
      <c r="O820" s="14">
        <f>VLOOKUP($C820,Rotation!$A$2:$J$10,6,FALSE)</f>
        <v>0</v>
      </c>
      <c r="P820" s="14">
        <f>VLOOKUP($C820,Rotation!$A$2:$J$10,7,FALSE)</f>
        <v>0</v>
      </c>
      <c r="Q820" s="14">
        <f>VLOOKUP($C820,Rotation!$A$2:$J$10,8,FALSE)</f>
        <v>0</v>
      </c>
      <c r="R820" s="14">
        <f>VLOOKUP($C820,Rotation!$A$2:$J$10,9,FALSE)</f>
        <v>0</v>
      </c>
      <c r="S820" s="14">
        <f>VLOOKUP($C820,Rotation!$A$2:$J$10,10,FALSE)</f>
        <v>0</v>
      </c>
    </row>
    <row r="821" spans="1:19" ht="18">
      <c r="A821" s="14">
        <v>819</v>
      </c>
      <c r="B821" s="14" t="s">
        <v>69</v>
      </c>
      <c r="C821" s="14" t="str">
        <f>VLOOKUP(B821,Family!B:C,2,FALSE)</f>
        <v>A</v>
      </c>
      <c r="D821" s="15">
        <v>19</v>
      </c>
      <c r="E821" s="14">
        <f>ROUND(VLOOKUP(C821,'Production Plan'!A:B,2,FALSE),2)</f>
        <v>407.17</v>
      </c>
      <c r="F821" s="16">
        <v>45751</v>
      </c>
      <c r="G821" s="17">
        <f>F821+6*7</f>
        <v>45793</v>
      </c>
      <c r="H821" s="14">
        <f>G821-F821</f>
        <v>42</v>
      </c>
      <c r="I821" s="14">
        <f>ROUND(D821/E821,3)</f>
        <v>4.7E-2</v>
      </c>
      <c r="J821" s="14">
        <f>I821*24</f>
        <v>1.1280000000000001</v>
      </c>
      <c r="K821" s="14">
        <f>VLOOKUP($C821,Rotation!$A$2:$J$10,2,FALSE)</f>
        <v>1</v>
      </c>
      <c r="L821" s="14">
        <f>VLOOKUP($C821,Rotation!$A$2:$J$10,3,FALSE)</f>
        <v>1</v>
      </c>
      <c r="M821" s="14">
        <f>VLOOKUP($C821,Rotation!$A$2:$J$10,4,FALSE)</f>
        <v>1</v>
      </c>
      <c r="N821" s="14">
        <f>VLOOKUP($C821,Rotation!$A$2:$J$10,5,FALSE)</f>
        <v>0</v>
      </c>
      <c r="O821" s="14">
        <f>VLOOKUP($C821,Rotation!$A$2:$J$10,6,FALSE)</f>
        <v>0</v>
      </c>
      <c r="P821" s="14">
        <f>VLOOKUP($C821,Rotation!$A$2:$J$10,7,FALSE)</f>
        <v>0</v>
      </c>
      <c r="Q821" s="14">
        <f>VLOOKUP($C821,Rotation!$A$2:$J$10,8,FALSE)</f>
        <v>0</v>
      </c>
      <c r="R821" s="14">
        <f>VLOOKUP($C821,Rotation!$A$2:$J$10,9,FALSE)</f>
        <v>0</v>
      </c>
      <c r="S821" s="14">
        <f>VLOOKUP($C821,Rotation!$A$2:$J$10,10,FALSE)</f>
        <v>0</v>
      </c>
    </row>
    <row r="822" spans="1:19" ht="18">
      <c r="A822" s="14">
        <v>820</v>
      </c>
      <c r="B822" s="14" t="s">
        <v>69</v>
      </c>
      <c r="C822" s="14" t="str">
        <f>VLOOKUP(B822,Family!B:C,2,FALSE)</f>
        <v>A</v>
      </c>
      <c r="D822" s="15">
        <v>19</v>
      </c>
      <c r="E822" s="14">
        <f>ROUND(VLOOKUP(C822,'Production Plan'!A:B,2,FALSE),2)</f>
        <v>407.17</v>
      </c>
      <c r="F822" s="16">
        <v>45751</v>
      </c>
      <c r="G822" s="17">
        <f>F822+6*7</f>
        <v>45793</v>
      </c>
      <c r="H822" s="14">
        <f>G822-F822</f>
        <v>42</v>
      </c>
      <c r="I822" s="14">
        <f>ROUND(D822/E822,3)</f>
        <v>4.7E-2</v>
      </c>
      <c r="J822" s="14">
        <f>I822*24</f>
        <v>1.1280000000000001</v>
      </c>
      <c r="K822" s="14">
        <f>VLOOKUP($C822,Rotation!$A$2:$J$10,2,FALSE)</f>
        <v>1</v>
      </c>
      <c r="L822" s="14">
        <f>VLOOKUP($C822,Rotation!$A$2:$J$10,3,FALSE)</f>
        <v>1</v>
      </c>
      <c r="M822" s="14">
        <f>VLOOKUP($C822,Rotation!$A$2:$J$10,4,FALSE)</f>
        <v>1</v>
      </c>
      <c r="N822" s="14">
        <f>VLOOKUP($C822,Rotation!$A$2:$J$10,5,FALSE)</f>
        <v>0</v>
      </c>
      <c r="O822" s="14">
        <f>VLOOKUP($C822,Rotation!$A$2:$J$10,6,FALSE)</f>
        <v>0</v>
      </c>
      <c r="P822" s="14">
        <f>VLOOKUP($C822,Rotation!$A$2:$J$10,7,FALSE)</f>
        <v>0</v>
      </c>
      <c r="Q822" s="14">
        <f>VLOOKUP($C822,Rotation!$A$2:$J$10,8,FALSE)</f>
        <v>0</v>
      </c>
      <c r="R822" s="14">
        <f>VLOOKUP($C822,Rotation!$A$2:$J$10,9,FALSE)</f>
        <v>0</v>
      </c>
      <c r="S822" s="14">
        <f>VLOOKUP($C822,Rotation!$A$2:$J$10,10,FALSE)</f>
        <v>0</v>
      </c>
    </row>
    <row r="823" spans="1:19" ht="18">
      <c r="A823" s="14">
        <v>821</v>
      </c>
      <c r="B823" s="14" t="s">
        <v>69</v>
      </c>
      <c r="C823" s="14" t="str">
        <f>VLOOKUP(B823,Family!B:C,2,FALSE)</f>
        <v>A</v>
      </c>
      <c r="D823" s="15">
        <v>19</v>
      </c>
      <c r="E823" s="14">
        <f>ROUND(VLOOKUP(C823,'Production Plan'!A:B,2,FALSE),2)</f>
        <v>407.17</v>
      </c>
      <c r="F823" s="16">
        <v>45751</v>
      </c>
      <c r="G823" s="17">
        <f>F823+6*7</f>
        <v>45793</v>
      </c>
      <c r="H823" s="14">
        <f>G823-F823</f>
        <v>42</v>
      </c>
      <c r="I823" s="14">
        <f>ROUND(D823/E823,3)</f>
        <v>4.7E-2</v>
      </c>
      <c r="J823" s="14">
        <f>I823*24</f>
        <v>1.1280000000000001</v>
      </c>
      <c r="K823" s="14">
        <f>VLOOKUP($C823,Rotation!$A$2:$J$10,2,FALSE)</f>
        <v>1</v>
      </c>
      <c r="L823" s="14">
        <f>VLOOKUP($C823,Rotation!$A$2:$J$10,3,FALSE)</f>
        <v>1</v>
      </c>
      <c r="M823" s="14">
        <f>VLOOKUP($C823,Rotation!$A$2:$J$10,4,FALSE)</f>
        <v>1</v>
      </c>
      <c r="N823" s="14">
        <f>VLOOKUP($C823,Rotation!$A$2:$J$10,5,FALSE)</f>
        <v>0</v>
      </c>
      <c r="O823" s="14">
        <f>VLOOKUP($C823,Rotation!$A$2:$J$10,6,FALSE)</f>
        <v>0</v>
      </c>
      <c r="P823" s="14">
        <f>VLOOKUP($C823,Rotation!$A$2:$J$10,7,FALSE)</f>
        <v>0</v>
      </c>
      <c r="Q823" s="14">
        <f>VLOOKUP($C823,Rotation!$A$2:$J$10,8,FALSE)</f>
        <v>0</v>
      </c>
      <c r="R823" s="14">
        <f>VLOOKUP($C823,Rotation!$A$2:$J$10,9,FALSE)</f>
        <v>0</v>
      </c>
      <c r="S823" s="14">
        <f>VLOOKUP($C823,Rotation!$A$2:$J$10,10,FALSE)</f>
        <v>0</v>
      </c>
    </row>
    <row r="824" spans="1:19" ht="18">
      <c r="A824" s="14">
        <v>822</v>
      </c>
      <c r="B824" s="14" t="s">
        <v>69</v>
      </c>
      <c r="C824" s="14" t="str">
        <f>VLOOKUP(B824,Family!B:C,2,FALSE)</f>
        <v>A</v>
      </c>
      <c r="D824" s="15">
        <v>19</v>
      </c>
      <c r="E824" s="14">
        <f>ROUND(VLOOKUP(C824,'Production Plan'!A:B,2,FALSE),2)</f>
        <v>407.17</v>
      </c>
      <c r="F824" s="16">
        <v>45751</v>
      </c>
      <c r="G824" s="17">
        <f>F824+6*7</f>
        <v>45793</v>
      </c>
      <c r="H824" s="14">
        <f>G824-F824</f>
        <v>42</v>
      </c>
      <c r="I824" s="14">
        <f>ROUND(D824/E824,3)</f>
        <v>4.7E-2</v>
      </c>
      <c r="J824" s="14">
        <f>I824*24</f>
        <v>1.1280000000000001</v>
      </c>
      <c r="K824" s="14">
        <f>VLOOKUP($C824,Rotation!$A$2:$J$10,2,FALSE)</f>
        <v>1</v>
      </c>
      <c r="L824" s="14">
        <f>VLOOKUP($C824,Rotation!$A$2:$J$10,3,FALSE)</f>
        <v>1</v>
      </c>
      <c r="M824" s="14">
        <f>VLOOKUP($C824,Rotation!$A$2:$J$10,4,FALSE)</f>
        <v>1</v>
      </c>
      <c r="N824" s="14">
        <f>VLOOKUP($C824,Rotation!$A$2:$J$10,5,FALSE)</f>
        <v>0</v>
      </c>
      <c r="O824" s="14">
        <f>VLOOKUP($C824,Rotation!$A$2:$J$10,6,FALSE)</f>
        <v>0</v>
      </c>
      <c r="P824" s="14">
        <f>VLOOKUP($C824,Rotation!$A$2:$J$10,7,FALSE)</f>
        <v>0</v>
      </c>
      <c r="Q824" s="14">
        <f>VLOOKUP($C824,Rotation!$A$2:$J$10,8,FALSE)</f>
        <v>0</v>
      </c>
      <c r="R824" s="14">
        <f>VLOOKUP($C824,Rotation!$A$2:$J$10,9,FALSE)</f>
        <v>0</v>
      </c>
      <c r="S824" s="14">
        <f>VLOOKUP($C824,Rotation!$A$2:$J$10,10,FALSE)</f>
        <v>0</v>
      </c>
    </row>
    <row r="825" spans="1:19" ht="18">
      <c r="A825" s="14">
        <v>823</v>
      </c>
      <c r="B825" s="14" t="s">
        <v>69</v>
      </c>
      <c r="C825" s="14" t="str">
        <f>VLOOKUP(B825,Family!B:C,2,FALSE)</f>
        <v>A</v>
      </c>
      <c r="D825" s="15">
        <v>19</v>
      </c>
      <c r="E825" s="14">
        <f>ROUND(VLOOKUP(C825,'Production Plan'!A:B,2,FALSE),2)</f>
        <v>407.17</v>
      </c>
      <c r="F825" s="16">
        <v>45751</v>
      </c>
      <c r="G825" s="17">
        <f>F825+6*7</f>
        <v>45793</v>
      </c>
      <c r="H825" s="14">
        <f>G825-F825</f>
        <v>42</v>
      </c>
      <c r="I825" s="14">
        <f>ROUND(D825/E825,3)</f>
        <v>4.7E-2</v>
      </c>
      <c r="J825" s="14">
        <f>I825*24</f>
        <v>1.1280000000000001</v>
      </c>
      <c r="K825" s="14">
        <f>VLOOKUP($C825,Rotation!$A$2:$J$10,2,FALSE)</f>
        <v>1</v>
      </c>
      <c r="L825" s="14">
        <f>VLOOKUP($C825,Rotation!$A$2:$J$10,3,FALSE)</f>
        <v>1</v>
      </c>
      <c r="M825" s="14">
        <f>VLOOKUP($C825,Rotation!$A$2:$J$10,4,FALSE)</f>
        <v>1</v>
      </c>
      <c r="N825" s="14">
        <f>VLOOKUP($C825,Rotation!$A$2:$J$10,5,FALSE)</f>
        <v>0</v>
      </c>
      <c r="O825" s="14">
        <f>VLOOKUP($C825,Rotation!$A$2:$J$10,6,FALSE)</f>
        <v>0</v>
      </c>
      <c r="P825" s="14">
        <f>VLOOKUP($C825,Rotation!$A$2:$J$10,7,FALSE)</f>
        <v>0</v>
      </c>
      <c r="Q825" s="14">
        <f>VLOOKUP($C825,Rotation!$A$2:$J$10,8,FALSE)</f>
        <v>0</v>
      </c>
      <c r="R825" s="14">
        <f>VLOOKUP($C825,Rotation!$A$2:$J$10,9,FALSE)</f>
        <v>0</v>
      </c>
      <c r="S825" s="14">
        <f>VLOOKUP($C825,Rotation!$A$2:$J$10,10,FALSE)</f>
        <v>0</v>
      </c>
    </row>
    <row r="826" spans="1:19" ht="18">
      <c r="A826" s="14">
        <v>824</v>
      </c>
      <c r="B826" s="14" t="s">
        <v>98</v>
      </c>
      <c r="C826" s="14" t="str">
        <f>VLOOKUP(B826,Family!B:C,2,FALSE)</f>
        <v>H</v>
      </c>
      <c r="D826" s="15">
        <v>19</v>
      </c>
      <c r="E826" s="14">
        <f>ROUND(VLOOKUP(C826,'Production Plan'!A:B,2,FALSE),2)</f>
        <v>402.02</v>
      </c>
      <c r="F826" s="16">
        <v>45761</v>
      </c>
      <c r="G826" s="17">
        <f>F826+6*7</f>
        <v>45803</v>
      </c>
      <c r="H826" s="14">
        <f>G826-F826</f>
        <v>42</v>
      </c>
      <c r="I826" s="14">
        <f>ROUND(D826/E826,3)</f>
        <v>4.7E-2</v>
      </c>
      <c r="J826" s="14">
        <f>I826*24</f>
        <v>1.1280000000000001</v>
      </c>
      <c r="K826" s="14">
        <f>VLOOKUP($C826,Rotation!$A$2:$J$10,2,FALSE)</f>
        <v>0</v>
      </c>
      <c r="L826" s="14">
        <f>VLOOKUP($C826,Rotation!$A$2:$J$10,3,FALSE)</f>
        <v>0</v>
      </c>
      <c r="M826" s="14">
        <f>VLOOKUP($C826,Rotation!$A$2:$J$10,4,FALSE)</f>
        <v>1</v>
      </c>
      <c r="N826" s="14">
        <f>VLOOKUP($C826,Rotation!$A$2:$J$10,5,FALSE)</f>
        <v>1</v>
      </c>
      <c r="O826" s="14">
        <f>VLOOKUP($C826,Rotation!$A$2:$J$10,6,FALSE)</f>
        <v>0</v>
      </c>
      <c r="P826" s="14">
        <f>VLOOKUP($C826,Rotation!$A$2:$J$10,7,FALSE)</f>
        <v>0</v>
      </c>
      <c r="Q826" s="14">
        <f>VLOOKUP($C826,Rotation!$A$2:$J$10,8,FALSE)</f>
        <v>0</v>
      </c>
      <c r="R826" s="14">
        <f>VLOOKUP($C826,Rotation!$A$2:$J$10,9,FALSE)</f>
        <v>0</v>
      </c>
      <c r="S826" s="14">
        <f>VLOOKUP($C826,Rotation!$A$2:$J$10,10,FALSE)</f>
        <v>0</v>
      </c>
    </row>
    <row r="827" spans="1:19" ht="18">
      <c r="A827" s="14">
        <v>825</v>
      </c>
      <c r="B827" s="14" t="s">
        <v>99</v>
      </c>
      <c r="C827" s="14" t="str">
        <f>VLOOKUP(B827,Family!B:C,2,FALSE)</f>
        <v>N</v>
      </c>
      <c r="D827" s="15">
        <v>19</v>
      </c>
      <c r="E827" s="14">
        <f>ROUND(VLOOKUP(C827,'Production Plan'!A:B,2,FALSE),2)</f>
        <v>334.18</v>
      </c>
      <c r="F827" s="16">
        <v>45873</v>
      </c>
      <c r="G827" s="17">
        <f>F827+6*7</f>
        <v>45915</v>
      </c>
      <c r="H827" s="14">
        <f>G827-F827</f>
        <v>42</v>
      </c>
      <c r="I827" s="14">
        <f>ROUND(D827/E827,3)</f>
        <v>5.7000000000000002E-2</v>
      </c>
      <c r="J827" s="14">
        <f>I827*24</f>
        <v>1.3680000000000001</v>
      </c>
      <c r="K827" s="14">
        <f>VLOOKUP($C827,Rotation!$A$2:$J$10,2,FALSE)</f>
        <v>1</v>
      </c>
      <c r="L827" s="14">
        <f>VLOOKUP($C827,Rotation!$A$2:$J$10,3,FALSE)</f>
        <v>0</v>
      </c>
      <c r="M827" s="14">
        <f>VLOOKUP($C827,Rotation!$A$2:$J$10,4,FALSE)</f>
        <v>0</v>
      </c>
      <c r="N827" s="14">
        <f>VLOOKUP($C827,Rotation!$A$2:$J$10,5,FALSE)</f>
        <v>0</v>
      </c>
      <c r="O827" s="14">
        <f>VLOOKUP($C827,Rotation!$A$2:$J$10,6,FALSE)</f>
        <v>0</v>
      </c>
      <c r="P827" s="14">
        <f>VLOOKUP($C827,Rotation!$A$2:$J$10,7,FALSE)</f>
        <v>0</v>
      </c>
      <c r="Q827" s="14">
        <f>VLOOKUP($C827,Rotation!$A$2:$J$10,8,FALSE)</f>
        <v>1</v>
      </c>
      <c r="R827" s="14">
        <f>VLOOKUP($C827,Rotation!$A$2:$J$10,9,FALSE)</f>
        <v>0</v>
      </c>
      <c r="S827" s="14">
        <f>VLOOKUP($C827,Rotation!$A$2:$J$10,10,FALSE)</f>
        <v>0</v>
      </c>
    </row>
    <row r="828" spans="1:19" ht="18">
      <c r="A828" s="14">
        <v>826</v>
      </c>
      <c r="B828" s="14" t="s">
        <v>99</v>
      </c>
      <c r="C828" s="14" t="str">
        <f>VLOOKUP(B828,Family!B:C,2,FALSE)</f>
        <v>N</v>
      </c>
      <c r="D828" s="15">
        <v>19</v>
      </c>
      <c r="E828" s="14">
        <f>ROUND(VLOOKUP(C828,'Production Plan'!A:B,2,FALSE),2)</f>
        <v>334.18</v>
      </c>
      <c r="F828" s="16">
        <v>45873</v>
      </c>
      <c r="G828" s="17">
        <f>F828+6*7</f>
        <v>45915</v>
      </c>
      <c r="H828" s="14">
        <f>G828-F828</f>
        <v>42</v>
      </c>
      <c r="I828" s="14">
        <f>ROUND(D828/E828,3)</f>
        <v>5.7000000000000002E-2</v>
      </c>
      <c r="J828" s="14">
        <f>I828*24</f>
        <v>1.3680000000000001</v>
      </c>
      <c r="K828" s="14">
        <f>VLOOKUP($C828,Rotation!$A$2:$J$10,2,FALSE)</f>
        <v>1</v>
      </c>
      <c r="L828" s="14">
        <f>VLOOKUP($C828,Rotation!$A$2:$J$10,3,FALSE)</f>
        <v>0</v>
      </c>
      <c r="M828" s="14">
        <f>VLOOKUP($C828,Rotation!$A$2:$J$10,4,FALSE)</f>
        <v>0</v>
      </c>
      <c r="N828" s="14">
        <f>VLOOKUP($C828,Rotation!$A$2:$J$10,5,FALSE)</f>
        <v>0</v>
      </c>
      <c r="O828" s="14">
        <f>VLOOKUP($C828,Rotation!$A$2:$J$10,6,FALSE)</f>
        <v>0</v>
      </c>
      <c r="P828" s="14">
        <f>VLOOKUP($C828,Rotation!$A$2:$J$10,7,FALSE)</f>
        <v>0</v>
      </c>
      <c r="Q828" s="14">
        <f>VLOOKUP($C828,Rotation!$A$2:$J$10,8,FALSE)</f>
        <v>1</v>
      </c>
      <c r="R828" s="14">
        <f>VLOOKUP($C828,Rotation!$A$2:$J$10,9,FALSE)</f>
        <v>0</v>
      </c>
      <c r="S828" s="14">
        <f>VLOOKUP($C828,Rotation!$A$2:$J$10,10,FALSE)</f>
        <v>0</v>
      </c>
    </row>
    <row r="829" spans="1:19" ht="18">
      <c r="A829" s="14">
        <v>827</v>
      </c>
      <c r="B829" s="14" t="s">
        <v>99</v>
      </c>
      <c r="C829" s="14" t="str">
        <f>VLOOKUP(B829,Family!B:C,2,FALSE)</f>
        <v>N</v>
      </c>
      <c r="D829" s="15">
        <v>19</v>
      </c>
      <c r="E829" s="14">
        <f>ROUND(VLOOKUP(C829,'Production Plan'!A:B,2,FALSE),2)</f>
        <v>334.18</v>
      </c>
      <c r="F829" s="16">
        <v>45873</v>
      </c>
      <c r="G829" s="17">
        <f>F829+6*7</f>
        <v>45915</v>
      </c>
      <c r="H829" s="14">
        <f>G829-F829</f>
        <v>42</v>
      </c>
      <c r="I829" s="14">
        <f>ROUND(D829/E829,3)</f>
        <v>5.7000000000000002E-2</v>
      </c>
      <c r="J829" s="14">
        <f>I829*24</f>
        <v>1.3680000000000001</v>
      </c>
      <c r="K829" s="14">
        <f>VLOOKUP($C829,Rotation!$A$2:$J$10,2,FALSE)</f>
        <v>1</v>
      </c>
      <c r="L829" s="14">
        <f>VLOOKUP($C829,Rotation!$A$2:$J$10,3,FALSE)</f>
        <v>0</v>
      </c>
      <c r="M829" s="14">
        <f>VLOOKUP($C829,Rotation!$A$2:$J$10,4,FALSE)</f>
        <v>0</v>
      </c>
      <c r="N829" s="14">
        <f>VLOOKUP($C829,Rotation!$A$2:$J$10,5,FALSE)</f>
        <v>0</v>
      </c>
      <c r="O829" s="14">
        <f>VLOOKUP($C829,Rotation!$A$2:$J$10,6,FALSE)</f>
        <v>0</v>
      </c>
      <c r="P829" s="14">
        <f>VLOOKUP($C829,Rotation!$A$2:$J$10,7,FALSE)</f>
        <v>0</v>
      </c>
      <c r="Q829" s="14">
        <f>VLOOKUP($C829,Rotation!$A$2:$J$10,8,FALSE)</f>
        <v>1</v>
      </c>
      <c r="R829" s="14">
        <f>VLOOKUP($C829,Rotation!$A$2:$J$10,9,FALSE)</f>
        <v>0</v>
      </c>
      <c r="S829" s="14">
        <f>VLOOKUP($C829,Rotation!$A$2:$J$10,10,FALSE)</f>
        <v>0</v>
      </c>
    </row>
    <row r="830" spans="1:19" ht="18">
      <c r="A830" s="14">
        <v>828</v>
      </c>
      <c r="B830" s="14" t="s">
        <v>69</v>
      </c>
      <c r="C830" s="14" t="str">
        <f>VLOOKUP(B830,Family!B:C,2,FALSE)</f>
        <v>A</v>
      </c>
      <c r="D830" s="15">
        <v>19</v>
      </c>
      <c r="E830" s="14">
        <f>ROUND(VLOOKUP(C830,'Production Plan'!A:B,2,FALSE),2)</f>
        <v>407.17</v>
      </c>
      <c r="F830" s="16">
        <v>45751</v>
      </c>
      <c r="G830" s="17">
        <f>F830+6*7</f>
        <v>45793</v>
      </c>
      <c r="H830" s="14">
        <f>G830-F830</f>
        <v>42</v>
      </c>
      <c r="I830" s="14">
        <f>ROUND(D830/E830,3)</f>
        <v>4.7E-2</v>
      </c>
      <c r="J830" s="14">
        <f>I830*24</f>
        <v>1.1280000000000001</v>
      </c>
      <c r="K830" s="14">
        <f>VLOOKUP($C830,Rotation!$A$2:$J$10,2,FALSE)</f>
        <v>1</v>
      </c>
      <c r="L830" s="14">
        <f>VLOOKUP($C830,Rotation!$A$2:$J$10,3,FALSE)</f>
        <v>1</v>
      </c>
      <c r="M830" s="14">
        <f>VLOOKUP($C830,Rotation!$A$2:$J$10,4,FALSE)</f>
        <v>1</v>
      </c>
      <c r="N830" s="14">
        <f>VLOOKUP($C830,Rotation!$A$2:$J$10,5,FALSE)</f>
        <v>0</v>
      </c>
      <c r="O830" s="14">
        <f>VLOOKUP($C830,Rotation!$A$2:$J$10,6,FALSE)</f>
        <v>0</v>
      </c>
      <c r="P830" s="14">
        <f>VLOOKUP($C830,Rotation!$A$2:$J$10,7,FALSE)</f>
        <v>0</v>
      </c>
      <c r="Q830" s="14">
        <f>VLOOKUP($C830,Rotation!$A$2:$J$10,8,FALSE)</f>
        <v>0</v>
      </c>
      <c r="R830" s="14">
        <f>VLOOKUP($C830,Rotation!$A$2:$J$10,9,FALSE)</f>
        <v>0</v>
      </c>
      <c r="S830" s="14">
        <f>VLOOKUP($C830,Rotation!$A$2:$J$10,10,FALSE)</f>
        <v>0</v>
      </c>
    </row>
    <row r="831" spans="1:19" ht="18">
      <c r="A831" s="14">
        <v>829</v>
      </c>
      <c r="B831" s="14" t="s">
        <v>69</v>
      </c>
      <c r="C831" s="14" t="str">
        <f>VLOOKUP(B831,Family!B:C,2,FALSE)</f>
        <v>A</v>
      </c>
      <c r="D831" s="15">
        <v>19</v>
      </c>
      <c r="E831" s="14">
        <f>ROUND(VLOOKUP(C831,'Production Plan'!A:B,2,FALSE),2)</f>
        <v>407.17</v>
      </c>
      <c r="F831" s="16">
        <v>45751</v>
      </c>
      <c r="G831" s="17">
        <f>F831+6*7</f>
        <v>45793</v>
      </c>
      <c r="H831" s="14">
        <f>G831-F831</f>
        <v>42</v>
      </c>
      <c r="I831" s="14">
        <f>ROUND(D831/E831,3)</f>
        <v>4.7E-2</v>
      </c>
      <c r="J831" s="14">
        <f>I831*24</f>
        <v>1.1280000000000001</v>
      </c>
      <c r="K831" s="14">
        <f>VLOOKUP($C831,Rotation!$A$2:$J$10,2,FALSE)</f>
        <v>1</v>
      </c>
      <c r="L831" s="14">
        <f>VLOOKUP($C831,Rotation!$A$2:$J$10,3,FALSE)</f>
        <v>1</v>
      </c>
      <c r="M831" s="14">
        <f>VLOOKUP($C831,Rotation!$A$2:$J$10,4,FALSE)</f>
        <v>1</v>
      </c>
      <c r="N831" s="14">
        <f>VLOOKUP($C831,Rotation!$A$2:$J$10,5,FALSE)</f>
        <v>0</v>
      </c>
      <c r="O831" s="14">
        <f>VLOOKUP($C831,Rotation!$A$2:$J$10,6,FALSE)</f>
        <v>0</v>
      </c>
      <c r="P831" s="14">
        <f>VLOOKUP($C831,Rotation!$A$2:$J$10,7,FALSE)</f>
        <v>0</v>
      </c>
      <c r="Q831" s="14">
        <f>VLOOKUP($C831,Rotation!$A$2:$J$10,8,FALSE)</f>
        <v>0</v>
      </c>
      <c r="R831" s="14">
        <f>VLOOKUP($C831,Rotation!$A$2:$J$10,9,FALSE)</f>
        <v>0</v>
      </c>
      <c r="S831" s="14">
        <f>VLOOKUP($C831,Rotation!$A$2:$J$10,10,FALSE)</f>
        <v>0</v>
      </c>
    </row>
    <row r="832" spans="1:19" ht="18">
      <c r="A832" s="14">
        <v>830</v>
      </c>
      <c r="B832" s="14" t="s">
        <v>69</v>
      </c>
      <c r="C832" s="14" t="str">
        <f>VLOOKUP(B832,Family!B:C,2,FALSE)</f>
        <v>A</v>
      </c>
      <c r="D832" s="15">
        <v>19</v>
      </c>
      <c r="E832" s="14">
        <f>ROUND(VLOOKUP(C832,'Production Plan'!A:B,2,FALSE),2)</f>
        <v>407.17</v>
      </c>
      <c r="F832" s="16">
        <v>45751</v>
      </c>
      <c r="G832" s="17">
        <f>F832+6*7</f>
        <v>45793</v>
      </c>
      <c r="H832" s="14">
        <f>G832-F832</f>
        <v>42</v>
      </c>
      <c r="I832" s="14">
        <f>ROUND(D832/E832,3)</f>
        <v>4.7E-2</v>
      </c>
      <c r="J832" s="14">
        <f>I832*24</f>
        <v>1.1280000000000001</v>
      </c>
      <c r="K832" s="14">
        <f>VLOOKUP($C832,Rotation!$A$2:$J$10,2,FALSE)</f>
        <v>1</v>
      </c>
      <c r="L832" s="14">
        <f>VLOOKUP($C832,Rotation!$A$2:$J$10,3,FALSE)</f>
        <v>1</v>
      </c>
      <c r="M832" s="14">
        <f>VLOOKUP($C832,Rotation!$A$2:$J$10,4,FALSE)</f>
        <v>1</v>
      </c>
      <c r="N832" s="14">
        <f>VLOOKUP($C832,Rotation!$A$2:$J$10,5,FALSE)</f>
        <v>0</v>
      </c>
      <c r="O832" s="14">
        <f>VLOOKUP($C832,Rotation!$A$2:$J$10,6,FALSE)</f>
        <v>0</v>
      </c>
      <c r="P832" s="14">
        <f>VLOOKUP($C832,Rotation!$A$2:$J$10,7,FALSE)</f>
        <v>0</v>
      </c>
      <c r="Q832" s="14">
        <f>VLOOKUP($C832,Rotation!$A$2:$J$10,8,FALSE)</f>
        <v>0</v>
      </c>
      <c r="R832" s="14">
        <f>VLOOKUP($C832,Rotation!$A$2:$J$10,9,FALSE)</f>
        <v>0</v>
      </c>
      <c r="S832" s="14">
        <f>VLOOKUP($C832,Rotation!$A$2:$J$10,10,FALSE)</f>
        <v>0</v>
      </c>
    </row>
    <row r="833" spans="1:19" ht="18">
      <c r="A833" s="14">
        <v>831</v>
      </c>
      <c r="B833" s="14" t="s">
        <v>69</v>
      </c>
      <c r="C833" s="14" t="str">
        <f>VLOOKUP(B833,Family!B:C,2,FALSE)</f>
        <v>A</v>
      </c>
      <c r="D833" s="15">
        <v>19</v>
      </c>
      <c r="E833" s="14">
        <f>ROUND(VLOOKUP(C833,'Production Plan'!A:B,2,FALSE),2)</f>
        <v>407.17</v>
      </c>
      <c r="F833" s="16">
        <v>45751</v>
      </c>
      <c r="G833" s="17">
        <f>F833+6*7</f>
        <v>45793</v>
      </c>
      <c r="H833" s="14">
        <f>G833-F833</f>
        <v>42</v>
      </c>
      <c r="I833" s="14">
        <f>ROUND(D833/E833,3)</f>
        <v>4.7E-2</v>
      </c>
      <c r="J833" s="14">
        <f>I833*24</f>
        <v>1.1280000000000001</v>
      </c>
      <c r="K833" s="14">
        <f>VLOOKUP($C833,Rotation!$A$2:$J$10,2,FALSE)</f>
        <v>1</v>
      </c>
      <c r="L833" s="14">
        <f>VLOOKUP($C833,Rotation!$A$2:$J$10,3,FALSE)</f>
        <v>1</v>
      </c>
      <c r="M833" s="14">
        <f>VLOOKUP($C833,Rotation!$A$2:$J$10,4,FALSE)</f>
        <v>1</v>
      </c>
      <c r="N833" s="14">
        <f>VLOOKUP($C833,Rotation!$A$2:$J$10,5,FALSE)</f>
        <v>0</v>
      </c>
      <c r="O833" s="14">
        <f>VLOOKUP($C833,Rotation!$A$2:$J$10,6,FALSE)</f>
        <v>0</v>
      </c>
      <c r="P833" s="14">
        <f>VLOOKUP($C833,Rotation!$A$2:$J$10,7,FALSE)</f>
        <v>0</v>
      </c>
      <c r="Q833" s="14">
        <f>VLOOKUP($C833,Rotation!$A$2:$J$10,8,FALSE)</f>
        <v>0</v>
      </c>
      <c r="R833" s="14">
        <f>VLOOKUP($C833,Rotation!$A$2:$J$10,9,FALSE)</f>
        <v>0</v>
      </c>
      <c r="S833" s="14">
        <f>VLOOKUP($C833,Rotation!$A$2:$J$10,10,FALSE)</f>
        <v>0</v>
      </c>
    </row>
    <row r="834" spans="1:19" ht="18">
      <c r="A834" s="14">
        <v>832</v>
      </c>
      <c r="B834" s="14" t="s">
        <v>69</v>
      </c>
      <c r="C834" s="14" t="str">
        <f>VLOOKUP(B834,Family!B:C,2,FALSE)</f>
        <v>A</v>
      </c>
      <c r="D834" s="15">
        <v>19</v>
      </c>
      <c r="E834" s="14">
        <f>ROUND(VLOOKUP(C834,'Production Plan'!A:B,2,FALSE),2)</f>
        <v>407.17</v>
      </c>
      <c r="F834" s="16">
        <v>45751</v>
      </c>
      <c r="G834" s="17">
        <f>F834+6*7</f>
        <v>45793</v>
      </c>
      <c r="H834" s="14">
        <f>G834-F834</f>
        <v>42</v>
      </c>
      <c r="I834" s="14">
        <f>ROUND(D834/E834,3)</f>
        <v>4.7E-2</v>
      </c>
      <c r="J834" s="14">
        <f>I834*24</f>
        <v>1.1280000000000001</v>
      </c>
      <c r="K834" s="14">
        <f>VLOOKUP($C834,Rotation!$A$2:$J$10,2,FALSE)</f>
        <v>1</v>
      </c>
      <c r="L834" s="14">
        <f>VLOOKUP($C834,Rotation!$A$2:$J$10,3,FALSE)</f>
        <v>1</v>
      </c>
      <c r="M834" s="14">
        <f>VLOOKUP($C834,Rotation!$A$2:$J$10,4,FALSE)</f>
        <v>1</v>
      </c>
      <c r="N834" s="14">
        <f>VLOOKUP($C834,Rotation!$A$2:$J$10,5,FALSE)</f>
        <v>0</v>
      </c>
      <c r="O834" s="14">
        <f>VLOOKUP($C834,Rotation!$A$2:$J$10,6,FALSE)</f>
        <v>0</v>
      </c>
      <c r="P834" s="14">
        <f>VLOOKUP($C834,Rotation!$A$2:$J$10,7,FALSE)</f>
        <v>0</v>
      </c>
      <c r="Q834" s="14">
        <f>VLOOKUP($C834,Rotation!$A$2:$J$10,8,FALSE)</f>
        <v>0</v>
      </c>
      <c r="R834" s="14">
        <f>VLOOKUP($C834,Rotation!$A$2:$J$10,9,FALSE)</f>
        <v>0</v>
      </c>
      <c r="S834" s="14">
        <f>VLOOKUP($C834,Rotation!$A$2:$J$10,10,FALSE)</f>
        <v>0</v>
      </c>
    </row>
    <row r="835" spans="1:19" ht="18">
      <c r="A835" s="14">
        <v>833</v>
      </c>
      <c r="B835" s="14" t="s">
        <v>69</v>
      </c>
      <c r="C835" s="14" t="str">
        <f>VLOOKUP(B835,Family!B:C,2,FALSE)</f>
        <v>A</v>
      </c>
      <c r="D835" s="15">
        <v>19</v>
      </c>
      <c r="E835" s="14">
        <f>ROUND(VLOOKUP(C835,'Production Plan'!A:B,2,FALSE),2)</f>
        <v>407.17</v>
      </c>
      <c r="F835" s="16">
        <v>45751</v>
      </c>
      <c r="G835" s="17">
        <f>F835+6*7</f>
        <v>45793</v>
      </c>
      <c r="H835" s="14">
        <f>G835-F835</f>
        <v>42</v>
      </c>
      <c r="I835" s="14">
        <f>ROUND(D835/E835,3)</f>
        <v>4.7E-2</v>
      </c>
      <c r="J835" s="14">
        <f>I835*24</f>
        <v>1.1280000000000001</v>
      </c>
      <c r="K835" s="14">
        <f>VLOOKUP($C835,Rotation!$A$2:$J$10,2,FALSE)</f>
        <v>1</v>
      </c>
      <c r="L835" s="14">
        <f>VLOOKUP($C835,Rotation!$A$2:$J$10,3,FALSE)</f>
        <v>1</v>
      </c>
      <c r="M835" s="14">
        <f>VLOOKUP($C835,Rotation!$A$2:$J$10,4,FALSE)</f>
        <v>1</v>
      </c>
      <c r="N835" s="14">
        <f>VLOOKUP($C835,Rotation!$A$2:$J$10,5,FALSE)</f>
        <v>0</v>
      </c>
      <c r="O835" s="14">
        <f>VLOOKUP($C835,Rotation!$A$2:$J$10,6,FALSE)</f>
        <v>0</v>
      </c>
      <c r="P835" s="14">
        <f>VLOOKUP($C835,Rotation!$A$2:$J$10,7,FALSE)</f>
        <v>0</v>
      </c>
      <c r="Q835" s="14">
        <f>VLOOKUP($C835,Rotation!$A$2:$J$10,8,FALSE)</f>
        <v>0</v>
      </c>
      <c r="R835" s="14">
        <f>VLOOKUP($C835,Rotation!$A$2:$J$10,9,FALSE)</f>
        <v>0</v>
      </c>
      <c r="S835" s="14">
        <f>VLOOKUP($C835,Rotation!$A$2:$J$10,10,FALSE)</f>
        <v>0</v>
      </c>
    </row>
    <row r="836" spans="1:19" ht="18">
      <c r="A836" s="14">
        <v>834</v>
      </c>
      <c r="B836" s="14" t="s">
        <v>74</v>
      </c>
      <c r="C836" s="14" t="str">
        <f>VLOOKUP(B836,Family!B:C,2,FALSE)</f>
        <v>A</v>
      </c>
      <c r="D836" s="15">
        <v>209</v>
      </c>
      <c r="E836" s="14">
        <f>ROUND(VLOOKUP(C836,'Production Plan'!A:B,2,FALSE),2)</f>
        <v>407.17</v>
      </c>
      <c r="F836" s="16">
        <v>45805</v>
      </c>
      <c r="G836" s="17">
        <f>F836+6*7</f>
        <v>45847</v>
      </c>
      <c r="H836" s="14">
        <f>G836-F836</f>
        <v>42</v>
      </c>
      <c r="I836" s="14">
        <f>ROUND(D836/E836,3)</f>
        <v>0.51300000000000001</v>
      </c>
      <c r="J836" s="14">
        <f>I836*24</f>
        <v>12.312000000000001</v>
      </c>
      <c r="K836" s="14">
        <f>VLOOKUP($C836,Rotation!$A$2:$J$10,2,FALSE)</f>
        <v>1</v>
      </c>
      <c r="L836" s="14">
        <f>VLOOKUP($C836,Rotation!$A$2:$J$10,3,FALSE)</f>
        <v>1</v>
      </c>
      <c r="M836" s="14">
        <f>VLOOKUP($C836,Rotation!$A$2:$J$10,4,FALSE)</f>
        <v>1</v>
      </c>
      <c r="N836" s="14">
        <f>VLOOKUP($C836,Rotation!$A$2:$J$10,5,FALSE)</f>
        <v>0</v>
      </c>
      <c r="O836" s="14">
        <f>VLOOKUP($C836,Rotation!$A$2:$J$10,6,FALSE)</f>
        <v>0</v>
      </c>
      <c r="P836" s="14">
        <f>VLOOKUP($C836,Rotation!$A$2:$J$10,7,FALSE)</f>
        <v>0</v>
      </c>
      <c r="Q836" s="14">
        <f>VLOOKUP($C836,Rotation!$A$2:$J$10,8,FALSE)</f>
        <v>0</v>
      </c>
      <c r="R836" s="14">
        <f>VLOOKUP($C836,Rotation!$A$2:$J$10,9,FALSE)</f>
        <v>0</v>
      </c>
      <c r="S836" s="14">
        <f>VLOOKUP($C836,Rotation!$A$2:$J$10,10,FALSE)</f>
        <v>0</v>
      </c>
    </row>
    <row r="837" spans="1:19" ht="18">
      <c r="A837" s="14">
        <v>835</v>
      </c>
      <c r="B837" s="14" t="s">
        <v>102</v>
      </c>
      <c r="C837" s="14" t="str">
        <f>VLOOKUP(B837,Family!B:C,2,FALSE)</f>
        <v>H</v>
      </c>
      <c r="D837" s="15">
        <v>46</v>
      </c>
      <c r="E837" s="14">
        <f>ROUND(VLOOKUP(C837,'Production Plan'!A:B,2,FALSE),2)</f>
        <v>402.02</v>
      </c>
      <c r="F837" s="16">
        <v>45825</v>
      </c>
      <c r="G837" s="17">
        <f>F837+6*7</f>
        <v>45867</v>
      </c>
      <c r="H837" s="14">
        <f>G837-F837</f>
        <v>42</v>
      </c>
      <c r="I837" s="14">
        <f>ROUND(D837/E837,3)</f>
        <v>0.114</v>
      </c>
      <c r="J837" s="14">
        <f>I837*24</f>
        <v>2.7360000000000002</v>
      </c>
      <c r="K837" s="14">
        <f>VLOOKUP($C837,Rotation!$A$2:$J$10,2,FALSE)</f>
        <v>0</v>
      </c>
      <c r="L837" s="14">
        <f>VLOOKUP($C837,Rotation!$A$2:$J$10,3,FALSE)</f>
        <v>0</v>
      </c>
      <c r="M837" s="14">
        <f>VLOOKUP($C837,Rotation!$A$2:$J$10,4,FALSE)</f>
        <v>1</v>
      </c>
      <c r="N837" s="14">
        <f>VLOOKUP($C837,Rotation!$A$2:$J$10,5,FALSE)</f>
        <v>1</v>
      </c>
      <c r="O837" s="14">
        <f>VLOOKUP($C837,Rotation!$A$2:$J$10,6,FALSE)</f>
        <v>0</v>
      </c>
      <c r="P837" s="14">
        <f>VLOOKUP($C837,Rotation!$A$2:$J$10,7,FALSE)</f>
        <v>0</v>
      </c>
      <c r="Q837" s="14">
        <f>VLOOKUP($C837,Rotation!$A$2:$J$10,8,FALSE)</f>
        <v>0</v>
      </c>
      <c r="R837" s="14">
        <f>VLOOKUP($C837,Rotation!$A$2:$J$10,9,FALSE)</f>
        <v>0</v>
      </c>
      <c r="S837" s="14">
        <f>VLOOKUP($C837,Rotation!$A$2:$J$10,10,FALSE)</f>
        <v>0</v>
      </c>
    </row>
    <row r="838" spans="1:19" ht="18">
      <c r="A838" s="14">
        <v>836</v>
      </c>
      <c r="B838" s="14" t="s">
        <v>65</v>
      </c>
      <c r="C838" s="14" t="str">
        <f>VLOOKUP(B838,Family!B:C,2,FALSE)</f>
        <v>A</v>
      </c>
      <c r="D838" s="15">
        <v>114</v>
      </c>
      <c r="E838" s="14">
        <f>ROUND(VLOOKUP(C838,'Production Plan'!A:B,2,FALSE),2)</f>
        <v>407.17</v>
      </c>
      <c r="F838" s="16">
        <v>45855</v>
      </c>
      <c r="G838" s="17">
        <f>F838+6*7</f>
        <v>45897</v>
      </c>
      <c r="H838" s="14">
        <f>G838-F838</f>
        <v>42</v>
      </c>
      <c r="I838" s="14">
        <f>ROUND(D838/E838,3)</f>
        <v>0.28000000000000003</v>
      </c>
      <c r="J838" s="14">
        <f>I838*24</f>
        <v>6.7200000000000006</v>
      </c>
      <c r="K838" s="14">
        <f>VLOOKUP($C838,Rotation!$A$2:$J$10,2,FALSE)</f>
        <v>1</v>
      </c>
      <c r="L838" s="14">
        <f>VLOOKUP($C838,Rotation!$A$2:$J$10,3,FALSE)</f>
        <v>1</v>
      </c>
      <c r="M838" s="14">
        <f>VLOOKUP($C838,Rotation!$A$2:$J$10,4,FALSE)</f>
        <v>1</v>
      </c>
      <c r="N838" s="14">
        <f>VLOOKUP($C838,Rotation!$A$2:$J$10,5,FALSE)</f>
        <v>0</v>
      </c>
      <c r="O838" s="14">
        <f>VLOOKUP($C838,Rotation!$A$2:$J$10,6,FALSE)</f>
        <v>0</v>
      </c>
      <c r="P838" s="14">
        <f>VLOOKUP($C838,Rotation!$A$2:$J$10,7,FALSE)</f>
        <v>0</v>
      </c>
      <c r="Q838" s="14">
        <f>VLOOKUP($C838,Rotation!$A$2:$J$10,8,FALSE)</f>
        <v>0</v>
      </c>
      <c r="R838" s="14">
        <f>VLOOKUP($C838,Rotation!$A$2:$J$10,9,FALSE)</f>
        <v>0</v>
      </c>
      <c r="S838" s="14">
        <f>VLOOKUP($C838,Rotation!$A$2:$J$10,10,FALSE)</f>
        <v>0</v>
      </c>
    </row>
    <row r="839" spans="1:19" ht="18">
      <c r="A839" s="14">
        <v>837</v>
      </c>
      <c r="B839" s="14" t="s">
        <v>69</v>
      </c>
      <c r="C839" s="14" t="str">
        <f>VLOOKUP(B839,Family!B:C,2,FALSE)</f>
        <v>A</v>
      </c>
      <c r="D839" s="15">
        <v>19</v>
      </c>
      <c r="E839" s="14">
        <f>ROUND(VLOOKUP(C839,'Production Plan'!A:B,2,FALSE),2)</f>
        <v>407.17</v>
      </c>
      <c r="F839" s="16">
        <v>45751</v>
      </c>
      <c r="G839" s="17">
        <f>F839+6*7</f>
        <v>45793</v>
      </c>
      <c r="H839" s="14">
        <f>G839-F839</f>
        <v>42</v>
      </c>
      <c r="I839" s="14">
        <f>ROUND(D839/E839,3)</f>
        <v>4.7E-2</v>
      </c>
      <c r="J839" s="14">
        <f>I839*24</f>
        <v>1.1280000000000001</v>
      </c>
      <c r="K839" s="14">
        <f>VLOOKUP($C839,Rotation!$A$2:$J$10,2,FALSE)</f>
        <v>1</v>
      </c>
      <c r="L839" s="14">
        <f>VLOOKUP($C839,Rotation!$A$2:$J$10,3,FALSE)</f>
        <v>1</v>
      </c>
      <c r="M839" s="14">
        <f>VLOOKUP($C839,Rotation!$A$2:$J$10,4,FALSE)</f>
        <v>1</v>
      </c>
      <c r="N839" s="14">
        <f>VLOOKUP($C839,Rotation!$A$2:$J$10,5,FALSE)</f>
        <v>0</v>
      </c>
      <c r="O839" s="14">
        <f>VLOOKUP($C839,Rotation!$A$2:$J$10,6,FALSE)</f>
        <v>0</v>
      </c>
      <c r="P839" s="14">
        <f>VLOOKUP($C839,Rotation!$A$2:$J$10,7,FALSE)</f>
        <v>0</v>
      </c>
      <c r="Q839" s="14">
        <f>VLOOKUP($C839,Rotation!$A$2:$J$10,8,FALSE)</f>
        <v>0</v>
      </c>
      <c r="R839" s="14">
        <f>VLOOKUP($C839,Rotation!$A$2:$J$10,9,FALSE)</f>
        <v>0</v>
      </c>
      <c r="S839" s="14">
        <f>VLOOKUP($C839,Rotation!$A$2:$J$10,10,FALSE)</f>
        <v>0</v>
      </c>
    </row>
    <row r="840" spans="1:19" ht="18">
      <c r="A840" s="14">
        <v>838</v>
      </c>
      <c r="B840" s="14" t="s">
        <v>64</v>
      </c>
      <c r="C840" s="14" t="str">
        <f>VLOOKUP(B840,Family!B:C,2,FALSE)</f>
        <v>A</v>
      </c>
      <c r="D840" s="15">
        <v>111</v>
      </c>
      <c r="E840" s="14">
        <f>ROUND(VLOOKUP(C840,'Production Plan'!A:B,2,FALSE),2)</f>
        <v>407.17</v>
      </c>
      <c r="F840" s="16">
        <v>45831</v>
      </c>
      <c r="G840" s="17">
        <f>F840+6*7</f>
        <v>45873</v>
      </c>
      <c r="H840" s="14">
        <f>G840-F840</f>
        <v>42</v>
      </c>
      <c r="I840" s="14">
        <f>ROUND(D840/E840,3)</f>
        <v>0.27300000000000002</v>
      </c>
      <c r="J840" s="14">
        <f>I840*24</f>
        <v>6.5520000000000005</v>
      </c>
      <c r="K840" s="14">
        <f>VLOOKUP($C840,Rotation!$A$2:$J$10,2,FALSE)</f>
        <v>1</v>
      </c>
      <c r="L840" s="14">
        <f>VLOOKUP($C840,Rotation!$A$2:$J$10,3,FALSE)</f>
        <v>1</v>
      </c>
      <c r="M840" s="14">
        <f>VLOOKUP($C840,Rotation!$A$2:$J$10,4,FALSE)</f>
        <v>1</v>
      </c>
      <c r="N840" s="14">
        <f>VLOOKUP($C840,Rotation!$A$2:$J$10,5,FALSE)</f>
        <v>0</v>
      </c>
      <c r="O840" s="14">
        <f>VLOOKUP($C840,Rotation!$A$2:$J$10,6,FALSE)</f>
        <v>0</v>
      </c>
      <c r="P840" s="14">
        <f>VLOOKUP($C840,Rotation!$A$2:$J$10,7,FALSE)</f>
        <v>0</v>
      </c>
      <c r="Q840" s="14">
        <f>VLOOKUP($C840,Rotation!$A$2:$J$10,8,FALSE)</f>
        <v>0</v>
      </c>
      <c r="R840" s="14">
        <f>VLOOKUP($C840,Rotation!$A$2:$J$10,9,FALSE)</f>
        <v>0</v>
      </c>
      <c r="S840" s="14">
        <f>VLOOKUP($C840,Rotation!$A$2:$J$10,10,FALSE)</f>
        <v>0</v>
      </c>
    </row>
    <row r="841" spans="1:19" ht="18">
      <c r="A841" s="14">
        <v>839</v>
      </c>
      <c r="B841" s="14" t="s">
        <v>108</v>
      </c>
      <c r="C841" s="14" t="str">
        <f>VLOOKUP(B841,Family!B:C,2,FALSE)</f>
        <v>P</v>
      </c>
      <c r="D841" s="15">
        <v>108</v>
      </c>
      <c r="E841" s="14">
        <f>ROUND(VLOOKUP(C841,'Production Plan'!A:B,2,FALSE),2)</f>
        <v>409.15</v>
      </c>
      <c r="F841" s="16">
        <v>45859</v>
      </c>
      <c r="G841" s="17">
        <f>F841+6*7</f>
        <v>45901</v>
      </c>
      <c r="H841" s="14">
        <f>G841-F841</f>
        <v>42</v>
      </c>
      <c r="I841" s="14">
        <f>ROUND(D841/E841,3)</f>
        <v>0.26400000000000001</v>
      </c>
      <c r="J841" s="14">
        <f>I841*24</f>
        <v>6.3360000000000003</v>
      </c>
      <c r="K841" s="14">
        <f>VLOOKUP($C841,Rotation!$A$2:$J$10,2,FALSE)</f>
        <v>1</v>
      </c>
      <c r="L841" s="14">
        <f>VLOOKUP($C841,Rotation!$A$2:$J$10,3,FALSE)</f>
        <v>1</v>
      </c>
      <c r="M841" s="14">
        <f>VLOOKUP($C841,Rotation!$A$2:$J$10,4,FALSE)</f>
        <v>0</v>
      </c>
      <c r="N841" s="14">
        <f>VLOOKUP($C841,Rotation!$A$2:$J$10,5,FALSE)</f>
        <v>0</v>
      </c>
      <c r="O841" s="14">
        <f>VLOOKUP($C841,Rotation!$A$2:$J$10,6,FALSE)</f>
        <v>0</v>
      </c>
      <c r="P841" s="14">
        <f>VLOOKUP($C841,Rotation!$A$2:$J$10,7,FALSE)</f>
        <v>0</v>
      </c>
      <c r="Q841" s="14">
        <f>VLOOKUP($C841,Rotation!$A$2:$J$10,8,FALSE)</f>
        <v>0</v>
      </c>
      <c r="R841" s="14">
        <f>VLOOKUP($C841,Rotation!$A$2:$J$10,9,FALSE)</f>
        <v>0</v>
      </c>
      <c r="S841" s="14">
        <f>VLOOKUP($C841,Rotation!$A$2:$J$10,10,FALSE)</f>
        <v>0</v>
      </c>
    </row>
    <row r="842" spans="1:19" ht="18">
      <c r="A842" s="14">
        <v>840</v>
      </c>
      <c r="B842" s="14" t="s">
        <v>108</v>
      </c>
      <c r="C842" s="14" t="str">
        <f>VLOOKUP(B842,Family!B:C,2,FALSE)</f>
        <v>P</v>
      </c>
      <c r="D842" s="15">
        <v>54</v>
      </c>
      <c r="E842" s="14">
        <f>ROUND(VLOOKUP(C842,'Production Plan'!A:B,2,FALSE),2)</f>
        <v>409.15</v>
      </c>
      <c r="F842" s="16">
        <v>45859</v>
      </c>
      <c r="G842" s="17">
        <f>F842+6*7</f>
        <v>45901</v>
      </c>
      <c r="H842" s="14">
        <f>G842-F842</f>
        <v>42</v>
      </c>
      <c r="I842" s="14">
        <f>ROUND(D842/E842,3)</f>
        <v>0.13200000000000001</v>
      </c>
      <c r="J842" s="14">
        <f>I842*24</f>
        <v>3.1680000000000001</v>
      </c>
      <c r="K842" s="14">
        <f>VLOOKUP($C842,Rotation!$A$2:$J$10,2,FALSE)</f>
        <v>1</v>
      </c>
      <c r="L842" s="14">
        <f>VLOOKUP($C842,Rotation!$A$2:$J$10,3,FALSE)</f>
        <v>1</v>
      </c>
      <c r="M842" s="14">
        <f>VLOOKUP($C842,Rotation!$A$2:$J$10,4,FALSE)</f>
        <v>0</v>
      </c>
      <c r="N842" s="14">
        <f>VLOOKUP($C842,Rotation!$A$2:$J$10,5,FALSE)</f>
        <v>0</v>
      </c>
      <c r="O842" s="14">
        <f>VLOOKUP($C842,Rotation!$A$2:$J$10,6,FALSE)</f>
        <v>0</v>
      </c>
      <c r="P842" s="14">
        <f>VLOOKUP($C842,Rotation!$A$2:$J$10,7,FALSE)</f>
        <v>0</v>
      </c>
      <c r="Q842" s="14">
        <f>VLOOKUP($C842,Rotation!$A$2:$J$10,8,FALSE)</f>
        <v>0</v>
      </c>
      <c r="R842" s="14">
        <f>VLOOKUP($C842,Rotation!$A$2:$J$10,9,FALSE)</f>
        <v>0</v>
      </c>
      <c r="S842" s="14">
        <f>VLOOKUP($C842,Rotation!$A$2:$J$10,10,FALSE)</f>
        <v>0</v>
      </c>
    </row>
    <row r="843" spans="1:19" ht="18">
      <c r="A843" s="14">
        <v>841</v>
      </c>
      <c r="B843" s="14" t="s">
        <v>69</v>
      </c>
      <c r="C843" s="14" t="str">
        <f>VLOOKUP(B843,Family!B:C,2,FALSE)</f>
        <v>A</v>
      </c>
      <c r="D843" s="15">
        <v>19</v>
      </c>
      <c r="E843" s="14">
        <f>ROUND(VLOOKUP(C843,'Production Plan'!A:B,2,FALSE),2)</f>
        <v>407.17</v>
      </c>
      <c r="F843" s="16">
        <v>45751</v>
      </c>
      <c r="G843" s="17">
        <f>F843+6*7</f>
        <v>45793</v>
      </c>
      <c r="H843" s="14">
        <f>G843-F843</f>
        <v>42</v>
      </c>
      <c r="I843" s="14">
        <f>ROUND(D843/E843,3)</f>
        <v>4.7E-2</v>
      </c>
      <c r="J843" s="14">
        <f>I843*24</f>
        <v>1.1280000000000001</v>
      </c>
      <c r="K843" s="14">
        <f>VLOOKUP($C843,Rotation!$A$2:$J$10,2,FALSE)</f>
        <v>1</v>
      </c>
      <c r="L843" s="14">
        <f>VLOOKUP($C843,Rotation!$A$2:$J$10,3,FALSE)</f>
        <v>1</v>
      </c>
      <c r="M843" s="14">
        <f>VLOOKUP($C843,Rotation!$A$2:$J$10,4,FALSE)</f>
        <v>1</v>
      </c>
      <c r="N843" s="14">
        <f>VLOOKUP($C843,Rotation!$A$2:$J$10,5,FALSE)</f>
        <v>0</v>
      </c>
      <c r="O843" s="14">
        <f>VLOOKUP($C843,Rotation!$A$2:$J$10,6,FALSE)</f>
        <v>0</v>
      </c>
      <c r="P843" s="14">
        <f>VLOOKUP($C843,Rotation!$A$2:$J$10,7,FALSE)</f>
        <v>0</v>
      </c>
      <c r="Q843" s="14">
        <f>VLOOKUP($C843,Rotation!$A$2:$J$10,8,FALSE)</f>
        <v>0</v>
      </c>
      <c r="R843" s="14">
        <f>VLOOKUP($C843,Rotation!$A$2:$J$10,9,FALSE)</f>
        <v>0</v>
      </c>
      <c r="S843" s="14">
        <f>VLOOKUP($C843,Rotation!$A$2:$J$10,10,FALSE)</f>
        <v>0</v>
      </c>
    </row>
    <row r="844" spans="1:19" ht="18">
      <c r="A844" s="14">
        <v>842</v>
      </c>
      <c r="B844" s="14" t="s">
        <v>69</v>
      </c>
      <c r="C844" s="14" t="str">
        <f>VLOOKUP(B844,Family!B:C,2,FALSE)</f>
        <v>A</v>
      </c>
      <c r="D844" s="15">
        <v>19</v>
      </c>
      <c r="E844" s="14">
        <f>ROUND(VLOOKUP(C844,'Production Plan'!A:B,2,FALSE),2)</f>
        <v>407.17</v>
      </c>
      <c r="F844" s="16">
        <v>45751</v>
      </c>
      <c r="G844" s="17">
        <f>F844+6*7</f>
        <v>45793</v>
      </c>
      <c r="H844" s="14">
        <f>G844-F844</f>
        <v>42</v>
      </c>
      <c r="I844" s="14">
        <f>ROUND(D844/E844,3)</f>
        <v>4.7E-2</v>
      </c>
      <c r="J844" s="14">
        <f>I844*24</f>
        <v>1.1280000000000001</v>
      </c>
      <c r="K844" s="14">
        <f>VLOOKUP($C844,Rotation!$A$2:$J$10,2,FALSE)</f>
        <v>1</v>
      </c>
      <c r="L844" s="14">
        <f>VLOOKUP($C844,Rotation!$A$2:$J$10,3,FALSE)</f>
        <v>1</v>
      </c>
      <c r="M844" s="14">
        <f>VLOOKUP($C844,Rotation!$A$2:$J$10,4,FALSE)</f>
        <v>1</v>
      </c>
      <c r="N844" s="14">
        <f>VLOOKUP($C844,Rotation!$A$2:$J$10,5,FALSE)</f>
        <v>0</v>
      </c>
      <c r="O844" s="14">
        <f>VLOOKUP($C844,Rotation!$A$2:$J$10,6,FALSE)</f>
        <v>0</v>
      </c>
      <c r="P844" s="14">
        <f>VLOOKUP($C844,Rotation!$A$2:$J$10,7,FALSE)</f>
        <v>0</v>
      </c>
      <c r="Q844" s="14">
        <f>VLOOKUP($C844,Rotation!$A$2:$J$10,8,FALSE)</f>
        <v>0</v>
      </c>
      <c r="R844" s="14">
        <f>VLOOKUP($C844,Rotation!$A$2:$J$10,9,FALSE)</f>
        <v>0</v>
      </c>
      <c r="S844" s="14">
        <f>VLOOKUP($C844,Rotation!$A$2:$J$10,10,FALSE)</f>
        <v>0</v>
      </c>
    </row>
    <row r="845" spans="1:19" ht="18">
      <c r="A845" s="14">
        <v>843</v>
      </c>
      <c r="B845" s="14" t="s">
        <v>69</v>
      </c>
      <c r="C845" s="14" t="str">
        <f>VLOOKUP(B845,Family!B:C,2,FALSE)</f>
        <v>A</v>
      </c>
      <c r="D845" s="15">
        <v>19</v>
      </c>
      <c r="E845" s="14">
        <f>ROUND(VLOOKUP(C845,'Production Plan'!A:B,2,FALSE),2)</f>
        <v>407.17</v>
      </c>
      <c r="F845" s="16">
        <v>45751</v>
      </c>
      <c r="G845" s="17">
        <f>F845+6*7</f>
        <v>45793</v>
      </c>
      <c r="H845" s="14">
        <f>G845-F845</f>
        <v>42</v>
      </c>
      <c r="I845" s="14">
        <f>ROUND(D845/E845,3)</f>
        <v>4.7E-2</v>
      </c>
      <c r="J845" s="14">
        <f>I845*24</f>
        <v>1.1280000000000001</v>
      </c>
      <c r="K845" s="14">
        <f>VLOOKUP($C845,Rotation!$A$2:$J$10,2,FALSE)</f>
        <v>1</v>
      </c>
      <c r="L845" s="14">
        <f>VLOOKUP($C845,Rotation!$A$2:$J$10,3,FALSE)</f>
        <v>1</v>
      </c>
      <c r="M845" s="14">
        <f>VLOOKUP($C845,Rotation!$A$2:$J$10,4,FALSE)</f>
        <v>1</v>
      </c>
      <c r="N845" s="14">
        <f>VLOOKUP($C845,Rotation!$A$2:$J$10,5,FALSE)</f>
        <v>0</v>
      </c>
      <c r="O845" s="14">
        <f>VLOOKUP($C845,Rotation!$A$2:$J$10,6,FALSE)</f>
        <v>0</v>
      </c>
      <c r="P845" s="14">
        <f>VLOOKUP($C845,Rotation!$A$2:$J$10,7,FALSE)</f>
        <v>0</v>
      </c>
      <c r="Q845" s="14">
        <f>VLOOKUP($C845,Rotation!$A$2:$J$10,8,FALSE)</f>
        <v>0</v>
      </c>
      <c r="R845" s="14">
        <f>VLOOKUP($C845,Rotation!$A$2:$J$10,9,FALSE)</f>
        <v>0</v>
      </c>
      <c r="S845" s="14">
        <f>VLOOKUP($C845,Rotation!$A$2:$J$10,10,FALSE)</f>
        <v>0</v>
      </c>
    </row>
    <row r="846" spans="1:19" ht="18">
      <c r="A846" s="14">
        <v>844</v>
      </c>
      <c r="B846" s="14" t="s">
        <v>69</v>
      </c>
      <c r="C846" s="14" t="str">
        <f>VLOOKUP(B846,Family!B:C,2,FALSE)</f>
        <v>A</v>
      </c>
      <c r="D846" s="15">
        <v>19</v>
      </c>
      <c r="E846" s="14">
        <f>ROUND(VLOOKUP(C846,'Production Plan'!A:B,2,FALSE),2)</f>
        <v>407.17</v>
      </c>
      <c r="F846" s="16">
        <v>45751</v>
      </c>
      <c r="G846" s="17">
        <f>F846+6*7</f>
        <v>45793</v>
      </c>
      <c r="H846" s="14">
        <f>G846-F846</f>
        <v>42</v>
      </c>
      <c r="I846" s="14">
        <f>ROUND(D846/E846,3)</f>
        <v>4.7E-2</v>
      </c>
      <c r="J846" s="14">
        <f>I846*24</f>
        <v>1.1280000000000001</v>
      </c>
      <c r="K846" s="14">
        <f>VLOOKUP($C846,Rotation!$A$2:$J$10,2,FALSE)</f>
        <v>1</v>
      </c>
      <c r="L846" s="14">
        <f>VLOOKUP($C846,Rotation!$A$2:$J$10,3,FALSE)</f>
        <v>1</v>
      </c>
      <c r="M846" s="14">
        <f>VLOOKUP($C846,Rotation!$A$2:$J$10,4,FALSE)</f>
        <v>1</v>
      </c>
      <c r="N846" s="14">
        <f>VLOOKUP($C846,Rotation!$A$2:$J$10,5,FALSE)</f>
        <v>0</v>
      </c>
      <c r="O846" s="14">
        <f>VLOOKUP($C846,Rotation!$A$2:$J$10,6,FALSE)</f>
        <v>0</v>
      </c>
      <c r="P846" s="14">
        <f>VLOOKUP($C846,Rotation!$A$2:$J$10,7,FALSE)</f>
        <v>0</v>
      </c>
      <c r="Q846" s="14">
        <f>VLOOKUP($C846,Rotation!$A$2:$J$10,8,FALSE)</f>
        <v>0</v>
      </c>
      <c r="R846" s="14">
        <f>VLOOKUP($C846,Rotation!$A$2:$J$10,9,FALSE)</f>
        <v>0</v>
      </c>
      <c r="S846" s="14">
        <f>VLOOKUP($C846,Rotation!$A$2:$J$10,10,FALSE)</f>
        <v>0</v>
      </c>
    </row>
    <row r="847" spans="1:19" ht="18">
      <c r="A847" s="14">
        <v>845</v>
      </c>
      <c r="B847" s="14" t="s">
        <v>98</v>
      </c>
      <c r="C847" s="14" t="str">
        <f>VLOOKUP(B847,Family!B:C,2,FALSE)</f>
        <v>H</v>
      </c>
      <c r="D847" s="15">
        <v>19</v>
      </c>
      <c r="E847" s="14">
        <f>ROUND(VLOOKUP(C847,'Production Plan'!A:B,2,FALSE),2)</f>
        <v>402.02</v>
      </c>
      <c r="F847" s="16">
        <v>45761</v>
      </c>
      <c r="G847" s="17">
        <f>F847+6*7</f>
        <v>45803</v>
      </c>
      <c r="H847" s="14">
        <f>G847-F847</f>
        <v>42</v>
      </c>
      <c r="I847" s="14">
        <f>ROUND(D847/E847,3)</f>
        <v>4.7E-2</v>
      </c>
      <c r="J847" s="14">
        <f>I847*24</f>
        <v>1.1280000000000001</v>
      </c>
      <c r="K847" s="14">
        <f>VLOOKUP($C847,Rotation!$A$2:$J$10,2,FALSE)</f>
        <v>0</v>
      </c>
      <c r="L847" s="14">
        <f>VLOOKUP($C847,Rotation!$A$2:$J$10,3,FALSE)</f>
        <v>0</v>
      </c>
      <c r="M847" s="14">
        <f>VLOOKUP($C847,Rotation!$A$2:$J$10,4,FALSE)</f>
        <v>1</v>
      </c>
      <c r="N847" s="14">
        <f>VLOOKUP($C847,Rotation!$A$2:$J$10,5,FALSE)</f>
        <v>1</v>
      </c>
      <c r="O847" s="14">
        <f>VLOOKUP($C847,Rotation!$A$2:$J$10,6,FALSE)</f>
        <v>0</v>
      </c>
      <c r="P847" s="14">
        <f>VLOOKUP($C847,Rotation!$A$2:$J$10,7,FALSE)</f>
        <v>0</v>
      </c>
      <c r="Q847" s="14">
        <f>VLOOKUP($C847,Rotation!$A$2:$J$10,8,FALSE)</f>
        <v>0</v>
      </c>
      <c r="R847" s="14">
        <f>VLOOKUP($C847,Rotation!$A$2:$J$10,9,FALSE)</f>
        <v>0</v>
      </c>
      <c r="S847" s="14">
        <f>VLOOKUP($C847,Rotation!$A$2:$J$10,10,FALSE)</f>
        <v>0</v>
      </c>
    </row>
    <row r="848" spans="1:19" ht="18">
      <c r="A848" s="14">
        <v>846</v>
      </c>
      <c r="B848" s="14" t="s">
        <v>105</v>
      </c>
      <c r="C848" s="14" t="str">
        <f>VLOOKUP(B848,Family!B:C,2,FALSE)</f>
        <v>N</v>
      </c>
      <c r="D848" s="15">
        <v>358</v>
      </c>
      <c r="E848" s="14">
        <f>ROUND(VLOOKUP(C848,'Production Plan'!A:B,2,FALSE),2)</f>
        <v>334.18</v>
      </c>
      <c r="F848" s="16">
        <v>45840</v>
      </c>
      <c r="G848" s="17">
        <f>F848+6*7</f>
        <v>45882</v>
      </c>
      <c r="H848" s="14">
        <f>G848-F848</f>
        <v>42</v>
      </c>
      <c r="I848" s="14">
        <f>ROUND(D848/E848,3)</f>
        <v>1.071</v>
      </c>
      <c r="J848" s="14">
        <f>I848*24</f>
        <v>25.704000000000001</v>
      </c>
      <c r="K848" s="14">
        <f>VLOOKUP($C848,Rotation!$A$2:$J$10,2,FALSE)</f>
        <v>1</v>
      </c>
      <c r="L848" s="14">
        <f>VLOOKUP($C848,Rotation!$A$2:$J$10,3,FALSE)</f>
        <v>0</v>
      </c>
      <c r="M848" s="14">
        <f>VLOOKUP($C848,Rotation!$A$2:$J$10,4,FALSE)</f>
        <v>0</v>
      </c>
      <c r="N848" s="14">
        <f>VLOOKUP($C848,Rotation!$A$2:$J$10,5,FALSE)</f>
        <v>0</v>
      </c>
      <c r="O848" s="14">
        <f>VLOOKUP($C848,Rotation!$A$2:$J$10,6,FALSE)</f>
        <v>0</v>
      </c>
      <c r="P848" s="14">
        <f>VLOOKUP($C848,Rotation!$A$2:$J$10,7,FALSE)</f>
        <v>0</v>
      </c>
      <c r="Q848" s="14">
        <f>VLOOKUP($C848,Rotation!$A$2:$J$10,8,FALSE)</f>
        <v>1</v>
      </c>
      <c r="R848" s="14">
        <f>VLOOKUP($C848,Rotation!$A$2:$J$10,9,FALSE)</f>
        <v>0</v>
      </c>
      <c r="S848" s="14">
        <f>VLOOKUP($C848,Rotation!$A$2:$J$10,10,FALSE)</f>
        <v>0</v>
      </c>
    </row>
    <row r="849" spans="1:19" ht="18">
      <c r="A849" s="14">
        <v>847</v>
      </c>
      <c r="B849" s="14" t="s">
        <v>64</v>
      </c>
      <c r="C849" s="14" t="str">
        <f>VLOOKUP(B849,Family!B:C,2,FALSE)</f>
        <v>A</v>
      </c>
      <c r="D849" s="15">
        <v>111</v>
      </c>
      <c r="E849" s="14">
        <f>ROUND(VLOOKUP(C849,'Production Plan'!A:B,2,FALSE),2)</f>
        <v>407.17</v>
      </c>
      <c r="F849" s="16">
        <v>45831</v>
      </c>
      <c r="G849" s="17">
        <f>F849+6*7</f>
        <v>45873</v>
      </c>
      <c r="H849" s="14">
        <f>G849-F849</f>
        <v>42</v>
      </c>
      <c r="I849" s="14">
        <f>ROUND(D849/E849,3)</f>
        <v>0.27300000000000002</v>
      </c>
      <c r="J849" s="14">
        <f>I849*24</f>
        <v>6.5520000000000005</v>
      </c>
      <c r="K849" s="14">
        <f>VLOOKUP($C849,Rotation!$A$2:$J$10,2,FALSE)</f>
        <v>1</v>
      </c>
      <c r="L849" s="14">
        <f>VLOOKUP($C849,Rotation!$A$2:$J$10,3,FALSE)</f>
        <v>1</v>
      </c>
      <c r="M849" s="14">
        <f>VLOOKUP($C849,Rotation!$A$2:$J$10,4,FALSE)</f>
        <v>1</v>
      </c>
      <c r="N849" s="14">
        <f>VLOOKUP($C849,Rotation!$A$2:$J$10,5,FALSE)</f>
        <v>0</v>
      </c>
      <c r="O849" s="14">
        <f>VLOOKUP($C849,Rotation!$A$2:$J$10,6,FALSE)</f>
        <v>0</v>
      </c>
      <c r="P849" s="14">
        <f>VLOOKUP($C849,Rotation!$A$2:$J$10,7,FALSE)</f>
        <v>0</v>
      </c>
      <c r="Q849" s="14">
        <f>VLOOKUP($C849,Rotation!$A$2:$J$10,8,FALSE)</f>
        <v>0</v>
      </c>
      <c r="R849" s="14">
        <f>VLOOKUP($C849,Rotation!$A$2:$J$10,9,FALSE)</f>
        <v>0</v>
      </c>
      <c r="S849" s="14">
        <f>VLOOKUP($C849,Rotation!$A$2:$J$10,10,FALSE)</f>
        <v>0</v>
      </c>
    </row>
    <row r="850" spans="1:19" ht="18">
      <c r="A850" s="14">
        <v>848</v>
      </c>
      <c r="B850" s="14" t="s">
        <v>64</v>
      </c>
      <c r="C850" s="14" t="str">
        <f>VLOOKUP(B850,Family!B:C,2,FALSE)</f>
        <v>A</v>
      </c>
      <c r="D850" s="15">
        <v>111</v>
      </c>
      <c r="E850" s="14">
        <f>ROUND(VLOOKUP(C850,'Production Plan'!A:B,2,FALSE),2)</f>
        <v>407.17</v>
      </c>
      <c r="F850" s="16">
        <v>45831</v>
      </c>
      <c r="G850" s="17">
        <f>F850+6*7</f>
        <v>45873</v>
      </c>
      <c r="H850" s="14">
        <f>G850-F850</f>
        <v>42</v>
      </c>
      <c r="I850" s="14">
        <f>ROUND(D850/E850,3)</f>
        <v>0.27300000000000002</v>
      </c>
      <c r="J850" s="14">
        <f>I850*24</f>
        <v>6.5520000000000005</v>
      </c>
      <c r="K850" s="14">
        <f>VLOOKUP($C850,Rotation!$A$2:$J$10,2,FALSE)</f>
        <v>1</v>
      </c>
      <c r="L850" s="14">
        <f>VLOOKUP($C850,Rotation!$A$2:$J$10,3,FALSE)</f>
        <v>1</v>
      </c>
      <c r="M850" s="14">
        <f>VLOOKUP($C850,Rotation!$A$2:$J$10,4,FALSE)</f>
        <v>1</v>
      </c>
      <c r="N850" s="14">
        <f>VLOOKUP($C850,Rotation!$A$2:$J$10,5,FALSE)</f>
        <v>0</v>
      </c>
      <c r="O850" s="14">
        <f>VLOOKUP($C850,Rotation!$A$2:$J$10,6,FALSE)</f>
        <v>0</v>
      </c>
      <c r="P850" s="14">
        <f>VLOOKUP($C850,Rotation!$A$2:$J$10,7,FALSE)</f>
        <v>0</v>
      </c>
      <c r="Q850" s="14">
        <f>VLOOKUP($C850,Rotation!$A$2:$J$10,8,FALSE)</f>
        <v>0</v>
      </c>
      <c r="R850" s="14">
        <f>VLOOKUP($C850,Rotation!$A$2:$J$10,9,FALSE)</f>
        <v>0</v>
      </c>
      <c r="S850" s="14">
        <f>VLOOKUP($C850,Rotation!$A$2:$J$10,10,FALSE)</f>
        <v>0</v>
      </c>
    </row>
    <row r="851" spans="1:19" ht="18">
      <c r="A851" s="14">
        <v>849</v>
      </c>
      <c r="B851" s="14" t="s">
        <v>81</v>
      </c>
      <c r="C851" s="14" t="str">
        <f>VLOOKUP(B851,Family!B:C,2,FALSE)</f>
        <v>C</v>
      </c>
      <c r="D851" s="15">
        <v>97</v>
      </c>
      <c r="E851" s="14">
        <f>ROUND(VLOOKUP(C851,'Production Plan'!A:B,2,FALSE),2)</f>
        <v>411.11</v>
      </c>
      <c r="F851" s="16">
        <v>45838</v>
      </c>
      <c r="G851" s="17">
        <f>F851+6*7</f>
        <v>45880</v>
      </c>
      <c r="H851" s="14">
        <f>G851-F851</f>
        <v>42</v>
      </c>
      <c r="I851" s="14">
        <f>ROUND(D851/E851,3)</f>
        <v>0.23599999999999999</v>
      </c>
      <c r="J851" s="14">
        <f>I851*24</f>
        <v>5.6639999999999997</v>
      </c>
      <c r="K851" s="14">
        <f>VLOOKUP($C851,Rotation!$A$2:$J$10,2,FALSE)</f>
        <v>1</v>
      </c>
      <c r="L851" s="14">
        <f>VLOOKUP($C851,Rotation!$A$2:$J$10,3,FALSE)</f>
        <v>0</v>
      </c>
      <c r="M851" s="14">
        <f>VLOOKUP($C851,Rotation!$A$2:$J$10,4,FALSE)</f>
        <v>0</v>
      </c>
      <c r="N851" s="14">
        <f>VLOOKUP($C851,Rotation!$A$2:$J$10,5,FALSE)</f>
        <v>0</v>
      </c>
      <c r="O851" s="14">
        <f>VLOOKUP($C851,Rotation!$A$2:$J$10,6,FALSE)</f>
        <v>1</v>
      </c>
      <c r="P851" s="14">
        <f>VLOOKUP($C851,Rotation!$A$2:$J$10,7,FALSE)</f>
        <v>0</v>
      </c>
      <c r="Q851" s="14">
        <f>VLOOKUP($C851,Rotation!$A$2:$J$10,8,FALSE)</f>
        <v>0</v>
      </c>
      <c r="R851" s="14">
        <f>VLOOKUP($C851,Rotation!$A$2:$J$10,9,FALSE)</f>
        <v>0</v>
      </c>
      <c r="S851" s="14">
        <f>VLOOKUP($C851,Rotation!$A$2:$J$10,10,FALSE)</f>
        <v>0</v>
      </c>
    </row>
    <row r="852" spans="1:19" ht="18">
      <c r="A852" s="14">
        <v>850</v>
      </c>
      <c r="B852" s="14" t="s">
        <v>82</v>
      </c>
      <c r="C852" s="14" t="str">
        <f>VLOOKUP(B852,Family!B:C,2,FALSE)</f>
        <v>C</v>
      </c>
      <c r="D852" s="15">
        <v>19</v>
      </c>
      <c r="E852" s="14">
        <f>ROUND(VLOOKUP(C852,'Production Plan'!A:B,2,FALSE),2)</f>
        <v>411.11</v>
      </c>
      <c r="F852" s="16">
        <v>45804</v>
      </c>
      <c r="G852" s="17">
        <f>F852+6*7</f>
        <v>45846</v>
      </c>
      <c r="H852" s="14">
        <f>G852-F852</f>
        <v>42</v>
      </c>
      <c r="I852" s="14">
        <f>ROUND(D852/E852,3)</f>
        <v>4.5999999999999999E-2</v>
      </c>
      <c r="J852" s="14">
        <f>I852*24</f>
        <v>1.1040000000000001</v>
      </c>
      <c r="K852" s="14">
        <f>VLOOKUP($C852,Rotation!$A$2:$J$10,2,FALSE)</f>
        <v>1</v>
      </c>
      <c r="L852" s="14">
        <f>VLOOKUP($C852,Rotation!$A$2:$J$10,3,FALSE)</f>
        <v>0</v>
      </c>
      <c r="M852" s="14">
        <f>VLOOKUP($C852,Rotation!$A$2:$J$10,4,FALSE)</f>
        <v>0</v>
      </c>
      <c r="N852" s="14">
        <f>VLOOKUP($C852,Rotation!$A$2:$J$10,5,FALSE)</f>
        <v>0</v>
      </c>
      <c r="O852" s="14">
        <f>VLOOKUP($C852,Rotation!$A$2:$J$10,6,FALSE)</f>
        <v>1</v>
      </c>
      <c r="P852" s="14">
        <f>VLOOKUP($C852,Rotation!$A$2:$J$10,7,FALSE)</f>
        <v>0</v>
      </c>
      <c r="Q852" s="14">
        <f>VLOOKUP($C852,Rotation!$A$2:$J$10,8,FALSE)</f>
        <v>0</v>
      </c>
      <c r="R852" s="14">
        <f>VLOOKUP($C852,Rotation!$A$2:$J$10,9,FALSE)</f>
        <v>0</v>
      </c>
      <c r="S852" s="14">
        <f>VLOOKUP($C852,Rotation!$A$2:$J$10,10,FALSE)</f>
        <v>0</v>
      </c>
    </row>
    <row r="853" spans="1:19" ht="18">
      <c r="A853" s="14">
        <v>851</v>
      </c>
      <c r="B853" s="14" t="s">
        <v>82</v>
      </c>
      <c r="C853" s="14" t="str">
        <f>VLOOKUP(B853,Family!B:C,2,FALSE)</f>
        <v>C</v>
      </c>
      <c r="D853" s="15">
        <v>19</v>
      </c>
      <c r="E853" s="14">
        <f>ROUND(VLOOKUP(C853,'Production Plan'!A:B,2,FALSE),2)</f>
        <v>411.11</v>
      </c>
      <c r="F853" s="16">
        <v>45804</v>
      </c>
      <c r="G853" s="17">
        <f>F853+6*7</f>
        <v>45846</v>
      </c>
      <c r="H853" s="14">
        <f>G853-F853</f>
        <v>42</v>
      </c>
      <c r="I853" s="14">
        <f>ROUND(D853/E853,3)</f>
        <v>4.5999999999999999E-2</v>
      </c>
      <c r="J853" s="14">
        <f>I853*24</f>
        <v>1.1040000000000001</v>
      </c>
      <c r="K853" s="14">
        <f>VLOOKUP($C853,Rotation!$A$2:$J$10,2,FALSE)</f>
        <v>1</v>
      </c>
      <c r="L853" s="14">
        <f>VLOOKUP($C853,Rotation!$A$2:$J$10,3,FALSE)</f>
        <v>0</v>
      </c>
      <c r="M853" s="14">
        <f>VLOOKUP($C853,Rotation!$A$2:$J$10,4,FALSE)</f>
        <v>0</v>
      </c>
      <c r="N853" s="14">
        <f>VLOOKUP($C853,Rotation!$A$2:$J$10,5,FALSE)</f>
        <v>0</v>
      </c>
      <c r="O853" s="14">
        <f>VLOOKUP($C853,Rotation!$A$2:$J$10,6,FALSE)</f>
        <v>1</v>
      </c>
      <c r="P853" s="14">
        <f>VLOOKUP($C853,Rotation!$A$2:$J$10,7,FALSE)</f>
        <v>0</v>
      </c>
      <c r="Q853" s="14">
        <f>VLOOKUP($C853,Rotation!$A$2:$J$10,8,FALSE)</f>
        <v>0</v>
      </c>
      <c r="R853" s="14">
        <f>VLOOKUP($C853,Rotation!$A$2:$J$10,9,FALSE)</f>
        <v>0</v>
      </c>
      <c r="S853" s="14">
        <f>VLOOKUP($C853,Rotation!$A$2:$J$10,10,FALSE)</f>
        <v>0</v>
      </c>
    </row>
    <row r="854" spans="1:19" ht="18">
      <c r="A854" s="14">
        <v>852</v>
      </c>
      <c r="B854" s="14" t="s">
        <v>74</v>
      </c>
      <c r="C854" s="14" t="str">
        <f>VLOOKUP(B854,Family!B:C,2,FALSE)</f>
        <v>A</v>
      </c>
      <c r="D854" s="15">
        <v>58</v>
      </c>
      <c r="E854" s="14">
        <f>ROUND(VLOOKUP(C854,'Production Plan'!A:B,2,FALSE),2)</f>
        <v>407.17</v>
      </c>
      <c r="F854" s="16">
        <v>45842</v>
      </c>
      <c r="G854" s="17">
        <f>F854+6*7</f>
        <v>45884</v>
      </c>
      <c r="H854" s="14">
        <f>G854-F854</f>
        <v>42</v>
      </c>
      <c r="I854" s="14">
        <f>ROUND(D854/E854,3)</f>
        <v>0.14199999999999999</v>
      </c>
      <c r="J854" s="14">
        <f>I854*24</f>
        <v>3.4079999999999995</v>
      </c>
      <c r="K854" s="14">
        <f>VLOOKUP($C854,Rotation!$A$2:$J$10,2,FALSE)</f>
        <v>1</v>
      </c>
      <c r="L854" s="14">
        <f>VLOOKUP($C854,Rotation!$A$2:$J$10,3,FALSE)</f>
        <v>1</v>
      </c>
      <c r="M854" s="14">
        <f>VLOOKUP($C854,Rotation!$A$2:$J$10,4,FALSE)</f>
        <v>1</v>
      </c>
      <c r="N854" s="14">
        <f>VLOOKUP($C854,Rotation!$A$2:$J$10,5,FALSE)</f>
        <v>0</v>
      </c>
      <c r="O854" s="14">
        <f>VLOOKUP($C854,Rotation!$A$2:$J$10,6,FALSE)</f>
        <v>0</v>
      </c>
      <c r="P854" s="14">
        <f>VLOOKUP($C854,Rotation!$A$2:$J$10,7,FALSE)</f>
        <v>0</v>
      </c>
      <c r="Q854" s="14">
        <f>VLOOKUP($C854,Rotation!$A$2:$J$10,8,FALSE)</f>
        <v>0</v>
      </c>
      <c r="R854" s="14">
        <f>VLOOKUP($C854,Rotation!$A$2:$J$10,9,FALSE)</f>
        <v>0</v>
      </c>
      <c r="S854" s="14">
        <f>VLOOKUP($C854,Rotation!$A$2:$J$10,10,FALSE)</f>
        <v>0</v>
      </c>
    </row>
    <row r="855" spans="1:19" ht="18">
      <c r="A855" s="14">
        <v>853</v>
      </c>
      <c r="B855" s="14" t="s">
        <v>98</v>
      </c>
      <c r="C855" s="14" t="str">
        <f>VLOOKUP(B855,Family!B:C,2,FALSE)</f>
        <v>H</v>
      </c>
      <c r="D855" s="15">
        <v>19</v>
      </c>
      <c r="E855" s="14">
        <f>ROUND(VLOOKUP(C855,'Production Plan'!A:B,2,FALSE),2)</f>
        <v>402.02</v>
      </c>
      <c r="F855" s="16">
        <v>45790</v>
      </c>
      <c r="G855" s="17">
        <f>F855+6*7</f>
        <v>45832</v>
      </c>
      <c r="H855" s="14">
        <f>G855-F855</f>
        <v>42</v>
      </c>
      <c r="I855" s="14">
        <f>ROUND(D855/E855,3)</f>
        <v>4.7E-2</v>
      </c>
      <c r="J855" s="14">
        <f>I855*24</f>
        <v>1.1280000000000001</v>
      </c>
      <c r="K855" s="14">
        <f>VLOOKUP($C855,Rotation!$A$2:$J$10,2,FALSE)</f>
        <v>0</v>
      </c>
      <c r="L855" s="14">
        <f>VLOOKUP($C855,Rotation!$A$2:$J$10,3,FALSE)</f>
        <v>0</v>
      </c>
      <c r="M855" s="14">
        <f>VLOOKUP($C855,Rotation!$A$2:$J$10,4,FALSE)</f>
        <v>1</v>
      </c>
      <c r="N855" s="14">
        <f>VLOOKUP($C855,Rotation!$A$2:$J$10,5,FALSE)</f>
        <v>1</v>
      </c>
      <c r="O855" s="14">
        <f>VLOOKUP($C855,Rotation!$A$2:$J$10,6,FALSE)</f>
        <v>0</v>
      </c>
      <c r="P855" s="14">
        <f>VLOOKUP($C855,Rotation!$A$2:$J$10,7,FALSE)</f>
        <v>0</v>
      </c>
      <c r="Q855" s="14">
        <f>VLOOKUP($C855,Rotation!$A$2:$J$10,8,FALSE)</f>
        <v>0</v>
      </c>
      <c r="R855" s="14">
        <f>VLOOKUP($C855,Rotation!$A$2:$J$10,9,FALSE)</f>
        <v>0</v>
      </c>
      <c r="S855" s="14">
        <f>VLOOKUP($C855,Rotation!$A$2:$J$10,10,FALSE)</f>
        <v>0</v>
      </c>
    </row>
    <row r="856" spans="1:19" ht="18">
      <c r="A856" s="14">
        <v>854</v>
      </c>
      <c r="B856" s="14" t="s">
        <v>98</v>
      </c>
      <c r="C856" s="14" t="str">
        <f>VLOOKUP(B856,Family!B:C,2,FALSE)</f>
        <v>H</v>
      </c>
      <c r="D856" s="15">
        <v>19</v>
      </c>
      <c r="E856" s="14">
        <f>ROUND(VLOOKUP(C856,'Production Plan'!A:B,2,FALSE),2)</f>
        <v>402.02</v>
      </c>
      <c r="F856" s="16">
        <v>45790</v>
      </c>
      <c r="G856" s="17">
        <f>F856+6*7</f>
        <v>45832</v>
      </c>
      <c r="H856" s="14">
        <f>G856-F856</f>
        <v>42</v>
      </c>
      <c r="I856" s="14">
        <f>ROUND(D856/E856,3)</f>
        <v>4.7E-2</v>
      </c>
      <c r="J856" s="14">
        <f>I856*24</f>
        <v>1.1280000000000001</v>
      </c>
      <c r="K856" s="14">
        <f>VLOOKUP($C856,Rotation!$A$2:$J$10,2,FALSE)</f>
        <v>0</v>
      </c>
      <c r="L856" s="14">
        <f>VLOOKUP($C856,Rotation!$A$2:$J$10,3,FALSE)</f>
        <v>0</v>
      </c>
      <c r="M856" s="14">
        <f>VLOOKUP($C856,Rotation!$A$2:$J$10,4,FALSE)</f>
        <v>1</v>
      </c>
      <c r="N856" s="14">
        <f>VLOOKUP($C856,Rotation!$A$2:$J$10,5,FALSE)</f>
        <v>1</v>
      </c>
      <c r="O856" s="14">
        <f>VLOOKUP($C856,Rotation!$A$2:$J$10,6,FALSE)</f>
        <v>0</v>
      </c>
      <c r="P856" s="14">
        <f>VLOOKUP($C856,Rotation!$A$2:$J$10,7,FALSE)</f>
        <v>0</v>
      </c>
      <c r="Q856" s="14">
        <f>VLOOKUP($C856,Rotation!$A$2:$J$10,8,FALSE)</f>
        <v>0</v>
      </c>
      <c r="R856" s="14">
        <f>VLOOKUP($C856,Rotation!$A$2:$J$10,9,FALSE)</f>
        <v>0</v>
      </c>
      <c r="S856" s="14">
        <f>VLOOKUP($C856,Rotation!$A$2:$J$10,10,FALSE)</f>
        <v>0</v>
      </c>
    </row>
    <row r="857" spans="1:19" ht="18">
      <c r="A857" s="14">
        <v>855</v>
      </c>
      <c r="B857" s="14" t="s">
        <v>98</v>
      </c>
      <c r="C857" s="14" t="str">
        <f>VLOOKUP(B857,Family!B:C,2,FALSE)</f>
        <v>H</v>
      </c>
      <c r="D857" s="15">
        <v>19</v>
      </c>
      <c r="E857" s="14">
        <f>ROUND(VLOOKUP(C857,'Production Plan'!A:B,2,FALSE),2)</f>
        <v>402.02</v>
      </c>
      <c r="F857" s="16">
        <v>45790</v>
      </c>
      <c r="G857" s="17">
        <f>F857+6*7</f>
        <v>45832</v>
      </c>
      <c r="H857" s="14">
        <f>G857-F857</f>
        <v>42</v>
      </c>
      <c r="I857" s="14">
        <f>ROUND(D857/E857,3)</f>
        <v>4.7E-2</v>
      </c>
      <c r="J857" s="14">
        <f>I857*24</f>
        <v>1.1280000000000001</v>
      </c>
      <c r="K857" s="14">
        <f>VLOOKUP($C857,Rotation!$A$2:$J$10,2,FALSE)</f>
        <v>0</v>
      </c>
      <c r="L857" s="14">
        <f>VLOOKUP($C857,Rotation!$A$2:$J$10,3,FALSE)</f>
        <v>0</v>
      </c>
      <c r="M857" s="14">
        <f>VLOOKUP($C857,Rotation!$A$2:$J$10,4,FALSE)</f>
        <v>1</v>
      </c>
      <c r="N857" s="14">
        <f>VLOOKUP($C857,Rotation!$A$2:$J$10,5,FALSE)</f>
        <v>1</v>
      </c>
      <c r="O857" s="14">
        <f>VLOOKUP($C857,Rotation!$A$2:$J$10,6,FALSE)</f>
        <v>0</v>
      </c>
      <c r="P857" s="14">
        <f>VLOOKUP($C857,Rotation!$A$2:$J$10,7,FALSE)</f>
        <v>0</v>
      </c>
      <c r="Q857" s="14">
        <f>VLOOKUP($C857,Rotation!$A$2:$J$10,8,FALSE)</f>
        <v>0</v>
      </c>
      <c r="R857" s="14">
        <f>VLOOKUP($C857,Rotation!$A$2:$J$10,9,FALSE)</f>
        <v>0</v>
      </c>
      <c r="S857" s="14">
        <f>VLOOKUP($C857,Rotation!$A$2:$J$10,10,FALSE)</f>
        <v>0</v>
      </c>
    </row>
    <row r="858" spans="1:19" ht="18">
      <c r="A858" s="14">
        <v>856</v>
      </c>
      <c r="B858" s="14" t="s">
        <v>112</v>
      </c>
      <c r="C858" s="14" t="str">
        <f>VLOOKUP(B858,Family!B:C,2,FALSE)</f>
        <v>N</v>
      </c>
      <c r="D858" s="15">
        <v>70</v>
      </c>
      <c r="E858" s="14">
        <f>ROUND(VLOOKUP(C858,'Production Plan'!A:B,2,FALSE),2)</f>
        <v>334.18</v>
      </c>
      <c r="F858" s="16">
        <v>45847</v>
      </c>
      <c r="G858" s="17">
        <f>F858+6*7</f>
        <v>45889</v>
      </c>
      <c r="H858" s="14">
        <f>G858-F858</f>
        <v>42</v>
      </c>
      <c r="I858" s="14">
        <f>ROUND(D858/E858,3)</f>
        <v>0.20899999999999999</v>
      </c>
      <c r="J858" s="14">
        <f>I858*24</f>
        <v>5.016</v>
      </c>
      <c r="K858" s="14">
        <f>VLOOKUP($C858,Rotation!$A$2:$J$10,2,FALSE)</f>
        <v>1</v>
      </c>
      <c r="L858" s="14">
        <f>VLOOKUP($C858,Rotation!$A$2:$J$10,3,FALSE)</f>
        <v>0</v>
      </c>
      <c r="M858" s="14">
        <f>VLOOKUP($C858,Rotation!$A$2:$J$10,4,FALSE)</f>
        <v>0</v>
      </c>
      <c r="N858" s="14">
        <f>VLOOKUP($C858,Rotation!$A$2:$J$10,5,FALSE)</f>
        <v>0</v>
      </c>
      <c r="O858" s="14">
        <f>VLOOKUP($C858,Rotation!$A$2:$J$10,6,FALSE)</f>
        <v>0</v>
      </c>
      <c r="P858" s="14">
        <f>VLOOKUP($C858,Rotation!$A$2:$J$10,7,FALSE)</f>
        <v>0</v>
      </c>
      <c r="Q858" s="14">
        <f>VLOOKUP($C858,Rotation!$A$2:$J$10,8,FALSE)</f>
        <v>1</v>
      </c>
      <c r="R858" s="14">
        <f>VLOOKUP($C858,Rotation!$A$2:$J$10,9,FALSE)</f>
        <v>0</v>
      </c>
      <c r="S858" s="14">
        <f>VLOOKUP($C858,Rotation!$A$2:$J$10,10,FALSE)</f>
        <v>0</v>
      </c>
    </row>
    <row r="859" spans="1:19" ht="18">
      <c r="A859" s="14">
        <v>857</v>
      </c>
      <c r="B859" s="14" t="s">
        <v>98</v>
      </c>
      <c r="C859" s="14" t="str">
        <f>VLOOKUP(B859,Family!B:C,2,FALSE)</f>
        <v>H</v>
      </c>
      <c r="D859" s="15">
        <v>19</v>
      </c>
      <c r="E859" s="14">
        <f>ROUND(VLOOKUP(C859,'Production Plan'!A:B,2,FALSE),2)</f>
        <v>402.02</v>
      </c>
      <c r="F859" s="16">
        <v>45790</v>
      </c>
      <c r="G859" s="17">
        <f>F859+6*7</f>
        <v>45832</v>
      </c>
      <c r="H859" s="14">
        <f>G859-F859</f>
        <v>42</v>
      </c>
      <c r="I859" s="14">
        <f>ROUND(D859/E859,3)</f>
        <v>4.7E-2</v>
      </c>
      <c r="J859" s="14">
        <f>I859*24</f>
        <v>1.1280000000000001</v>
      </c>
      <c r="K859" s="14">
        <f>VLOOKUP($C859,Rotation!$A$2:$J$10,2,FALSE)</f>
        <v>0</v>
      </c>
      <c r="L859" s="14">
        <f>VLOOKUP($C859,Rotation!$A$2:$J$10,3,FALSE)</f>
        <v>0</v>
      </c>
      <c r="M859" s="14">
        <f>VLOOKUP($C859,Rotation!$A$2:$J$10,4,FALSE)</f>
        <v>1</v>
      </c>
      <c r="N859" s="14">
        <f>VLOOKUP($C859,Rotation!$A$2:$J$10,5,FALSE)</f>
        <v>1</v>
      </c>
      <c r="O859" s="14">
        <f>VLOOKUP($C859,Rotation!$A$2:$J$10,6,FALSE)</f>
        <v>0</v>
      </c>
      <c r="P859" s="14">
        <f>VLOOKUP($C859,Rotation!$A$2:$J$10,7,FALSE)</f>
        <v>0</v>
      </c>
      <c r="Q859" s="14">
        <f>VLOOKUP($C859,Rotation!$A$2:$J$10,8,FALSE)</f>
        <v>0</v>
      </c>
      <c r="R859" s="14">
        <f>VLOOKUP($C859,Rotation!$A$2:$J$10,9,FALSE)</f>
        <v>0</v>
      </c>
      <c r="S859" s="14">
        <f>VLOOKUP($C859,Rotation!$A$2:$J$10,10,FALSE)</f>
        <v>0</v>
      </c>
    </row>
    <row r="860" spans="1:19" ht="18">
      <c r="A860" s="14">
        <v>858</v>
      </c>
      <c r="B860" s="14" t="s">
        <v>99</v>
      </c>
      <c r="C860" s="14" t="str">
        <f>VLOOKUP(B860,Family!B:C,2,FALSE)</f>
        <v>N</v>
      </c>
      <c r="D860" s="15">
        <v>238</v>
      </c>
      <c r="E860" s="14">
        <f>ROUND(VLOOKUP(C860,'Production Plan'!A:B,2,FALSE),2)</f>
        <v>334.18</v>
      </c>
      <c r="F860" s="16">
        <v>45854</v>
      </c>
      <c r="G860" s="17">
        <f>F860+6*7</f>
        <v>45896</v>
      </c>
      <c r="H860" s="14">
        <f>G860-F860</f>
        <v>42</v>
      </c>
      <c r="I860" s="14">
        <f>ROUND(D860/E860,3)</f>
        <v>0.71199999999999997</v>
      </c>
      <c r="J860" s="14">
        <f>I860*24</f>
        <v>17.088000000000001</v>
      </c>
      <c r="K860" s="14">
        <f>VLOOKUP($C860,Rotation!$A$2:$J$10,2,FALSE)</f>
        <v>1</v>
      </c>
      <c r="L860" s="14">
        <f>VLOOKUP($C860,Rotation!$A$2:$J$10,3,FALSE)</f>
        <v>0</v>
      </c>
      <c r="M860" s="14">
        <f>VLOOKUP($C860,Rotation!$A$2:$J$10,4,FALSE)</f>
        <v>0</v>
      </c>
      <c r="N860" s="14">
        <f>VLOOKUP($C860,Rotation!$A$2:$J$10,5,FALSE)</f>
        <v>0</v>
      </c>
      <c r="O860" s="14">
        <f>VLOOKUP($C860,Rotation!$A$2:$J$10,6,FALSE)</f>
        <v>0</v>
      </c>
      <c r="P860" s="14">
        <f>VLOOKUP($C860,Rotation!$A$2:$J$10,7,FALSE)</f>
        <v>0</v>
      </c>
      <c r="Q860" s="14">
        <f>VLOOKUP($C860,Rotation!$A$2:$J$10,8,FALSE)</f>
        <v>1</v>
      </c>
      <c r="R860" s="14">
        <f>VLOOKUP($C860,Rotation!$A$2:$J$10,9,FALSE)</f>
        <v>0</v>
      </c>
      <c r="S860" s="14">
        <f>VLOOKUP($C860,Rotation!$A$2:$J$10,10,FALSE)</f>
        <v>0</v>
      </c>
    </row>
    <row r="861" spans="1:19" ht="18">
      <c r="A861" s="14">
        <v>859</v>
      </c>
      <c r="B861" s="14" t="s">
        <v>93</v>
      </c>
      <c r="C861" s="14" t="str">
        <f>VLOOKUP(B861,Family!B:C,2,FALSE)</f>
        <v>F</v>
      </c>
      <c r="D861" s="15">
        <v>504</v>
      </c>
      <c r="E861" s="14">
        <f>ROUND(VLOOKUP(C861,'Production Plan'!A:B,2,FALSE),2)</f>
        <v>394.98</v>
      </c>
      <c r="F861" s="16">
        <v>45859</v>
      </c>
      <c r="G861" s="17">
        <f>F861+6*7</f>
        <v>45901</v>
      </c>
      <c r="H861" s="14">
        <f>G861-F861</f>
        <v>42</v>
      </c>
      <c r="I861" s="14">
        <f>ROUND(D861/E861,3)</f>
        <v>1.276</v>
      </c>
      <c r="J861" s="14">
        <f>I861*24</f>
        <v>30.624000000000002</v>
      </c>
      <c r="K861" s="14">
        <f>VLOOKUP($C861,Rotation!$A$2:$J$10,2,FALSE)</f>
        <v>1</v>
      </c>
      <c r="L861" s="14">
        <f>VLOOKUP($C861,Rotation!$A$2:$J$10,3,FALSE)</f>
        <v>0</v>
      </c>
      <c r="M861" s="14">
        <f>VLOOKUP($C861,Rotation!$A$2:$J$10,4,FALSE)</f>
        <v>0</v>
      </c>
      <c r="N861" s="14">
        <f>VLOOKUP($C861,Rotation!$A$2:$J$10,5,FALSE)</f>
        <v>1</v>
      </c>
      <c r="O861" s="14">
        <f>VLOOKUP($C861,Rotation!$A$2:$J$10,6,FALSE)</f>
        <v>1</v>
      </c>
      <c r="P861" s="14">
        <f>VLOOKUP($C861,Rotation!$A$2:$J$10,7,FALSE)</f>
        <v>1</v>
      </c>
      <c r="Q861" s="14">
        <f>VLOOKUP($C861,Rotation!$A$2:$J$10,8,FALSE)</f>
        <v>1</v>
      </c>
      <c r="R861" s="14">
        <f>VLOOKUP($C861,Rotation!$A$2:$J$10,9,FALSE)</f>
        <v>1</v>
      </c>
      <c r="S861" s="14">
        <f>VLOOKUP($C861,Rotation!$A$2:$J$10,10,FALSE)</f>
        <v>1</v>
      </c>
    </row>
    <row r="862" spans="1:19" ht="18">
      <c r="A862" s="14">
        <v>860</v>
      </c>
      <c r="B862" s="14" t="s">
        <v>96</v>
      </c>
      <c r="C862" s="14" t="str">
        <f>VLOOKUP(B862,Family!B:C,2,FALSE)</f>
        <v>F</v>
      </c>
      <c r="D862" s="15">
        <v>122</v>
      </c>
      <c r="E862" s="14">
        <f>ROUND(VLOOKUP(C862,'Production Plan'!A:B,2,FALSE),2)</f>
        <v>394.98</v>
      </c>
      <c r="F862" s="16">
        <v>45863</v>
      </c>
      <c r="G862" s="17">
        <f>F862+6*7</f>
        <v>45905</v>
      </c>
      <c r="H862" s="14">
        <f>G862-F862</f>
        <v>42</v>
      </c>
      <c r="I862" s="14">
        <f>ROUND(D862/E862,3)</f>
        <v>0.309</v>
      </c>
      <c r="J862" s="14">
        <f>I862*24</f>
        <v>7.4160000000000004</v>
      </c>
      <c r="K862" s="14">
        <f>VLOOKUP($C862,Rotation!$A$2:$J$10,2,FALSE)</f>
        <v>1</v>
      </c>
      <c r="L862" s="14">
        <f>VLOOKUP($C862,Rotation!$A$2:$J$10,3,FALSE)</f>
        <v>0</v>
      </c>
      <c r="M862" s="14">
        <f>VLOOKUP($C862,Rotation!$A$2:$J$10,4,FALSE)</f>
        <v>0</v>
      </c>
      <c r="N862" s="14">
        <f>VLOOKUP($C862,Rotation!$A$2:$J$10,5,FALSE)</f>
        <v>1</v>
      </c>
      <c r="O862" s="14">
        <f>VLOOKUP($C862,Rotation!$A$2:$J$10,6,FALSE)</f>
        <v>1</v>
      </c>
      <c r="P862" s="14">
        <f>VLOOKUP($C862,Rotation!$A$2:$J$10,7,FALSE)</f>
        <v>1</v>
      </c>
      <c r="Q862" s="14">
        <f>VLOOKUP($C862,Rotation!$A$2:$J$10,8,FALSE)</f>
        <v>1</v>
      </c>
      <c r="R862" s="14">
        <f>VLOOKUP($C862,Rotation!$A$2:$J$10,9,FALSE)</f>
        <v>1</v>
      </c>
      <c r="S862" s="14">
        <f>VLOOKUP($C862,Rotation!$A$2:$J$10,10,FALSE)</f>
        <v>1</v>
      </c>
    </row>
    <row r="863" spans="1:19" ht="18">
      <c r="A863" s="14">
        <v>861</v>
      </c>
      <c r="B863" s="14" t="s">
        <v>106</v>
      </c>
      <c r="C863" s="14" t="str">
        <f>VLOOKUP(B863,Family!B:C,2,FALSE)</f>
        <v>P</v>
      </c>
      <c r="D863" s="15">
        <v>19</v>
      </c>
      <c r="E863" s="14">
        <f>ROUND(VLOOKUP(C863,'Production Plan'!A:B,2,FALSE),2)</f>
        <v>409.15</v>
      </c>
      <c r="F863" s="16">
        <v>45743</v>
      </c>
      <c r="G863" s="17">
        <f>F863+6*7</f>
        <v>45785</v>
      </c>
      <c r="H863" s="14">
        <f>G863-F863</f>
        <v>42</v>
      </c>
      <c r="I863" s="14">
        <f>ROUND(D863/E863,3)</f>
        <v>4.5999999999999999E-2</v>
      </c>
      <c r="J863" s="14">
        <f>I863*24</f>
        <v>1.1040000000000001</v>
      </c>
      <c r="K863" s="14">
        <f>VLOOKUP($C863,Rotation!$A$2:$J$10,2,FALSE)</f>
        <v>1</v>
      </c>
      <c r="L863" s="14">
        <f>VLOOKUP($C863,Rotation!$A$2:$J$10,3,FALSE)</f>
        <v>1</v>
      </c>
      <c r="M863" s="14">
        <f>VLOOKUP($C863,Rotation!$A$2:$J$10,4,FALSE)</f>
        <v>0</v>
      </c>
      <c r="N863" s="14">
        <f>VLOOKUP($C863,Rotation!$A$2:$J$10,5,FALSE)</f>
        <v>0</v>
      </c>
      <c r="O863" s="14">
        <f>VLOOKUP($C863,Rotation!$A$2:$J$10,6,FALSE)</f>
        <v>0</v>
      </c>
      <c r="P863" s="14">
        <f>VLOOKUP($C863,Rotation!$A$2:$J$10,7,FALSE)</f>
        <v>0</v>
      </c>
      <c r="Q863" s="14">
        <f>VLOOKUP($C863,Rotation!$A$2:$J$10,8,FALSE)</f>
        <v>0</v>
      </c>
      <c r="R863" s="14">
        <f>VLOOKUP($C863,Rotation!$A$2:$J$10,9,FALSE)</f>
        <v>0</v>
      </c>
      <c r="S863" s="14">
        <f>VLOOKUP($C863,Rotation!$A$2:$J$10,10,FALSE)</f>
        <v>0</v>
      </c>
    </row>
    <row r="864" spans="1:19" ht="18">
      <c r="A864" s="14">
        <v>862</v>
      </c>
      <c r="B864" s="14" t="s">
        <v>106</v>
      </c>
      <c r="C864" s="14" t="str">
        <f>VLOOKUP(B864,Family!B:C,2,FALSE)</f>
        <v>P</v>
      </c>
      <c r="D864" s="15">
        <v>19</v>
      </c>
      <c r="E864" s="14">
        <f>ROUND(VLOOKUP(C864,'Production Plan'!A:B,2,FALSE),2)</f>
        <v>409.15</v>
      </c>
      <c r="F864" s="16">
        <v>45743</v>
      </c>
      <c r="G864" s="17">
        <f>F864+6*7</f>
        <v>45785</v>
      </c>
      <c r="H864" s="14">
        <f>G864-F864</f>
        <v>42</v>
      </c>
      <c r="I864" s="14">
        <f>ROUND(D864/E864,3)</f>
        <v>4.5999999999999999E-2</v>
      </c>
      <c r="J864" s="14">
        <f>I864*24</f>
        <v>1.1040000000000001</v>
      </c>
      <c r="K864" s="14">
        <f>VLOOKUP($C864,Rotation!$A$2:$J$10,2,FALSE)</f>
        <v>1</v>
      </c>
      <c r="L864" s="14">
        <f>VLOOKUP($C864,Rotation!$A$2:$J$10,3,FALSE)</f>
        <v>1</v>
      </c>
      <c r="M864" s="14">
        <f>VLOOKUP($C864,Rotation!$A$2:$J$10,4,FALSE)</f>
        <v>0</v>
      </c>
      <c r="N864" s="14">
        <f>VLOOKUP($C864,Rotation!$A$2:$J$10,5,FALSE)</f>
        <v>0</v>
      </c>
      <c r="O864" s="14">
        <f>VLOOKUP($C864,Rotation!$A$2:$J$10,6,FALSE)</f>
        <v>0</v>
      </c>
      <c r="P864" s="14">
        <f>VLOOKUP($C864,Rotation!$A$2:$J$10,7,FALSE)</f>
        <v>0</v>
      </c>
      <c r="Q864" s="14">
        <f>VLOOKUP($C864,Rotation!$A$2:$J$10,8,FALSE)</f>
        <v>0</v>
      </c>
      <c r="R864" s="14">
        <f>VLOOKUP($C864,Rotation!$A$2:$J$10,9,FALSE)</f>
        <v>0</v>
      </c>
      <c r="S864" s="14">
        <f>VLOOKUP($C864,Rotation!$A$2:$J$10,10,FALSE)</f>
        <v>0</v>
      </c>
    </row>
    <row r="865" spans="1:19" ht="18">
      <c r="A865" s="14">
        <v>863</v>
      </c>
      <c r="B865" s="14" t="s">
        <v>87</v>
      </c>
      <c r="C865" s="14" t="str">
        <f>VLOOKUP(B865,Family!B:C,2,FALSE)</f>
        <v>E</v>
      </c>
      <c r="D865" s="15">
        <v>18</v>
      </c>
      <c r="E865" s="14">
        <f>ROUND(VLOOKUP(C865,'Production Plan'!A:B,2,FALSE),2)</f>
        <v>333.66</v>
      </c>
      <c r="F865" s="16">
        <v>45831</v>
      </c>
      <c r="G865" s="17">
        <f>F865+6*7</f>
        <v>45873</v>
      </c>
      <c r="H865" s="14">
        <f>G865-F865</f>
        <v>42</v>
      </c>
      <c r="I865" s="14">
        <f>ROUND(D865/E865,3)</f>
        <v>5.3999999999999999E-2</v>
      </c>
      <c r="J865" s="14">
        <f>I865*24</f>
        <v>1.296</v>
      </c>
      <c r="K865" s="14">
        <f>VLOOKUP($C865,Rotation!$A$2:$J$10,2,FALSE)</f>
        <v>1</v>
      </c>
      <c r="L865" s="14">
        <f>VLOOKUP($C865,Rotation!$A$2:$J$10,3,FALSE)</f>
        <v>0</v>
      </c>
      <c r="M865" s="14">
        <f>VLOOKUP($C865,Rotation!$A$2:$J$10,4,FALSE)</f>
        <v>0</v>
      </c>
      <c r="N865" s="14">
        <f>VLOOKUP($C865,Rotation!$A$2:$J$10,5,FALSE)</f>
        <v>0</v>
      </c>
      <c r="O865" s="14">
        <f>VLOOKUP($C865,Rotation!$A$2:$J$10,6,FALSE)</f>
        <v>0</v>
      </c>
      <c r="P865" s="14">
        <f>VLOOKUP($C865,Rotation!$A$2:$J$10,7,FALSE)</f>
        <v>1</v>
      </c>
      <c r="Q865" s="14">
        <f>VLOOKUP($C865,Rotation!$A$2:$J$10,8,FALSE)</f>
        <v>0</v>
      </c>
      <c r="R865" s="14">
        <f>VLOOKUP($C865,Rotation!$A$2:$J$10,9,FALSE)</f>
        <v>0</v>
      </c>
      <c r="S865" s="14">
        <f>VLOOKUP($C865,Rotation!$A$2:$J$10,10,FALSE)</f>
        <v>0</v>
      </c>
    </row>
    <row r="866" spans="1:19" ht="18">
      <c r="A866" s="14">
        <v>864</v>
      </c>
      <c r="B866" s="14" t="s">
        <v>106</v>
      </c>
      <c r="C866" s="14" t="str">
        <f>VLOOKUP(B866,Family!B:C,2,FALSE)</f>
        <v>P</v>
      </c>
      <c r="D866" s="15">
        <v>19</v>
      </c>
      <c r="E866" s="14">
        <f>ROUND(VLOOKUP(C866,'Production Plan'!A:B,2,FALSE),2)</f>
        <v>409.15</v>
      </c>
      <c r="F866" s="16">
        <v>45743</v>
      </c>
      <c r="G866" s="17">
        <f>F866+6*7</f>
        <v>45785</v>
      </c>
      <c r="H866" s="14">
        <f>G866-F866</f>
        <v>42</v>
      </c>
      <c r="I866" s="14">
        <f>ROUND(D866/E866,3)</f>
        <v>4.5999999999999999E-2</v>
      </c>
      <c r="J866" s="14">
        <f>I866*24</f>
        <v>1.1040000000000001</v>
      </c>
      <c r="K866" s="14">
        <f>VLOOKUP($C866,Rotation!$A$2:$J$10,2,FALSE)</f>
        <v>1</v>
      </c>
      <c r="L866" s="14">
        <f>VLOOKUP($C866,Rotation!$A$2:$J$10,3,FALSE)</f>
        <v>1</v>
      </c>
      <c r="M866" s="14">
        <f>VLOOKUP($C866,Rotation!$A$2:$J$10,4,FALSE)</f>
        <v>0</v>
      </c>
      <c r="N866" s="14">
        <f>VLOOKUP($C866,Rotation!$A$2:$J$10,5,FALSE)</f>
        <v>0</v>
      </c>
      <c r="O866" s="14">
        <f>VLOOKUP($C866,Rotation!$A$2:$J$10,6,FALSE)</f>
        <v>0</v>
      </c>
      <c r="P866" s="14">
        <f>VLOOKUP($C866,Rotation!$A$2:$J$10,7,FALSE)</f>
        <v>0</v>
      </c>
      <c r="Q866" s="14">
        <f>VLOOKUP($C866,Rotation!$A$2:$J$10,8,FALSE)</f>
        <v>0</v>
      </c>
      <c r="R866" s="14">
        <f>VLOOKUP($C866,Rotation!$A$2:$J$10,9,FALSE)</f>
        <v>0</v>
      </c>
      <c r="S866" s="14">
        <f>VLOOKUP($C866,Rotation!$A$2:$J$10,10,FALSE)</f>
        <v>0</v>
      </c>
    </row>
    <row r="867" spans="1:19" ht="18">
      <c r="A867" s="14">
        <v>865</v>
      </c>
      <c r="B867" s="14" t="s">
        <v>69</v>
      </c>
      <c r="C867" s="14" t="str">
        <f>VLOOKUP(B867,Family!B:C,2,FALSE)</f>
        <v>A</v>
      </c>
      <c r="D867" s="15">
        <v>19</v>
      </c>
      <c r="E867" s="14">
        <f>ROUND(VLOOKUP(C867,'Production Plan'!A:B,2,FALSE),2)</f>
        <v>407.17</v>
      </c>
      <c r="F867" s="16">
        <v>45751</v>
      </c>
      <c r="G867" s="17">
        <f>F867+6*7</f>
        <v>45793</v>
      </c>
      <c r="H867" s="14">
        <f>G867-F867</f>
        <v>42</v>
      </c>
      <c r="I867" s="14">
        <f>ROUND(D867/E867,3)</f>
        <v>4.7E-2</v>
      </c>
      <c r="J867" s="14">
        <f>I867*24</f>
        <v>1.1280000000000001</v>
      </c>
      <c r="K867" s="14">
        <f>VLOOKUP($C867,Rotation!$A$2:$J$10,2,FALSE)</f>
        <v>1</v>
      </c>
      <c r="L867" s="14">
        <f>VLOOKUP($C867,Rotation!$A$2:$J$10,3,FALSE)</f>
        <v>1</v>
      </c>
      <c r="M867" s="14">
        <f>VLOOKUP($C867,Rotation!$A$2:$J$10,4,FALSE)</f>
        <v>1</v>
      </c>
      <c r="N867" s="14">
        <f>VLOOKUP($C867,Rotation!$A$2:$J$10,5,FALSE)</f>
        <v>0</v>
      </c>
      <c r="O867" s="14">
        <f>VLOOKUP($C867,Rotation!$A$2:$J$10,6,FALSE)</f>
        <v>0</v>
      </c>
      <c r="P867" s="14">
        <f>VLOOKUP($C867,Rotation!$A$2:$J$10,7,FALSE)</f>
        <v>0</v>
      </c>
      <c r="Q867" s="14">
        <f>VLOOKUP($C867,Rotation!$A$2:$J$10,8,FALSE)</f>
        <v>0</v>
      </c>
      <c r="R867" s="14">
        <f>VLOOKUP($C867,Rotation!$A$2:$J$10,9,FALSE)</f>
        <v>0</v>
      </c>
      <c r="S867" s="14">
        <f>VLOOKUP($C867,Rotation!$A$2:$J$10,10,FALSE)</f>
        <v>0</v>
      </c>
    </row>
    <row r="868" spans="1:19" ht="18">
      <c r="A868" s="14">
        <v>866</v>
      </c>
      <c r="B868" s="14" t="s">
        <v>69</v>
      </c>
      <c r="C868" s="14" t="str">
        <f>VLOOKUP(B868,Family!B:C,2,FALSE)</f>
        <v>A</v>
      </c>
      <c r="D868" s="15">
        <v>19</v>
      </c>
      <c r="E868" s="14">
        <f>ROUND(VLOOKUP(C868,'Production Plan'!A:B,2,FALSE),2)</f>
        <v>407.17</v>
      </c>
      <c r="F868" s="16">
        <v>45751</v>
      </c>
      <c r="G868" s="17">
        <f>F868+6*7</f>
        <v>45793</v>
      </c>
      <c r="H868" s="14">
        <f>G868-F868</f>
        <v>42</v>
      </c>
      <c r="I868" s="14">
        <f>ROUND(D868/E868,3)</f>
        <v>4.7E-2</v>
      </c>
      <c r="J868" s="14">
        <f>I868*24</f>
        <v>1.1280000000000001</v>
      </c>
      <c r="K868" s="14">
        <f>VLOOKUP($C868,Rotation!$A$2:$J$10,2,FALSE)</f>
        <v>1</v>
      </c>
      <c r="L868" s="14">
        <f>VLOOKUP($C868,Rotation!$A$2:$J$10,3,FALSE)</f>
        <v>1</v>
      </c>
      <c r="M868" s="14">
        <f>VLOOKUP($C868,Rotation!$A$2:$J$10,4,FALSE)</f>
        <v>1</v>
      </c>
      <c r="N868" s="14">
        <f>VLOOKUP($C868,Rotation!$A$2:$J$10,5,FALSE)</f>
        <v>0</v>
      </c>
      <c r="O868" s="14">
        <f>VLOOKUP($C868,Rotation!$A$2:$J$10,6,FALSE)</f>
        <v>0</v>
      </c>
      <c r="P868" s="14">
        <f>VLOOKUP($C868,Rotation!$A$2:$J$10,7,FALSE)</f>
        <v>0</v>
      </c>
      <c r="Q868" s="14">
        <f>VLOOKUP($C868,Rotation!$A$2:$J$10,8,FALSE)</f>
        <v>0</v>
      </c>
      <c r="R868" s="14">
        <f>VLOOKUP($C868,Rotation!$A$2:$J$10,9,FALSE)</f>
        <v>0</v>
      </c>
      <c r="S868" s="14">
        <f>VLOOKUP($C868,Rotation!$A$2:$J$10,10,FALSE)</f>
        <v>0</v>
      </c>
    </row>
    <row r="869" spans="1:19" ht="18">
      <c r="A869" s="14">
        <v>867</v>
      </c>
      <c r="B869" s="14" t="s">
        <v>69</v>
      </c>
      <c r="C869" s="14" t="str">
        <f>VLOOKUP(B869,Family!B:C,2,FALSE)</f>
        <v>A</v>
      </c>
      <c r="D869" s="15">
        <v>19</v>
      </c>
      <c r="E869" s="14">
        <f>ROUND(VLOOKUP(C869,'Production Plan'!A:B,2,FALSE),2)</f>
        <v>407.17</v>
      </c>
      <c r="F869" s="16">
        <v>45751</v>
      </c>
      <c r="G869" s="17">
        <f>F869+6*7</f>
        <v>45793</v>
      </c>
      <c r="H869" s="14">
        <f>G869-F869</f>
        <v>42</v>
      </c>
      <c r="I869" s="14">
        <f>ROUND(D869/E869,3)</f>
        <v>4.7E-2</v>
      </c>
      <c r="J869" s="14">
        <f>I869*24</f>
        <v>1.1280000000000001</v>
      </c>
      <c r="K869" s="14">
        <f>VLOOKUP($C869,Rotation!$A$2:$J$10,2,FALSE)</f>
        <v>1</v>
      </c>
      <c r="L869" s="14">
        <f>VLOOKUP($C869,Rotation!$A$2:$J$10,3,FALSE)</f>
        <v>1</v>
      </c>
      <c r="M869" s="14">
        <f>VLOOKUP($C869,Rotation!$A$2:$J$10,4,FALSE)</f>
        <v>1</v>
      </c>
      <c r="N869" s="14">
        <f>VLOOKUP($C869,Rotation!$A$2:$J$10,5,FALSE)</f>
        <v>0</v>
      </c>
      <c r="O869" s="14">
        <f>VLOOKUP($C869,Rotation!$A$2:$J$10,6,FALSE)</f>
        <v>0</v>
      </c>
      <c r="P869" s="14">
        <f>VLOOKUP($C869,Rotation!$A$2:$J$10,7,FALSE)</f>
        <v>0</v>
      </c>
      <c r="Q869" s="14">
        <f>VLOOKUP($C869,Rotation!$A$2:$J$10,8,FALSE)</f>
        <v>0</v>
      </c>
      <c r="R869" s="14">
        <f>VLOOKUP($C869,Rotation!$A$2:$J$10,9,FALSE)</f>
        <v>0</v>
      </c>
      <c r="S869" s="14">
        <f>VLOOKUP($C869,Rotation!$A$2:$J$10,10,FALSE)</f>
        <v>0</v>
      </c>
    </row>
    <row r="870" spans="1:19" ht="18">
      <c r="A870" s="14">
        <v>868</v>
      </c>
      <c r="B870" s="14" t="s">
        <v>80</v>
      </c>
      <c r="C870" s="14" t="str">
        <f>VLOOKUP(B870,Family!B:C,2,FALSE)</f>
        <v>C</v>
      </c>
      <c r="D870" s="15">
        <v>19</v>
      </c>
      <c r="E870" s="14">
        <f>ROUND(VLOOKUP(C870,'Production Plan'!A:B,2,FALSE),2)</f>
        <v>411.11</v>
      </c>
      <c r="F870" s="16">
        <v>45862</v>
      </c>
      <c r="G870" s="17">
        <f>F870+6*7</f>
        <v>45904</v>
      </c>
      <c r="H870" s="14">
        <f>G870-F870</f>
        <v>42</v>
      </c>
      <c r="I870" s="14">
        <f>ROUND(D870/E870,3)</f>
        <v>4.5999999999999999E-2</v>
      </c>
      <c r="J870" s="14">
        <f>I870*24</f>
        <v>1.1040000000000001</v>
      </c>
      <c r="K870" s="14">
        <f>VLOOKUP($C870,Rotation!$A$2:$J$10,2,FALSE)</f>
        <v>1</v>
      </c>
      <c r="L870" s="14">
        <f>VLOOKUP($C870,Rotation!$A$2:$J$10,3,FALSE)</f>
        <v>0</v>
      </c>
      <c r="M870" s="14">
        <f>VLOOKUP($C870,Rotation!$A$2:$J$10,4,FALSE)</f>
        <v>0</v>
      </c>
      <c r="N870" s="14">
        <f>VLOOKUP($C870,Rotation!$A$2:$J$10,5,FALSE)</f>
        <v>0</v>
      </c>
      <c r="O870" s="14">
        <f>VLOOKUP($C870,Rotation!$A$2:$J$10,6,FALSE)</f>
        <v>1</v>
      </c>
      <c r="P870" s="14">
        <f>VLOOKUP($C870,Rotation!$A$2:$J$10,7,FALSE)</f>
        <v>0</v>
      </c>
      <c r="Q870" s="14">
        <f>VLOOKUP($C870,Rotation!$A$2:$J$10,8,FALSE)</f>
        <v>0</v>
      </c>
      <c r="R870" s="14">
        <f>VLOOKUP($C870,Rotation!$A$2:$J$10,9,FALSE)</f>
        <v>0</v>
      </c>
      <c r="S870" s="14">
        <f>VLOOKUP($C870,Rotation!$A$2:$J$10,10,FALSE)</f>
        <v>0</v>
      </c>
    </row>
    <row r="871" spans="1:19" ht="18">
      <c r="A871" s="14">
        <v>869</v>
      </c>
      <c r="B871" s="14" t="s">
        <v>99</v>
      </c>
      <c r="C871" s="14" t="str">
        <f>VLOOKUP(B871,Family!B:C,2,FALSE)</f>
        <v>N</v>
      </c>
      <c r="D871" s="15">
        <v>19</v>
      </c>
      <c r="E871" s="14">
        <f>ROUND(VLOOKUP(C871,'Production Plan'!A:B,2,FALSE),2)</f>
        <v>334.18</v>
      </c>
      <c r="F871" s="16">
        <v>45884</v>
      </c>
      <c r="G871" s="17">
        <f>F871+6*7</f>
        <v>45926</v>
      </c>
      <c r="H871" s="14">
        <f>G871-F871</f>
        <v>42</v>
      </c>
      <c r="I871" s="14">
        <f>ROUND(D871/E871,3)</f>
        <v>5.7000000000000002E-2</v>
      </c>
      <c r="J871" s="14">
        <f>I871*24</f>
        <v>1.3680000000000001</v>
      </c>
      <c r="K871" s="14">
        <f>VLOOKUP($C871,Rotation!$A$2:$J$10,2,FALSE)</f>
        <v>1</v>
      </c>
      <c r="L871" s="14">
        <f>VLOOKUP($C871,Rotation!$A$2:$J$10,3,FALSE)</f>
        <v>0</v>
      </c>
      <c r="M871" s="14">
        <f>VLOOKUP($C871,Rotation!$A$2:$J$10,4,FALSE)</f>
        <v>0</v>
      </c>
      <c r="N871" s="14">
        <f>VLOOKUP($C871,Rotation!$A$2:$J$10,5,FALSE)</f>
        <v>0</v>
      </c>
      <c r="O871" s="14">
        <f>VLOOKUP($C871,Rotation!$A$2:$J$10,6,FALSE)</f>
        <v>0</v>
      </c>
      <c r="P871" s="14">
        <f>VLOOKUP($C871,Rotation!$A$2:$J$10,7,FALSE)</f>
        <v>0</v>
      </c>
      <c r="Q871" s="14">
        <f>VLOOKUP($C871,Rotation!$A$2:$J$10,8,FALSE)</f>
        <v>1</v>
      </c>
      <c r="R871" s="14">
        <f>VLOOKUP($C871,Rotation!$A$2:$J$10,9,FALSE)</f>
        <v>0</v>
      </c>
      <c r="S871" s="14">
        <f>VLOOKUP($C871,Rotation!$A$2:$J$10,10,FALSE)</f>
        <v>0</v>
      </c>
    </row>
    <row r="872" spans="1:19" ht="18">
      <c r="A872" s="14">
        <v>870</v>
      </c>
      <c r="B872" s="14" t="s">
        <v>99</v>
      </c>
      <c r="C872" s="14" t="str">
        <f>VLOOKUP(B872,Family!B:C,2,FALSE)</f>
        <v>N</v>
      </c>
      <c r="D872" s="15">
        <v>19</v>
      </c>
      <c r="E872" s="14">
        <f>ROUND(VLOOKUP(C872,'Production Plan'!A:B,2,FALSE),2)</f>
        <v>334.18</v>
      </c>
      <c r="F872" s="16">
        <v>45884</v>
      </c>
      <c r="G872" s="17">
        <f>F872+6*7</f>
        <v>45926</v>
      </c>
      <c r="H872" s="14">
        <f>G872-F872</f>
        <v>42</v>
      </c>
      <c r="I872" s="14">
        <f>ROUND(D872/E872,3)</f>
        <v>5.7000000000000002E-2</v>
      </c>
      <c r="J872" s="14">
        <f>I872*24</f>
        <v>1.3680000000000001</v>
      </c>
      <c r="K872" s="14">
        <f>VLOOKUP($C872,Rotation!$A$2:$J$10,2,FALSE)</f>
        <v>1</v>
      </c>
      <c r="L872" s="14">
        <f>VLOOKUP($C872,Rotation!$A$2:$J$10,3,FALSE)</f>
        <v>0</v>
      </c>
      <c r="M872" s="14">
        <f>VLOOKUP($C872,Rotation!$A$2:$J$10,4,FALSE)</f>
        <v>0</v>
      </c>
      <c r="N872" s="14">
        <f>VLOOKUP($C872,Rotation!$A$2:$J$10,5,FALSE)</f>
        <v>0</v>
      </c>
      <c r="O872" s="14">
        <f>VLOOKUP($C872,Rotation!$A$2:$J$10,6,FALSE)</f>
        <v>0</v>
      </c>
      <c r="P872" s="14">
        <f>VLOOKUP($C872,Rotation!$A$2:$J$10,7,FALSE)</f>
        <v>0</v>
      </c>
      <c r="Q872" s="14">
        <f>VLOOKUP($C872,Rotation!$A$2:$J$10,8,FALSE)</f>
        <v>1</v>
      </c>
      <c r="R872" s="14">
        <f>VLOOKUP($C872,Rotation!$A$2:$J$10,9,FALSE)</f>
        <v>0</v>
      </c>
      <c r="S872" s="14">
        <f>VLOOKUP($C872,Rotation!$A$2:$J$10,10,FALSE)</f>
        <v>0</v>
      </c>
    </row>
    <row r="873" spans="1:19" ht="18">
      <c r="A873" s="14">
        <v>871</v>
      </c>
      <c r="B873" s="14" t="s">
        <v>99</v>
      </c>
      <c r="C873" s="14" t="str">
        <f>VLOOKUP(B873,Family!B:C,2,FALSE)</f>
        <v>N</v>
      </c>
      <c r="D873" s="15">
        <v>19</v>
      </c>
      <c r="E873" s="14">
        <f>ROUND(VLOOKUP(C873,'Production Plan'!A:B,2,FALSE),2)</f>
        <v>334.18</v>
      </c>
      <c r="F873" s="16">
        <v>45884</v>
      </c>
      <c r="G873" s="17">
        <f>F873+6*7</f>
        <v>45926</v>
      </c>
      <c r="H873" s="14">
        <f>G873-F873</f>
        <v>42</v>
      </c>
      <c r="I873" s="14">
        <f>ROUND(D873/E873,3)</f>
        <v>5.7000000000000002E-2</v>
      </c>
      <c r="J873" s="14">
        <f>I873*24</f>
        <v>1.3680000000000001</v>
      </c>
      <c r="K873" s="14">
        <f>VLOOKUP($C873,Rotation!$A$2:$J$10,2,FALSE)</f>
        <v>1</v>
      </c>
      <c r="L873" s="14">
        <f>VLOOKUP($C873,Rotation!$A$2:$J$10,3,FALSE)</f>
        <v>0</v>
      </c>
      <c r="M873" s="14">
        <f>VLOOKUP($C873,Rotation!$A$2:$J$10,4,FALSE)</f>
        <v>0</v>
      </c>
      <c r="N873" s="14">
        <f>VLOOKUP($C873,Rotation!$A$2:$J$10,5,FALSE)</f>
        <v>0</v>
      </c>
      <c r="O873" s="14">
        <f>VLOOKUP($C873,Rotation!$A$2:$J$10,6,FALSE)</f>
        <v>0</v>
      </c>
      <c r="P873" s="14">
        <f>VLOOKUP($C873,Rotation!$A$2:$J$10,7,FALSE)</f>
        <v>0</v>
      </c>
      <c r="Q873" s="14">
        <f>VLOOKUP($C873,Rotation!$A$2:$J$10,8,FALSE)</f>
        <v>1</v>
      </c>
      <c r="R873" s="14">
        <f>VLOOKUP($C873,Rotation!$A$2:$J$10,9,FALSE)</f>
        <v>0</v>
      </c>
      <c r="S873" s="14">
        <f>VLOOKUP($C873,Rotation!$A$2:$J$10,10,FALSE)</f>
        <v>0</v>
      </c>
    </row>
    <row r="874" spans="1:19" ht="18">
      <c r="A874" s="14">
        <v>872</v>
      </c>
      <c r="B874" s="14" t="s">
        <v>80</v>
      </c>
      <c r="C874" s="14" t="str">
        <f>VLOOKUP(B874,Family!B:C,2,FALSE)</f>
        <v>C</v>
      </c>
      <c r="D874" s="15">
        <v>19</v>
      </c>
      <c r="E874" s="14">
        <f>ROUND(VLOOKUP(C874,'Production Plan'!A:B,2,FALSE),2)</f>
        <v>411.11</v>
      </c>
      <c r="F874" s="16">
        <v>45754</v>
      </c>
      <c r="G874" s="17">
        <f>F874+6*7</f>
        <v>45796</v>
      </c>
      <c r="H874" s="14">
        <f>G874-F874</f>
        <v>42</v>
      </c>
      <c r="I874" s="14">
        <f>ROUND(D874/E874,3)</f>
        <v>4.5999999999999999E-2</v>
      </c>
      <c r="J874" s="14">
        <f>I874*24</f>
        <v>1.1040000000000001</v>
      </c>
      <c r="K874" s="14">
        <f>VLOOKUP($C874,Rotation!$A$2:$J$10,2,FALSE)</f>
        <v>1</v>
      </c>
      <c r="L874" s="14">
        <f>VLOOKUP($C874,Rotation!$A$2:$J$10,3,FALSE)</f>
        <v>0</v>
      </c>
      <c r="M874" s="14">
        <f>VLOOKUP($C874,Rotation!$A$2:$J$10,4,FALSE)</f>
        <v>0</v>
      </c>
      <c r="N874" s="14">
        <f>VLOOKUP($C874,Rotation!$A$2:$J$10,5,FALSE)</f>
        <v>0</v>
      </c>
      <c r="O874" s="14">
        <f>VLOOKUP($C874,Rotation!$A$2:$J$10,6,FALSE)</f>
        <v>1</v>
      </c>
      <c r="P874" s="14">
        <f>VLOOKUP($C874,Rotation!$A$2:$J$10,7,FALSE)</f>
        <v>0</v>
      </c>
      <c r="Q874" s="14">
        <f>VLOOKUP($C874,Rotation!$A$2:$J$10,8,FALSE)</f>
        <v>0</v>
      </c>
      <c r="R874" s="14">
        <f>VLOOKUP($C874,Rotation!$A$2:$J$10,9,FALSE)</f>
        <v>0</v>
      </c>
      <c r="S874" s="14">
        <f>VLOOKUP($C874,Rotation!$A$2:$J$10,10,FALSE)</f>
        <v>0</v>
      </c>
    </row>
    <row r="875" spans="1:19" ht="18">
      <c r="A875" s="14">
        <v>873</v>
      </c>
      <c r="B875" s="14" t="s">
        <v>80</v>
      </c>
      <c r="C875" s="14" t="str">
        <f>VLOOKUP(B875,Family!B:C,2,FALSE)</f>
        <v>C</v>
      </c>
      <c r="D875" s="15">
        <v>19</v>
      </c>
      <c r="E875" s="14">
        <f>ROUND(VLOOKUP(C875,'Production Plan'!A:B,2,FALSE),2)</f>
        <v>411.11</v>
      </c>
      <c r="F875" s="16">
        <v>45754</v>
      </c>
      <c r="G875" s="17">
        <f>F875+6*7</f>
        <v>45796</v>
      </c>
      <c r="H875" s="14">
        <f>G875-F875</f>
        <v>42</v>
      </c>
      <c r="I875" s="14">
        <f>ROUND(D875/E875,3)</f>
        <v>4.5999999999999999E-2</v>
      </c>
      <c r="J875" s="14">
        <f>I875*24</f>
        <v>1.1040000000000001</v>
      </c>
      <c r="K875" s="14">
        <f>VLOOKUP($C875,Rotation!$A$2:$J$10,2,FALSE)</f>
        <v>1</v>
      </c>
      <c r="L875" s="14">
        <f>VLOOKUP($C875,Rotation!$A$2:$J$10,3,FALSE)</f>
        <v>0</v>
      </c>
      <c r="M875" s="14">
        <f>VLOOKUP($C875,Rotation!$A$2:$J$10,4,FALSE)</f>
        <v>0</v>
      </c>
      <c r="N875" s="14">
        <f>VLOOKUP($C875,Rotation!$A$2:$J$10,5,FALSE)</f>
        <v>0</v>
      </c>
      <c r="O875" s="14">
        <f>VLOOKUP($C875,Rotation!$A$2:$J$10,6,FALSE)</f>
        <v>1</v>
      </c>
      <c r="P875" s="14">
        <f>VLOOKUP($C875,Rotation!$A$2:$J$10,7,FALSE)</f>
        <v>0</v>
      </c>
      <c r="Q875" s="14">
        <f>VLOOKUP($C875,Rotation!$A$2:$J$10,8,FALSE)</f>
        <v>0</v>
      </c>
      <c r="R875" s="14">
        <f>VLOOKUP($C875,Rotation!$A$2:$J$10,9,FALSE)</f>
        <v>0</v>
      </c>
      <c r="S875" s="14">
        <f>VLOOKUP($C875,Rotation!$A$2:$J$10,10,FALSE)</f>
        <v>0</v>
      </c>
    </row>
    <row r="876" spans="1:19" ht="18">
      <c r="A876" s="14">
        <v>874</v>
      </c>
      <c r="B876" s="14" t="s">
        <v>80</v>
      </c>
      <c r="C876" s="14" t="str">
        <f>VLOOKUP(B876,Family!B:C,2,FALSE)</f>
        <v>C</v>
      </c>
      <c r="D876" s="15">
        <v>19</v>
      </c>
      <c r="E876" s="14">
        <f>ROUND(VLOOKUP(C876,'Production Plan'!A:B,2,FALSE),2)</f>
        <v>411.11</v>
      </c>
      <c r="F876" s="16">
        <v>45754</v>
      </c>
      <c r="G876" s="17">
        <f>F876+6*7</f>
        <v>45796</v>
      </c>
      <c r="H876" s="14">
        <f>G876-F876</f>
        <v>42</v>
      </c>
      <c r="I876" s="14">
        <f>ROUND(D876/E876,3)</f>
        <v>4.5999999999999999E-2</v>
      </c>
      <c r="J876" s="14">
        <f>I876*24</f>
        <v>1.1040000000000001</v>
      </c>
      <c r="K876" s="14">
        <f>VLOOKUP($C876,Rotation!$A$2:$J$10,2,FALSE)</f>
        <v>1</v>
      </c>
      <c r="L876" s="14">
        <f>VLOOKUP($C876,Rotation!$A$2:$J$10,3,FALSE)</f>
        <v>0</v>
      </c>
      <c r="M876" s="14">
        <f>VLOOKUP($C876,Rotation!$A$2:$J$10,4,FALSE)</f>
        <v>0</v>
      </c>
      <c r="N876" s="14">
        <f>VLOOKUP($C876,Rotation!$A$2:$J$10,5,FALSE)</f>
        <v>0</v>
      </c>
      <c r="O876" s="14">
        <f>VLOOKUP($C876,Rotation!$A$2:$J$10,6,FALSE)</f>
        <v>1</v>
      </c>
      <c r="P876" s="14">
        <f>VLOOKUP($C876,Rotation!$A$2:$J$10,7,FALSE)</f>
        <v>0</v>
      </c>
      <c r="Q876" s="14">
        <f>VLOOKUP($C876,Rotation!$A$2:$J$10,8,FALSE)</f>
        <v>0</v>
      </c>
      <c r="R876" s="14">
        <f>VLOOKUP($C876,Rotation!$A$2:$J$10,9,FALSE)</f>
        <v>0</v>
      </c>
      <c r="S876" s="14">
        <f>VLOOKUP($C876,Rotation!$A$2:$J$10,10,FALSE)</f>
        <v>0</v>
      </c>
    </row>
    <row r="877" spans="1:19" ht="18">
      <c r="A877" s="14">
        <v>875</v>
      </c>
      <c r="B877" s="14" t="s">
        <v>102</v>
      </c>
      <c r="C877" s="14" t="str">
        <f>VLOOKUP(B877,Family!B:C,2,FALSE)</f>
        <v>H</v>
      </c>
      <c r="D877" s="15">
        <v>45</v>
      </c>
      <c r="E877" s="14">
        <f>ROUND(VLOOKUP(C877,'Production Plan'!A:B,2,FALSE),2)</f>
        <v>402.02</v>
      </c>
      <c r="F877" s="16">
        <v>45825</v>
      </c>
      <c r="G877" s="17">
        <f>F877+6*7</f>
        <v>45867</v>
      </c>
      <c r="H877" s="14">
        <f>G877-F877</f>
        <v>42</v>
      </c>
      <c r="I877" s="14">
        <f>ROUND(D877/E877,3)</f>
        <v>0.112</v>
      </c>
      <c r="J877" s="14">
        <f>I877*24</f>
        <v>2.6880000000000002</v>
      </c>
      <c r="K877" s="14">
        <f>VLOOKUP($C877,Rotation!$A$2:$J$10,2,FALSE)</f>
        <v>0</v>
      </c>
      <c r="L877" s="14">
        <f>VLOOKUP($C877,Rotation!$A$2:$J$10,3,FALSE)</f>
        <v>0</v>
      </c>
      <c r="M877" s="14">
        <f>VLOOKUP($C877,Rotation!$A$2:$J$10,4,FALSE)</f>
        <v>1</v>
      </c>
      <c r="N877" s="14">
        <f>VLOOKUP($C877,Rotation!$A$2:$J$10,5,FALSE)</f>
        <v>1</v>
      </c>
      <c r="O877" s="14">
        <f>VLOOKUP($C877,Rotation!$A$2:$J$10,6,FALSE)</f>
        <v>0</v>
      </c>
      <c r="P877" s="14">
        <f>VLOOKUP($C877,Rotation!$A$2:$J$10,7,FALSE)</f>
        <v>0</v>
      </c>
      <c r="Q877" s="14">
        <f>VLOOKUP($C877,Rotation!$A$2:$J$10,8,FALSE)</f>
        <v>0</v>
      </c>
      <c r="R877" s="14">
        <f>VLOOKUP($C877,Rotation!$A$2:$J$10,9,FALSE)</f>
        <v>0</v>
      </c>
      <c r="S877" s="14">
        <f>VLOOKUP($C877,Rotation!$A$2:$J$10,10,FALSE)</f>
        <v>0</v>
      </c>
    </row>
    <row r="878" spans="1:19" ht="18">
      <c r="A878" s="14">
        <v>876</v>
      </c>
      <c r="B878" s="14" t="s">
        <v>100</v>
      </c>
      <c r="C878" s="14" t="str">
        <f>VLOOKUP(B878,Family!B:C,2,FALSE)</f>
        <v>H</v>
      </c>
      <c r="D878" s="15">
        <v>23</v>
      </c>
      <c r="E878" s="14">
        <f>ROUND(VLOOKUP(C878,'Production Plan'!A:B,2,FALSE),2)</f>
        <v>402.02</v>
      </c>
      <c r="F878" s="16">
        <v>45828</v>
      </c>
      <c r="G878" s="17">
        <f>F878+6*7</f>
        <v>45870</v>
      </c>
      <c r="H878" s="14">
        <f>G878-F878</f>
        <v>42</v>
      </c>
      <c r="I878" s="14">
        <f>ROUND(D878/E878,3)</f>
        <v>5.7000000000000002E-2</v>
      </c>
      <c r="J878" s="14">
        <f>I878*24</f>
        <v>1.3680000000000001</v>
      </c>
      <c r="K878" s="14">
        <f>VLOOKUP($C878,Rotation!$A$2:$J$10,2,FALSE)</f>
        <v>0</v>
      </c>
      <c r="L878" s="14">
        <f>VLOOKUP($C878,Rotation!$A$2:$J$10,3,FALSE)</f>
        <v>0</v>
      </c>
      <c r="M878" s="14">
        <f>VLOOKUP($C878,Rotation!$A$2:$J$10,4,FALSE)</f>
        <v>1</v>
      </c>
      <c r="N878" s="14">
        <f>VLOOKUP($C878,Rotation!$A$2:$J$10,5,FALSE)</f>
        <v>1</v>
      </c>
      <c r="O878" s="14">
        <f>VLOOKUP($C878,Rotation!$A$2:$J$10,6,FALSE)</f>
        <v>0</v>
      </c>
      <c r="P878" s="14">
        <f>VLOOKUP($C878,Rotation!$A$2:$J$10,7,FALSE)</f>
        <v>0</v>
      </c>
      <c r="Q878" s="14">
        <f>VLOOKUP($C878,Rotation!$A$2:$J$10,8,FALSE)</f>
        <v>0</v>
      </c>
      <c r="R878" s="14">
        <f>VLOOKUP($C878,Rotation!$A$2:$J$10,9,FALSE)</f>
        <v>0</v>
      </c>
      <c r="S878" s="14">
        <f>VLOOKUP($C878,Rotation!$A$2:$J$10,10,FALSE)</f>
        <v>0</v>
      </c>
    </row>
    <row r="879" spans="1:19" ht="18">
      <c r="A879" s="14">
        <v>877</v>
      </c>
      <c r="B879" s="14" t="s">
        <v>97</v>
      </c>
      <c r="C879" s="14" t="str">
        <f>VLOOKUP(B879,Family!B:C,2,FALSE)</f>
        <v>F</v>
      </c>
      <c r="D879" s="15">
        <v>193</v>
      </c>
      <c r="E879" s="14">
        <f>ROUND(VLOOKUP(C879,'Production Plan'!A:B,2,FALSE),2)</f>
        <v>394.98</v>
      </c>
      <c r="F879" s="16">
        <v>45835</v>
      </c>
      <c r="G879" s="17">
        <f>F879+6*7</f>
        <v>45877</v>
      </c>
      <c r="H879" s="14">
        <f>G879-F879</f>
        <v>42</v>
      </c>
      <c r="I879" s="14">
        <f>ROUND(D879/E879,3)</f>
        <v>0.48899999999999999</v>
      </c>
      <c r="J879" s="14">
        <f>I879*24</f>
        <v>11.736000000000001</v>
      </c>
      <c r="K879" s="14">
        <f>VLOOKUP($C879,Rotation!$A$2:$J$10,2,FALSE)</f>
        <v>1</v>
      </c>
      <c r="L879" s="14">
        <f>VLOOKUP($C879,Rotation!$A$2:$J$10,3,FALSE)</f>
        <v>0</v>
      </c>
      <c r="M879" s="14">
        <f>VLOOKUP($C879,Rotation!$A$2:$J$10,4,FALSE)</f>
        <v>0</v>
      </c>
      <c r="N879" s="14">
        <f>VLOOKUP($C879,Rotation!$A$2:$J$10,5,FALSE)</f>
        <v>1</v>
      </c>
      <c r="O879" s="14">
        <f>VLOOKUP($C879,Rotation!$A$2:$J$10,6,FALSE)</f>
        <v>1</v>
      </c>
      <c r="P879" s="14">
        <f>VLOOKUP($C879,Rotation!$A$2:$J$10,7,FALSE)</f>
        <v>1</v>
      </c>
      <c r="Q879" s="14">
        <f>VLOOKUP($C879,Rotation!$A$2:$J$10,8,FALSE)</f>
        <v>1</v>
      </c>
      <c r="R879" s="14">
        <f>VLOOKUP($C879,Rotation!$A$2:$J$10,9,FALSE)</f>
        <v>1</v>
      </c>
      <c r="S879" s="14">
        <f>VLOOKUP($C879,Rotation!$A$2:$J$10,10,FALSE)</f>
        <v>1</v>
      </c>
    </row>
    <row r="880" spans="1:19" ht="18">
      <c r="A880" s="14">
        <v>878</v>
      </c>
      <c r="B880" s="14" t="s">
        <v>93</v>
      </c>
      <c r="C880" s="14" t="str">
        <f>VLOOKUP(B880,Family!B:C,2,FALSE)</f>
        <v>F</v>
      </c>
      <c r="D880" s="15">
        <v>504</v>
      </c>
      <c r="E880" s="14">
        <f>ROUND(VLOOKUP(C880,'Production Plan'!A:B,2,FALSE),2)</f>
        <v>394.98</v>
      </c>
      <c r="F880" s="16">
        <v>45859</v>
      </c>
      <c r="G880" s="17">
        <f>F880+6*7</f>
        <v>45901</v>
      </c>
      <c r="H880" s="14">
        <f>G880-F880</f>
        <v>42</v>
      </c>
      <c r="I880" s="14">
        <f>ROUND(D880/E880,3)</f>
        <v>1.276</v>
      </c>
      <c r="J880" s="14">
        <f>I880*24</f>
        <v>30.624000000000002</v>
      </c>
      <c r="K880" s="14">
        <f>VLOOKUP($C880,Rotation!$A$2:$J$10,2,FALSE)</f>
        <v>1</v>
      </c>
      <c r="L880" s="14">
        <f>VLOOKUP($C880,Rotation!$A$2:$J$10,3,FALSE)</f>
        <v>0</v>
      </c>
      <c r="M880" s="14">
        <f>VLOOKUP($C880,Rotation!$A$2:$J$10,4,FALSE)</f>
        <v>0</v>
      </c>
      <c r="N880" s="14">
        <f>VLOOKUP($C880,Rotation!$A$2:$J$10,5,FALSE)</f>
        <v>1</v>
      </c>
      <c r="O880" s="14">
        <f>VLOOKUP($C880,Rotation!$A$2:$J$10,6,FALSE)</f>
        <v>1</v>
      </c>
      <c r="P880" s="14">
        <f>VLOOKUP($C880,Rotation!$A$2:$J$10,7,FALSE)</f>
        <v>1</v>
      </c>
      <c r="Q880" s="14">
        <f>VLOOKUP($C880,Rotation!$A$2:$J$10,8,FALSE)</f>
        <v>1</v>
      </c>
      <c r="R880" s="14">
        <f>VLOOKUP($C880,Rotation!$A$2:$J$10,9,FALSE)</f>
        <v>1</v>
      </c>
      <c r="S880" s="14">
        <f>VLOOKUP($C880,Rotation!$A$2:$J$10,10,FALSE)</f>
        <v>1</v>
      </c>
    </row>
    <row r="881" spans="1:19" ht="18">
      <c r="A881" s="14">
        <v>879</v>
      </c>
      <c r="B881" s="14" t="s">
        <v>93</v>
      </c>
      <c r="C881" s="14" t="str">
        <f>VLOOKUP(B881,Family!B:C,2,FALSE)</f>
        <v>F</v>
      </c>
      <c r="D881" s="15">
        <v>504</v>
      </c>
      <c r="E881" s="14">
        <f>ROUND(VLOOKUP(C881,'Production Plan'!A:B,2,FALSE),2)</f>
        <v>394.98</v>
      </c>
      <c r="F881" s="16">
        <v>45859</v>
      </c>
      <c r="G881" s="17">
        <f>F881+6*7</f>
        <v>45901</v>
      </c>
      <c r="H881" s="14">
        <f>G881-F881</f>
        <v>42</v>
      </c>
      <c r="I881" s="14">
        <f>ROUND(D881/E881,3)</f>
        <v>1.276</v>
      </c>
      <c r="J881" s="14">
        <f>I881*24</f>
        <v>30.624000000000002</v>
      </c>
      <c r="K881" s="14">
        <f>VLOOKUP($C881,Rotation!$A$2:$J$10,2,FALSE)</f>
        <v>1</v>
      </c>
      <c r="L881" s="14">
        <f>VLOOKUP($C881,Rotation!$A$2:$J$10,3,FALSE)</f>
        <v>0</v>
      </c>
      <c r="M881" s="14">
        <f>VLOOKUP($C881,Rotation!$A$2:$J$10,4,FALSE)</f>
        <v>0</v>
      </c>
      <c r="N881" s="14">
        <f>VLOOKUP($C881,Rotation!$A$2:$J$10,5,FALSE)</f>
        <v>1</v>
      </c>
      <c r="O881" s="14">
        <f>VLOOKUP($C881,Rotation!$A$2:$J$10,6,FALSE)</f>
        <v>1</v>
      </c>
      <c r="P881" s="14">
        <f>VLOOKUP($C881,Rotation!$A$2:$J$10,7,FALSE)</f>
        <v>1</v>
      </c>
      <c r="Q881" s="14">
        <f>VLOOKUP($C881,Rotation!$A$2:$J$10,8,FALSE)</f>
        <v>1</v>
      </c>
      <c r="R881" s="14">
        <f>VLOOKUP($C881,Rotation!$A$2:$J$10,9,FALSE)</f>
        <v>1</v>
      </c>
      <c r="S881" s="14">
        <f>VLOOKUP($C881,Rotation!$A$2:$J$10,10,FALSE)</f>
        <v>1</v>
      </c>
    </row>
    <row r="882" spans="1:19" ht="18">
      <c r="A882" s="14">
        <v>880</v>
      </c>
      <c r="B882" s="14" t="s">
        <v>93</v>
      </c>
      <c r="C882" s="14" t="str">
        <f>VLOOKUP(B882,Family!B:C,2,FALSE)</f>
        <v>F</v>
      </c>
      <c r="D882" s="15">
        <v>504</v>
      </c>
      <c r="E882" s="14">
        <f>ROUND(VLOOKUP(C882,'Production Plan'!A:B,2,FALSE),2)</f>
        <v>394.98</v>
      </c>
      <c r="F882" s="16">
        <v>45859</v>
      </c>
      <c r="G882" s="17">
        <f>F882+6*7</f>
        <v>45901</v>
      </c>
      <c r="H882" s="14">
        <f>G882-F882</f>
        <v>42</v>
      </c>
      <c r="I882" s="14">
        <f>ROUND(D882/E882,3)</f>
        <v>1.276</v>
      </c>
      <c r="J882" s="14">
        <f>I882*24</f>
        <v>30.624000000000002</v>
      </c>
      <c r="K882" s="14">
        <f>VLOOKUP($C882,Rotation!$A$2:$J$10,2,FALSE)</f>
        <v>1</v>
      </c>
      <c r="L882" s="14">
        <f>VLOOKUP($C882,Rotation!$A$2:$J$10,3,FALSE)</f>
        <v>0</v>
      </c>
      <c r="M882" s="14">
        <f>VLOOKUP($C882,Rotation!$A$2:$J$10,4,FALSE)</f>
        <v>0</v>
      </c>
      <c r="N882" s="14">
        <f>VLOOKUP($C882,Rotation!$A$2:$J$10,5,FALSE)</f>
        <v>1</v>
      </c>
      <c r="O882" s="14">
        <f>VLOOKUP($C882,Rotation!$A$2:$J$10,6,FALSE)</f>
        <v>1</v>
      </c>
      <c r="P882" s="14">
        <f>VLOOKUP($C882,Rotation!$A$2:$J$10,7,FALSE)</f>
        <v>1</v>
      </c>
      <c r="Q882" s="14">
        <f>VLOOKUP($C882,Rotation!$A$2:$J$10,8,FALSE)</f>
        <v>1</v>
      </c>
      <c r="R882" s="14">
        <f>VLOOKUP($C882,Rotation!$A$2:$J$10,9,FALSE)</f>
        <v>1</v>
      </c>
      <c r="S882" s="14">
        <f>VLOOKUP($C882,Rotation!$A$2:$J$10,10,FALSE)</f>
        <v>1</v>
      </c>
    </row>
    <row r="883" spans="1:19" ht="18">
      <c r="A883" s="14">
        <v>881</v>
      </c>
      <c r="B883" s="14" t="s">
        <v>93</v>
      </c>
      <c r="C883" s="14" t="str">
        <f>VLOOKUP(B883,Family!B:C,2,FALSE)</f>
        <v>F</v>
      </c>
      <c r="D883" s="15">
        <v>504</v>
      </c>
      <c r="E883" s="14">
        <f>ROUND(VLOOKUP(C883,'Production Plan'!A:B,2,FALSE),2)</f>
        <v>394.98</v>
      </c>
      <c r="F883" s="16">
        <v>45861</v>
      </c>
      <c r="G883" s="17">
        <f>F883+6*7</f>
        <v>45903</v>
      </c>
      <c r="H883" s="14">
        <f>G883-F883</f>
        <v>42</v>
      </c>
      <c r="I883" s="14">
        <f>ROUND(D883/E883,3)</f>
        <v>1.276</v>
      </c>
      <c r="J883" s="14">
        <f>I883*24</f>
        <v>30.624000000000002</v>
      </c>
      <c r="K883" s="14">
        <f>VLOOKUP($C883,Rotation!$A$2:$J$10,2,FALSE)</f>
        <v>1</v>
      </c>
      <c r="L883" s="14">
        <f>VLOOKUP($C883,Rotation!$A$2:$J$10,3,FALSE)</f>
        <v>0</v>
      </c>
      <c r="M883" s="14">
        <f>VLOOKUP($C883,Rotation!$A$2:$J$10,4,FALSE)</f>
        <v>0</v>
      </c>
      <c r="N883" s="14">
        <f>VLOOKUP($C883,Rotation!$A$2:$J$10,5,FALSE)</f>
        <v>1</v>
      </c>
      <c r="O883" s="14">
        <f>VLOOKUP($C883,Rotation!$A$2:$J$10,6,FALSE)</f>
        <v>1</v>
      </c>
      <c r="P883" s="14">
        <f>VLOOKUP($C883,Rotation!$A$2:$J$10,7,FALSE)</f>
        <v>1</v>
      </c>
      <c r="Q883" s="14">
        <f>VLOOKUP($C883,Rotation!$A$2:$J$10,8,FALSE)</f>
        <v>1</v>
      </c>
      <c r="R883" s="14">
        <f>VLOOKUP($C883,Rotation!$A$2:$J$10,9,FALSE)</f>
        <v>1</v>
      </c>
      <c r="S883" s="14">
        <f>VLOOKUP($C883,Rotation!$A$2:$J$10,10,FALSE)</f>
        <v>1</v>
      </c>
    </row>
    <row r="884" spans="1:19" ht="18">
      <c r="A884" s="14">
        <v>882</v>
      </c>
      <c r="B884" s="14" t="s">
        <v>77</v>
      </c>
      <c r="C884" s="14" t="str">
        <f>VLOOKUP(B884,Family!B:C,2,FALSE)</f>
        <v>E</v>
      </c>
      <c r="D884" s="15">
        <v>18</v>
      </c>
      <c r="E884" s="14">
        <f>ROUND(VLOOKUP(C884,'Production Plan'!A:B,2,FALSE),2)</f>
        <v>333.66</v>
      </c>
      <c r="F884" s="16">
        <v>45863</v>
      </c>
      <c r="G884" s="17">
        <f>F884+6*7</f>
        <v>45905</v>
      </c>
      <c r="H884" s="14">
        <f>G884-F884</f>
        <v>42</v>
      </c>
      <c r="I884" s="14">
        <f>ROUND(D884/E884,3)</f>
        <v>5.3999999999999999E-2</v>
      </c>
      <c r="J884" s="14">
        <f>I884*24</f>
        <v>1.296</v>
      </c>
      <c r="K884" s="14">
        <f>VLOOKUP($C884,Rotation!$A$2:$J$10,2,FALSE)</f>
        <v>1</v>
      </c>
      <c r="L884" s="14">
        <f>VLOOKUP($C884,Rotation!$A$2:$J$10,3,FALSE)</f>
        <v>0</v>
      </c>
      <c r="M884" s="14">
        <f>VLOOKUP($C884,Rotation!$A$2:$J$10,4,FALSE)</f>
        <v>0</v>
      </c>
      <c r="N884" s="14">
        <f>VLOOKUP($C884,Rotation!$A$2:$J$10,5,FALSE)</f>
        <v>0</v>
      </c>
      <c r="O884" s="14">
        <f>VLOOKUP($C884,Rotation!$A$2:$J$10,6,FALSE)</f>
        <v>0</v>
      </c>
      <c r="P884" s="14">
        <f>VLOOKUP($C884,Rotation!$A$2:$J$10,7,FALSE)</f>
        <v>1</v>
      </c>
      <c r="Q884" s="14">
        <f>VLOOKUP($C884,Rotation!$A$2:$J$10,8,FALSE)</f>
        <v>0</v>
      </c>
      <c r="R884" s="14">
        <f>VLOOKUP($C884,Rotation!$A$2:$J$10,9,FALSE)</f>
        <v>0</v>
      </c>
      <c r="S884" s="14">
        <f>VLOOKUP($C884,Rotation!$A$2:$J$10,10,FALSE)</f>
        <v>0</v>
      </c>
    </row>
    <row r="885" spans="1:19" ht="18">
      <c r="A885" s="14">
        <v>883</v>
      </c>
      <c r="B885" s="14" t="s">
        <v>113</v>
      </c>
      <c r="C885" s="14" t="str">
        <f>VLOOKUP(B885,Family!B:C,2,FALSE)</f>
        <v>P</v>
      </c>
      <c r="D885" s="15">
        <v>195</v>
      </c>
      <c r="E885" s="14">
        <f>ROUND(VLOOKUP(C885,'Production Plan'!A:B,2,FALSE),2)</f>
        <v>409.15</v>
      </c>
      <c r="F885" s="16">
        <v>45862</v>
      </c>
      <c r="G885" s="17">
        <f>F885+6*7</f>
        <v>45904</v>
      </c>
      <c r="H885" s="14">
        <f>G885-F885</f>
        <v>42</v>
      </c>
      <c r="I885" s="14">
        <f>ROUND(D885/E885,3)</f>
        <v>0.47699999999999998</v>
      </c>
      <c r="J885" s="14">
        <f>I885*24</f>
        <v>11.448</v>
      </c>
      <c r="K885" s="14">
        <f>VLOOKUP($C885,Rotation!$A$2:$J$10,2,FALSE)</f>
        <v>1</v>
      </c>
      <c r="L885" s="14">
        <f>VLOOKUP($C885,Rotation!$A$2:$J$10,3,FALSE)</f>
        <v>1</v>
      </c>
      <c r="M885" s="14">
        <f>VLOOKUP($C885,Rotation!$A$2:$J$10,4,FALSE)</f>
        <v>0</v>
      </c>
      <c r="N885" s="14">
        <f>VLOOKUP($C885,Rotation!$A$2:$J$10,5,FALSE)</f>
        <v>0</v>
      </c>
      <c r="O885" s="14">
        <f>VLOOKUP($C885,Rotation!$A$2:$J$10,6,FALSE)</f>
        <v>0</v>
      </c>
      <c r="P885" s="14">
        <f>VLOOKUP($C885,Rotation!$A$2:$J$10,7,FALSE)</f>
        <v>0</v>
      </c>
      <c r="Q885" s="14">
        <f>VLOOKUP($C885,Rotation!$A$2:$J$10,8,FALSE)</f>
        <v>0</v>
      </c>
      <c r="R885" s="14">
        <f>VLOOKUP($C885,Rotation!$A$2:$J$10,9,FALSE)</f>
        <v>0</v>
      </c>
      <c r="S885" s="14">
        <f>VLOOKUP($C885,Rotation!$A$2:$J$10,10,FALSE)</f>
        <v>0</v>
      </c>
    </row>
    <row r="886" spans="1:19" ht="18">
      <c r="A886" s="14">
        <v>884</v>
      </c>
      <c r="B886" s="14" t="s">
        <v>113</v>
      </c>
      <c r="C886" s="14" t="str">
        <f>VLOOKUP(B886,Family!B:C,2,FALSE)</f>
        <v>P</v>
      </c>
      <c r="D886" s="15">
        <v>195</v>
      </c>
      <c r="E886" s="14">
        <f>ROUND(VLOOKUP(C886,'Production Plan'!A:B,2,FALSE),2)</f>
        <v>409.15</v>
      </c>
      <c r="F886" s="16">
        <v>45862</v>
      </c>
      <c r="G886" s="17">
        <f>F886+6*7</f>
        <v>45904</v>
      </c>
      <c r="H886" s="14">
        <f>G886-F886</f>
        <v>42</v>
      </c>
      <c r="I886" s="14">
        <f>ROUND(D886/E886,3)</f>
        <v>0.47699999999999998</v>
      </c>
      <c r="J886" s="14">
        <f>I886*24</f>
        <v>11.448</v>
      </c>
      <c r="K886" s="14">
        <f>VLOOKUP($C886,Rotation!$A$2:$J$10,2,FALSE)</f>
        <v>1</v>
      </c>
      <c r="L886" s="14">
        <f>VLOOKUP($C886,Rotation!$A$2:$J$10,3,FALSE)</f>
        <v>1</v>
      </c>
      <c r="M886" s="14">
        <f>VLOOKUP($C886,Rotation!$A$2:$J$10,4,FALSE)</f>
        <v>0</v>
      </c>
      <c r="N886" s="14">
        <f>VLOOKUP($C886,Rotation!$A$2:$J$10,5,FALSE)</f>
        <v>0</v>
      </c>
      <c r="O886" s="14">
        <f>VLOOKUP($C886,Rotation!$A$2:$J$10,6,FALSE)</f>
        <v>0</v>
      </c>
      <c r="P886" s="14">
        <f>VLOOKUP($C886,Rotation!$A$2:$J$10,7,FALSE)</f>
        <v>0</v>
      </c>
      <c r="Q886" s="14">
        <f>VLOOKUP($C886,Rotation!$A$2:$J$10,8,FALSE)</f>
        <v>0</v>
      </c>
      <c r="R886" s="14">
        <f>VLOOKUP($C886,Rotation!$A$2:$J$10,9,FALSE)</f>
        <v>0</v>
      </c>
      <c r="S886" s="14">
        <f>VLOOKUP($C886,Rotation!$A$2:$J$10,10,FALSE)</f>
        <v>0</v>
      </c>
    </row>
    <row r="887" spans="1:19" ht="18">
      <c r="A887" s="14">
        <v>885</v>
      </c>
      <c r="B887" s="14" t="s">
        <v>80</v>
      </c>
      <c r="C887" s="14" t="str">
        <f>VLOOKUP(B887,Family!B:C,2,FALSE)</f>
        <v>C</v>
      </c>
      <c r="D887" s="15">
        <v>19</v>
      </c>
      <c r="E887" s="14">
        <f>ROUND(VLOOKUP(C887,'Production Plan'!A:B,2,FALSE),2)</f>
        <v>411.11</v>
      </c>
      <c r="F887" s="16">
        <v>45862</v>
      </c>
      <c r="G887" s="17">
        <f>F887+6*7</f>
        <v>45904</v>
      </c>
      <c r="H887" s="14">
        <f>G887-F887</f>
        <v>42</v>
      </c>
      <c r="I887" s="14">
        <f>ROUND(D887/E887,3)</f>
        <v>4.5999999999999999E-2</v>
      </c>
      <c r="J887" s="14">
        <f>I887*24</f>
        <v>1.1040000000000001</v>
      </c>
      <c r="K887" s="14">
        <f>VLOOKUP($C887,Rotation!$A$2:$J$10,2,FALSE)</f>
        <v>1</v>
      </c>
      <c r="L887" s="14">
        <f>VLOOKUP($C887,Rotation!$A$2:$J$10,3,FALSE)</f>
        <v>0</v>
      </c>
      <c r="M887" s="14">
        <f>VLOOKUP($C887,Rotation!$A$2:$J$10,4,FALSE)</f>
        <v>0</v>
      </c>
      <c r="N887" s="14">
        <f>VLOOKUP($C887,Rotation!$A$2:$J$10,5,FALSE)</f>
        <v>0</v>
      </c>
      <c r="O887" s="14">
        <f>VLOOKUP($C887,Rotation!$A$2:$J$10,6,FALSE)</f>
        <v>1</v>
      </c>
      <c r="P887" s="14">
        <f>VLOOKUP($C887,Rotation!$A$2:$J$10,7,FALSE)</f>
        <v>0</v>
      </c>
      <c r="Q887" s="14">
        <f>VLOOKUP($C887,Rotation!$A$2:$J$10,8,FALSE)</f>
        <v>0</v>
      </c>
      <c r="R887" s="14">
        <f>VLOOKUP($C887,Rotation!$A$2:$J$10,9,FALSE)</f>
        <v>0</v>
      </c>
      <c r="S887" s="14">
        <f>VLOOKUP($C887,Rotation!$A$2:$J$10,10,FALSE)</f>
        <v>0</v>
      </c>
    </row>
    <row r="888" spans="1:19" ht="18">
      <c r="A888" s="14">
        <v>886</v>
      </c>
      <c r="B888" s="14" t="s">
        <v>69</v>
      </c>
      <c r="C888" s="14" t="str">
        <f>VLOOKUP(B888,Family!B:C,2,FALSE)</f>
        <v>A</v>
      </c>
      <c r="D888" s="15">
        <v>19</v>
      </c>
      <c r="E888" s="14">
        <f>ROUND(VLOOKUP(C888,'Production Plan'!A:B,2,FALSE),2)</f>
        <v>407.17</v>
      </c>
      <c r="F888" s="16">
        <v>45751</v>
      </c>
      <c r="G888" s="17">
        <f>F888+6*7</f>
        <v>45793</v>
      </c>
      <c r="H888" s="14">
        <f>G888-F888</f>
        <v>42</v>
      </c>
      <c r="I888" s="14">
        <f>ROUND(D888/E888,3)</f>
        <v>4.7E-2</v>
      </c>
      <c r="J888" s="14">
        <f>I888*24</f>
        <v>1.1280000000000001</v>
      </c>
      <c r="K888" s="14">
        <f>VLOOKUP($C888,Rotation!$A$2:$J$10,2,FALSE)</f>
        <v>1</v>
      </c>
      <c r="L888" s="14">
        <f>VLOOKUP($C888,Rotation!$A$2:$J$10,3,FALSE)</f>
        <v>1</v>
      </c>
      <c r="M888" s="14">
        <f>VLOOKUP($C888,Rotation!$A$2:$J$10,4,FALSE)</f>
        <v>1</v>
      </c>
      <c r="N888" s="14">
        <f>VLOOKUP($C888,Rotation!$A$2:$J$10,5,FALSE)</f>
        <v>0</v>
      </c>
      <c r="O888" s="14">
        <f>VLOOKUP($C888,Rotation!$A$2:$J$10,6,FALSE)</f>
        <v>0</v>
      </c>
      <c r="P888" s="14">
        <f>VLOOKUP($C888,Rotation!$A$2:$J$10,7,FALSE)</f>
        <v>0</v>
      </c>
      <c r="Q888" s="14">
        <f>VLOOKUP($C888,Rotation!$A$2:$J$10,8,FALSE)</f>
        <v>0</v>
      </c>
      <c r="R888" s="14">
        <f>VLOOKUP($C888,Rotation!$A$2:$J$10,9,FALSE)</f>
        <v>0</v>
      </c>
      <c r="S888" s="14">
        <f>VLOOKUP($C888,Rotation!$A$2:$J$10,10,FALSE)</f>
        <v>0</v>
      </c>
    </row>
    <row r="889" spans="1:19" ht="18">
      <c r="A889" s="14">
        <v>887</v>
      </c>
      <c r="B889" s="14" t="s">
        <v>99</v>
      </c>
      <c r="C889" s="14" t="str">
        <f>VLOOKUP(B889,Family!B:C,2,FALSE)</f>
        <v>N</v>
      </c>
      <c r="D889" s="15">
        <v>238</v>
      </c>
      <c r="E889" s="14">
        <f>ROUND(VLOOKUP(C889,'Production Plan'!A:B,2,FALSE),2)</f>
        <v>334.18</v>
      </c>
      <c r="F889" s="16">
        <v>45854</v>
      </c>
      <c r="G889" s="17">
        <f>F889+6*7</f>
        <v>45896</v>
      </c>
      <c r="H889" s="14">
        <f>G889-F889</f>
        <v>42</v>
      </c>
      <c r="I889" s="14">
        <f>ROUND(D889/E889,3)</f>
        <v>0.71199999999999997</v>
      </c>
      <c r="J889" s="14">
        <f>I889*24</f>
        <v>17.088000000000001</v>
      </c>
      <c r="K889" s="14">
        <f>VLOOKUP($C889,Rotation!$A$2:$J$10,2,FALSE)</f>
        <v>1</v>
      </c>
      <c r="L889" s="14">
        <f>VLOOKUP($C889,Rotation!$A$2:$J$10,3,FALSE)</f>
        <v>0</v>
      </c>
      <c r="M889" s="14">
        <f>VLOOKUP($C889,Rotation!$A$2:$J$10,4,FALSE)</f>
        <v>0</v>
      </c>
      <c r="N889" s="14">
        <f>VLOOKUP($C889,Rotation!$A$2:$J$10,5,FALSE)</f>
        <v>0</v>
      </c>
      <c r="O889" s="14">
        <f>VLOOKUP($C889,Rotation!$A$2:$J$10,6,FALSE)</f>
        <v>0</v>
      </c>
      <c r="P889" s="14">
        <f>VLOOKUP($C889,Rotation!$A$2:$J$10,7,FALSE)</f>
        <v>0</v>
      </c>
      <c r="Q889" s="14">
        <f>VLOOKUP($C889,Rotation!$A$2:$J$10,8,FALSE)</f>
        <v>1</v>
      </c>
      <c r="R889" s="14">
        <f>VLOOKUP($C889,Rotation!$A$2:$J$10,9,FALSE)</f>
        <v>0</v>
      </c>
      <c r="S889" s="14">
        <f>VLOOKUP($C889,Rotation!$A$2:$J$10,10,FALSE)</f>
        <v>0</v>
      </c>
    </row>
    <row r="890" spans="1:19" ht="18">
      <c r="A890" s="14">
        <v>888</v>
      </c>
      <c r="B890" s="14" t="s">
        <v>106</v>
      </c>
      <c r="C890" s="14" t="str">
        <f>VLOOKUP(B890,Family!B:C,2,FALSE)</f>
        <v>P</v>
      </c>
      <c r="D890" s="15">
        <v>19</v>
      </c>
      <c r="E890" s="14">
        <f>ROUND(VLOOKUP(C890,'Production Plan'!A:B,2,FALSE),2)</f>
        <v>409.15</v>
      </c>
      <c r="F890" s="16">
        <v>45743</v>
      </c>
      <c r="G890" s="17">
        <f>F890+6*7</f>
        <v>45785</v>
      </c>
      <c r="H890" s="14">
        <f>G890-F890</f>
        <v>42</v>
      </c>
      <c r="I890" s="14">
        <f>ROUND(D890/E890,3)</f>
        <v>4.5999999999999999E-2</v>
      </c>
      <c r="J890" s="14">
        <f>I890*24</f>
        <v>1.1040000000000001</v>
      </c>
      <c r="K890" s="14">
        <f>VLOOKUP($C890,Rotation!$A$2:$J$10,2,FALSE)</f>
        <v>1</v>
      </c>
      <c r="L890" s="14">
        <f>VLOOKUP($C890,Rotation!$A$2:$J$10,3,FALSE)</f>
        <v>1</v>
      </c>
      <c r="M890" s="14">
        <f>VLOOKUP($C890,Rotation!$A$2:$J$10,4,FALSE)</f>
        <v>0</v>
      </c>
      <c r="N890" s="14">
        <f>VLOOKUP($C890,Rotation!$A$2:$J$10,5,FALSE)</f>
        <v>0</v>
      </c>
      <c r="O890" s="14">
        <f>VLOOKUP($C890,Rotation!$A$2:$J$10,6,FALSE)</f>
        <v>0</v>
      </c>
      <c r="P890" s="14">
        <f>VLOOKUP($C890,Rotation!$A$2:$J$10,7,FALSE)</f>
        <v>0</v>
      </c>
      <c r="Q890" s="14">
        <f>VLOOKUP($C890,Rotation!$A$2:$J$10,8,FALSE)</f>
        <v>0</v>
      </c>
      <c r="R890" s="14">
        <f>VLOOKUP($C890,Rotation!$A$2:$J$10,9,FALSE)</f>
        <v>0</v>
      </c>
      <c r="S890" s="14">
        <f>VLOOKUP($C890,Rotation!$A$2:$J$10,10,FALSE)</f>
        <v>0</v>
      </c>
    </row>
    <row r="891" spans="1:19" ht="18">
      <c r="A891" s="14">
        <v>889</v>
      </c>
      <c r="B891" s="14" t="s">
        <v>106</v>
      </c>
      <c r="C891" s="14" t="str">
        <f>VLOOKUP(B891,Family!B:C,2,FALSE)</f>
        <v>P</v>
      </c>
      <c r="D891" s="15">
        <v>19</v>
      </c>
      <c r="E891" s="14">
        <f>ROUND(VLOOKUP(C891,'Production Plan'!A:B,2,FALSE),2)</f>
        <v>409.15</v>
      </c>
      <c r="F891" s="16">
        <v>45743</v>
      </c>
      <c r="G891" s="17">
        <f>F891+6*7</f>
        <v>45785</v>
      </c>
      <c r="H891" s="14">
        <f>G891-F891</f>
        <v>42</v>
      </c>
      <c r="I891" s="14">
        <f>ROUND(D891/E891,3)</f>
        <v>4.5999999999999999E-2</v>
      </c>
      <c r="J891" s="14">
        <f>I891*24</f>
        <v>1.1040000000000001</v>
      </c>
      <c r="K891" s="14">
        <f>VLOOKUP($C891,Rotation!$A$2:$J$10,2,FALSE)</f>
        <v>1</v>
      </c>
      <c r="L891" s="14">
        <f>VLOOKUP($C891,Rotation!$A$2:$J$10,3,FALSE)</f>
        <v>1</v>
      </c>
      <c r="M891" s="14">
        <f>VLOOKUP($C891,Rotation!$A$2:$J$10,4,FALSE)</f>
        <v>0</v>
      </c>
      <c r="N891" s="14">
        <f>VLOOKUP($C891,Rotation!$A$2:$J$10,5,FALSE)</f>
        <v>0</v>
      </c>
      <c r="O891" s="14">
        <f>VLOOKUP($C891,Rotation!$A$2:$J$10,6,FALSE)</f>
        <v>0</v>
      </c>
      <c r="P891" s="14">
        <f>VLOOKUP($C891,Rotation!$A$2:$J$10,7,FALSE)</f>
        <v>0</v>
      </c>
      <c r="Q891" s="14">
        <f>VLOOKUP($C891,Rotation!$A$2:$J$10,8,FALSE)</f>
        <v>0</v>
      </c>
      <c r="R891" s="14">
        <f>VLOOKUP($C891,Rotation!$A$2:$J$10,9,FALSE)</f>
        <v>0</v>
      </c>
      <c r="S891" s="14">
        <f>VLOOKUP($C891,Rotation!$A$2:$J$10,10,FALSE)</f>
        <v>0</v>
      </c>
    </row>
    <row r="892" spans="1:19" ht="18">
      <c r="A892" s="14">
        <v>890</v>
      </c>
      <c r="B892" s="14" t="s">
        <v>111</v>
      </c>
      <c r="C892" s="14" t="str">
        <f>VLOOKUP(B892,Family!B:C,2,FALSE)</f>
        <v>N</v>
      </c>
      <c r="D892" s="15">
        <v>45</v>
      </c>
      <c r="E892" s="14">
        <f>ROUND(VLOOKUP(C892,'Production Plan'!A:B,2,FALSE),2)</f>
        <v>334.18</v>
      </c>
      <c r="F892" s="16">
        <v>45821</v>
      </c>
      <c r="G892" s="17">
        <f>F892+6*7</f>
        <v>45863</v>
      </c>
      <c r="H892" s="14">
        <f>G892-F892</f>
        <v>42</v>
      </c>
      <c r="I892" s="14">
        <f>ROUND(D892/E892,3)</f>
        <v>0.13500000000000001</v>
      </c>
      <c r="J892" s="14">
        <f>I892*24</f>
        <v>3.24</v>
      </c>
      <c r="K892" s="14">
        <f>VLOOKUP($C892,Rotation!$A$2:$J$10,2,FALSE)</f>
        <v>1</v>
      </c>
      <c r="L892" s="14">
        <f>VLOOKUP($C892,Rotation!$A$2:$J$10,3,FALSE)</f>
        <v>0</v>
      </c>
      <c r="M892" s="14">
        <f>VLOOKUP($C892,Rotation!$A$2:$J$10,4,FALSE)</f>
        <v>0</v>
      </c>
      <c r="N892" s="14">
        <f>VLOOKUP($C892,Rotation!$A$2:$J$10,5,FALSE)</f>
        <v>0</v>
      </c>
      <c r="O892" s="14">
        <f>VLOOKUP($C892,Rotation!$A$2:$J$10,6,FALSE)</f>
        <v>0</v>
      </c>
      <c r="P892" s="14">
        <f>VLOOKUP($C892,Rotation!$A$2:$J$10,7,FALSE)</f>
        <v>0</v>
      </c>
      <c r="Q892" s="14">
        <f>VLOOKUP($C892,Rotation!$A$2:$J$10,8,FALSE)</f>
        <v>1</v>
      </c>
      <c r="R892" s="14">
        <f>VLOOKUP($C892,Rotation!$A$2:$J$10,9,FALSE)</f>
        <v>0</v>
      </c>
      <c r="S892" s="14">
        <f>VLOOKUP($C892,Rotation!$A$2:$J$10,10,FALSE)</f>
        <v>0</v>
      </c>
    </row>
    <row r="893" spans="1:19" ht="18">
      <c r="A893" s="14">
        <v>891</v>
      </c>
      <c r="B893" s="14" t="s">
        <v>69</v>
      </c>
      <c r="C893" s="14" t="str">
        <f>VLOOKUP(B893,Family!B:C,2,FALSE)</f>
        <v>A</v>
      </c>
      <c r="D893" s="15">
        <v>19</v>
      </c>
      <c r="E893" s="14">
        <f>ROUND(VLOOKUP(C893,'Production Plan'!A:B,2,FALSE),2)</f>
        <v>407.17</v>
      </c>
      <c r="F893" s="16">
        <v>45751</v>
      </c>
      <c r="G893" s="17">
        <f>F893+6*7</f>
        <v>45793</v>
      </c>
      <c r="H893" s="14">
        <f>G893-F893</f>
        <v>42</v>
      </c>
      <c r="I893" s="14">
        <f>ROUND(D893/E893,3)</f>
        <v>4.7E-2</v>
      </c>
      <c r="J893" s="14">
        <f>I893*24</f>
        <v>1.1280000000000001</v>
      </c>
      <c r="K893" s="14">
        <f>VLOOKUP($C893,Rotation!$A$2:$J$10,2,FALSE)</f>
        <v>1</v>
      </c>
      <c r="L893" s="14">
        <f>VLOOKUP($C893,Rotation!$A$2:$J$10,3,FALSE)</f>
        <v>1</v>
      </c>
      <c r="M893" s="14">
        <f>VLOOKUP($C893,Rotation!$A$2:$J$10,4,FALSE)</f>
        <v>1</v>
      </c>
      <c r="N893" s="14">
        <f>VLOOKUP($C893,Rotation!$A$2:$J$10,5,FALSE)</f>
        <v>0</v>
      </c>
      <c r="O893" s="14">
        <f>VLOOKUP($C893,Rotation!$A$2:$J$10,6,FALSE)</f>
        <v>0</v>
      </c>
      <c r="P893" s="14">
        <f>VLOOKUP($C893,Rotation!$A$2:$J$10,7,FALSE)</f>
        <v>0</v>
      </c>
      <c r="Q893" s="14">
        <f>VLOOKUP($C893,Rotation!$A$2:$J$10,8,FALSE)</f>
        <v>0</v>
      </c>
      <c r="R893" s="14">
        <f>VLOOKUP($C893,Rotation!$A$2:$J$10,9,FALSE)</f>
        <v>0</v>
      </c>
      <c r="S893" s="14">
        <f>VLOOKUP($C893,Rotation!$A$2:$J$10,10,FALSE)</f>
        <v>0</v>
      </c>
    </row>
    <row r="894" spans="1:19" ht="18">
      <c r="A894" s="14">
        <v>892</v>
      </c>
      <c r="B894" s="14" t="s">
        <v>69</v>
      </c>
      <c r="C894" s="14" t="str">
        <f>VLOOKUP(B894,Family!B:C,2,FALSE)</f>
        <v>A</v>
      </c>
      <c r="D894" s="15">
        <v>19</v>
      </c>
      <c r="E894" s="14">
        <f>ROUND(VLOOKUP(C894,'Production Plan'!A:B,2,FALSE),2)</f>
        <v>407.17</v>
      </c>
      <c r="F894" s="16">
        <v>45751</v>
      </c>
      <c r="G894" s="17">
        <f>F894+6*7</f>
        <v>45793</v>
      </c>
      <c r="H894" s="14">
        <f>G894-F894</f>
        <v>42</v>
      </c>
      <c r="I894" s="14">
        <f>ROUND(D894/E894,3)</f>
        <v>4.7E-2</v>
      </c>
      <c r="J894" s="14">
        <f>I894*24</f>
        <v>1.1280000000000001</v>
      </c>
      <c r="K894" s="14">
        <f>VLOOKUP($C894,Rotation!$A$2:$J$10,2,FALSE)</f>
        <v>1</v>
      </c>
      <c r="L894" s="14">
        <f>VLOOKUP($C894,Rotation!$A$2:$J$10,3,FALSE)</f>
        <v>1</v>
      </c>
      <c r="M894" s="14">
        <f>VLOOKUP($C894,Rotation!$A$2:$J$10,4,FALSE)</f>
        <v>1</v>
      </c>
      <c r="N894" s="14">
        <f>VLOOKUP($C894,Rotation!$A$2:$J$10,5,FALSE)</f>
        <v>0</v>
      </c>
      <c r="O894" s="14">
        <f>VLOOKUP($C894,Rotation!$A$2:$J$10,6,FALSE)</f>
        <v>0</v>
      </c>
      <c r="P894" s="14">
        <f>VLOOKUP($C894,Rotation!$A$2:$J$10,7,FALSE)</f>
        <v>0</v>
      </c>
      <c r="Q894" s="14">
        <f>VLOOKUP($C894,Rotation!$A$2:$J$10,8,FALSE)</f>
        <v>0</v>
      </c>
      <c r="R894" s="14">
        <f>VLOOKUP($C894,Rotation!$A$2:$J$10,9,FALSE)</f>
        <v>0</v>
      </c>
      <c r="S894" s="14">
        <f>VLOOKUP($C894,Rotation!$A$2:$J$10,10,FALSE)</f>
        <v>0</v>
      </c>
    </row>
    <row r="895" spans="1:19" ht="18">
      <c r="A895" s="14">
        <v>893</v>
      </c>
      <c r="B895" s="14" t="s">
        <v>99</v>
      </c>
      <c r="C895" s="14" t="str">
        <f>VLOOKUP(B895,Family!B:C,2,FALSE)</f>
        <v>N</v>
      </c>
      <c r="D895" s="15">
        <v>238</v>
      </c>
      <c r="E895" s="14">
        <f>ROUND(VLOOKUP(C895,'Production Plan'!A:B,2,FALSE),2)</f>
        <v>334.18</v>
      </c>
      <c r="F895" s="16">
        <v>45854</v>
      </c>
      <c r="G895" s="17">
        <f>F895+6*7</f>
        <v>45896</v>
      </c>
      <c r="H895" s="14">
        <f>G895-F895</f>
        <v>42</v>
      </c>
      <c r="I895" s="14">
        <f>ROUND(D895/E895,3)</f>
        <v>0.71199999999999997</v>
      </c>
      <c r="J895" s="14">
        <f>I895*24</f>
        <v>17.088000000000001</v>
      </c>
      <c r="K895" s="14">
        <f>VLOOKUP($C895,Rotation!$A$2:$J$10,2,FALSE)</f>
        <v>1</v>
      </c>
      <c r="L895" s="14">
        <f>VLOOKUP($C895,Rotation!$A$2:$J$10,3,FALSE)</f>
        <v>0</v>
      </c>
      <c r="M895" s="14">
        <f>VLOOKUP($C895,Rotation!$A$2:$J$10,4,FALSE)</f>
        <v>0</v>
      </c>
      <c r="N895" s="14">
        <f>VLOOKUP($C895,Rotation!$A$2:$J$10,5,FALSE)</f>
        <v>0</v>
      </c>
      <c r="O895" s="14">
        <f>VLOOKUP($C895,Rotation!$A$2:$J$10,6,FALSE)</f>
        <v>0</v>
      </c>
      <c r="P895" s="14">
        <f>VLOOKUP($C895,Rotation!$A$2:$J$10,7,FALSE)</f>
        <v>0</v>
      </c>
      <c r="Q895" s="14">
        <f>VLOOKUP($C895,Rotation!$A$2:$J$10,8,FALSE)</f>
        <v>1</v>
      </c>
      <c r="R895" s="14">
        <f>VLOOKUP($C895,Rotation!$A$2:$J$10,9,FALSE)</f>
        <v>0</v>
      </c>
      <c r="S895" s="14">
        <f>VLOOKUP($C895,Rotation!$A$2:$J$10,10,FALSE)</f>
        <v>0</v>
      </c>
    </row>
    <row r="896" spans="1:19" ht="18">
      <c r="A896" s="14">
        <v>894</v>
      </c>
      <c r="B896" s="14" t="s">
        <v>77</v>
      </c>
      <c r="C896" s="14" t="str">
        <f>VLOOKUP(B896,Family!B:C,2,FALSE)</f>
        <v>E</v>
      </c>
      <c r="D896" s="15">
        <v>18</v>
      </c>
      <c r="E896" s="14">
        <f>ROUND(VLOOKUP(C896,'Production Plan'!A:B,2,FALSE),2)</f>
        <v>333.66</v>
      </c>
      <c r="F896" s="16">
        <v>45863</v>
      </c>
      <c r="G896" s="17">
        <f>F896+6*7</f>
        <v>45905</v>
      </c>
      <c r="H896" s="14">
        <f>G896-F896</f>
        <v>42</v>
      </c>
      <c r="I896" s="14">
        <f>ROUND(D896/E896,3)</f>
        <v>5.3999999999999999E-2</v>
      </c>
      <c r="J896" s="14">
        <f>I896*24</f>
        <v>1.296</v>
      </c>
      <c r="K896" s="14">
        <f>VLOOKUP($C896,Rotation!$A$2:$J$10,2,FALSE)</f>
        <v>1</v>
      </c>
      <c r="L896" s="14">
        <f>VLOOKUP($C896,Rotation!$A$2:$J$10,3,FALSE)</f>
        <v>0</v>
      </c>
      <c r="M896" s="14">
        <f>VLOOKUP($C896,Rotation!$A$2:$J$10,4,FALSE)</f>
        <v>0</v>
      </c>
      <c r="N896" s="14">
        <f>VLOOKUP($C896,Rotation!$A$2:$J$10,5,FALSE)</f>
        <v>0</v>
      </c>
      <c r="O896" s="14">
        <f>VLOOKUP($C896,Rotation!$A$2:$J$10,6,FALSE)</f>
        <v>0</v>
      </c>
      <c r="P896" s="14">
        <f>VLOOKUP($C896,Rotation!$A$2:$J$10,7,FALSE)</f>
        <v>1</v>
      </c>
      <c r="Q896" s="14">
        <f>VLOOKUP($C896,Rotation!$A$2:$J$10,8,FALSE)</f>
        <v>0</v>
      </c>
      <c r="R896" s="14">
        <f>VLOOKUP($C896,Rotation!$A$2:$J$10,9,FALSE)</f>
        <v>0</v>
      </c>
      <c r="S896" s="14">
        <f>VLOOKUP($C896,Rotation!$A$2:$J$10,10,FALSE)</f>
        <v>0</v>
      </c>
    </row>
    <row r="897" spans="1:19" ht="18">
      <c r="A897" s="14">
        <v>895</v>
      </c>
      <c r="B897" s="14" t="s">
        <v>71</v>
      </c>
      <c r="C897" s="14" t="str">
        <f>VLOOKUP(B897,Family!B:C,2,FALSE)</f>
        <v>A</v>
      </c>
      <c r="D897" s="15">
        <v>391</v>
      </c>
      <c r="E897" s="14">
        <f>ROUND(VLOOKUP(C897,'Production Plan'!A:B,2,FALSE),2)</f>
        <v>407.17</v>
      </c>
      <c r="F897" s="16">
        <v>45862</v>
      </c>
      <c r="G897" s="17">
        <f>F897+6*7</f>
        <v>45904</v>
      </c>
      <c r="H897" s="14">
        <f>G897-F897</f>
        <v>42</v>
      </c>
      <c r="I897" s="14">
        <f>ROUND(D897/E897,3)</f>
        <v>0.96</v>
      </c>
      <c r="J897" s="14">
        <f>I897*24</f>
        <v>23.04</v>
      </c>
      <c r="K897" s="14">
        <f>VLOOKUP($C897,Rotation!$A$2:$J$10,2,FALSE)</f>
        <v>1</v>
      </c>
      <c r="L897" s="14">
        <f>VLOOKUP($C897,Rotation!$A$2:$J$10,3,FALSE)</f>
        <v>1</v>
      </c>
      <c r="M897" s="14">
        <f>VLOOKUP($C897,Rotation!$A$2:$J$10,4,FALSE)</f>
        <v>1</v>
      </c>
      <c r="N897" s="14">
        <f>VLOOKUP($C897,Rotation!$A$2:$J$10,5,FALSE)</f>
        <v>0</v>
      </c>
      <c r="O897" s="14">
        <f>VLOOKUP($C897,Rotation!$A$2:$J$10,6,FALSE)</f>
        <v>0</v>
      </c>
      <c r="P897" s="14">
        <f>VLOOKUP($C897,Rotation!$A$2:$J$10,7,FALSE)</f>
        <v>0</v>
      </c>
      <c r="Q897" s="14">
        <f>VLOOKUP($C897,Rotation!$A$2:$J$10,8,FALSE)</f>
        <v>0</v>
      </c>
      <c r="R897" s="14">
        <f>VLOOKUP($C897,Rotation!$A$2:$J$10,9,FALSE)</f>
        <v>0</v>
      </c>
      <c r="S897" s="14">
        <f>VLOOKUP($C897,Rotation!$A$2:$J$10,10,FALSE)</f>
        <v>0</v>
      </c>
    </row>
    <row r="898" spans="1:19" ht="18">
      <c r="A898" s="14">
        <v>896</v>
      </c>
      <c r="B898" s="14" t="s">
        <v>69</v>
      </c>
      <c r="C898" s="14" t="str">
        <f>VLOOKUP(B898,Family!B:C,2,FALSE)</f>
        <v>A</v>
      </c>
      <c r="D898" s="15">
        <v>19</v>
      </c>
      <c r="E898" s="14">
        <f>ROUND(VLOOKUP(C898,'Production Plan'!A:B,2,FALSE),2)</f>
        <v>407.17</v>
      </c>
      <c r="F898" s="16">
        <v>45751</v>
      </c>
      <c r="G898" s="17">
        <f>F898+6*7</f>
        <v>45793</v>
      </c>
      <c r="H898" s="14">
        <f>G898-F898</f>
        <v>42</v>
      </c>
      <c r="I898" s="14">
        <f>ROUND(D898/E898,3)</f>
        <v>4.7E-2</v>
      </c>
      <c r="J898" s="14">
        <f>I898*24</f>
        <v>1.1280000000000001</v>
      </c>
      <c r="K898" s="14">
        <f>VLOOKUP($C898,Rotation!$A$2:$J$10,2,FALSE)</f>
        <v>1</v>
      </c>
      <c r="L898" s="14">
        <f>VLOOKUP($C898,Rotation!$A$2:$J$10,3,FALSE)</f>
        <v>1</v>
      </c>
      <c r="M898" s="14">
        <f>VLOOKUP($C898,Rotation!$A$2:$J$10,4,FALSE)</f>
        <v>1</v>
      </c>
      <c r="N898" s="14">
        <f>VLOOKUP($C898,Rotation!$A$2:$J$10,5,FALSE)</f>
        <v>0</v>
      </c>
      <c r="O898" s="14">
        <f>VLOOKUP($C898,Rotation!$A$2:$J$10,6,FALSE)</f>
        <v>0</v>
      </c>
      <c r="P898" s="14">
        <f>VLOOKUP($C898,Rotation!$A$2:$J$10,7,FALSE)</f>
        <v>0</v>
      </c>
      <c r="Q898" s="14">
        <f>VLOOKUP($C898,Rotation!$A$2:$J$10,8,FALSE)</f>
        <v>0</v>
      </c>
      <c r="R898" s="14">
        <f>VLOOKUP($C898,Rotation!$A$2:$J$10,9,FALSE)</f>
        <v>0</v>
      </c>
      <c r="S898" s="14">
        <f>VLOOKUP($C898,Rotation!$A$2:$J$10,10,FALSE)</f>
        <v>0</v>
      </c>
    </row>
    <row r="899" spans="1:19" ht="18">
      <c r="A899" s="14">
        <v>897</v>
      </c>
      <c r="B899" s="14" t="s">
        <v>69</v>
      </c>
      <c r="C899" s="14" t="str">
        <f>VLOOKUP(B899,Family!B:C,2,FALSE)</f>
        <v>A</v>
      </c>
      <c r="D899" s="15">
        <v>19</v>
      </c>
      <c r="E899" s="14">
        <f>ROUND(VLOOKUP(C899,'Production Plan'!A:B,2,FALSE),2)</f>
        <v>407.17</v>
      </c>
      <c r="F899" s="16">
        <v>45751</v>
      </c>
      <c r="G899" s="17">
        <f>F899+6*7</f>
        <v>45793</v>
      </c>
      <c r="H899" s="14">
        <f>G899-F899</f>
        <v>42</v>
      </c>
      <c r="I899" s="14">
        <f>ROUND(D899/E899,3)</f>
        <v>4.7E-2</v>
      </c>
      <c r="J899" s="14">
        <f>I899*24</f>
        <v>1.1280000000000001</v>
      </c>
      <c r="K899" s="14">
        <f>VLOOKUP($C899,Rotation!$A$2:$J$10,2,FALSE)</f>
        <v>1</v>
      </c>
      <c r="L899" s="14">
        <f>VLOOKUP($C899,Rotation!$A$2:$J$10,3,FALSE)</f>
        <v>1</v>
      </c>
      <c r="M899" s="14">
        <f>VLOOKUP($C899,Rotation!$A$2:$J$10,4,FALSE)</f>
        <v>1</v>
      </c>
      <c r="N899" s="14">
        <f>VLOOKUP($C899,Rotation!$A$2:$J$10,5,FALSE)</f>
        <v>0</v>
      </c>
      <c r="O899" s="14">
        <f>VLOOKUP($C899,Rotation!$A$2:$J$10,6,FALSE)</f>
        <v>0</v>
      </c>
      <c r="P899" s="14">
        <f>VLOOKUP($C899,Rotation!$A$2:$J$10,7,FALSE)</f>
        <v>0</v>
      </c>
      <c r="Q899" s="14">
        <f>VLOOKUP($C899,Rotation!$A$2:$J$10,8,FALSE)</f>
        <v>0</v>
      </c>
      <c r="R899" s="14">
        <f>VLOOKUP($C899,Rotation!$A$2:$J$10,9,FALSE)</f>
        <v>0</v>
      </c>
      <c r="S899" s="14">
        <f>VLOOKUP($C899,Rotation!$A$2:$J$10,10,FALSE)</f>
        <v>0</v>
      </c>
    </row>
    <row r="900" spans="1:19" ht="18">
      <c r="A900" s="14">
        <v>898</v>
      </c>
      <c r="B900" s="14" t="s">
        <v>106</v>
      </c>
      <c r="C900" s="14" t="str">
        <f>VLOOKUP(B900,Family!B:C,2,FALSE)</f>
        <v>P</v>
      </c>
      <c r="D900" s="15">
        <v>19</v>
      </c>
      <c r="E900" s="14">
        <f>ROUND(VLOOKUP(C900,'Production Plan'!A:B,2,FALSE),2)</f>
        <v>409.15</v>
      </c>
      <c r="F900" s="16">
        <v>45743</v>
      </c>
      <c r="G900" s="17">
        <f>F900+6*7</f>
        <v>45785</v>
      </c>
      <c r="H900" s="14">
        <f>G900-F900</f>
        <v>42</v>
      </c>
      <c r="I900" s="14">
        <f>ROUND(D900/E900,3)</f>
        <v>4.5999999999999999E-2</v>
      </c>
      <c r="J900" s="14">
        <f>I900*24</f>
        <v>1.1040000000000001</v>
      </c>
      <c r="K900" s="14">
        <f>VLOOKUP($C900,Rotation!$A$2:$J$10,2,FALSE)</f>
        <v>1</v>
      </c>
      <c r="L900" s="14">
        <f>VLOOKUP($C900,Rotation!$A$2:$J$10,3,FALSE)</f>
        <v>1</v>
      </c>
      <c r="M900" s="14">
        <f>VLOOKUP($C900,Rotation!$A$2:$J$10,4,FALSE)</f>
        <v>0</v>
      </c>
      <c r="N900" s="14">
        <f>VLOOKUP($C900,Rotation!$A$2:$J$10,5,FALSE)</f>
        <v>0</v>
      </c>
      <c r="O900" s="14">
        <f>VLOOKUP($C900,Rotation!$A$2:$J$10,6,FALSE)</f>
        <v>0</v>
      </c>
      <c r="P900" s="14">
        <f>VLOOKUP($C900,Rotation!$A$2:$J$10,7,FALSE)</f>
        <v>0</v>
      </c>
      <c r="Q900" s="14">
        <f>VLOOKUP($C900,Rotation!$A$2:$J$10,8,FALSE)</f>
        <v>0</v>
      </c>
      <c r="R900" s="14">
        <f>VLOOKUP($C900,Rotation!$A$2:$J$10,9,FALSE)</f>
        <v>0</v>
      </c>
      <c r="S900" s="14">
        <f>VLOOKUP($C900,Rotation!$A$2:$J$10,10,FALSE)</f>
        <v>0</v>
      </c>
    </row>
    <row r="901" spans="1:19" ht="18">
      <c r="A901" s="14">
        <v>899</v>
      </c>
      <c r="B901" s="14" t="s">
        <v>106</v>
      </c>
      <c r="C901" s="14" t="str">
        <f>VLOOKUP(B901,Family!B:C,2,FALSE)</f>
        <v>P</v>
      </c>
      <c r="D901" s="15">
        <v>19</v>
      </c>
      <c r="E901" s="14">
        <f>ROUND(VLOOKUP(C901,'Production Plan'!A:B,2,FALSE),2)</f>
        <v>409.15</v>
      </c>
      <c r="F901" s="16">
        <v>45743</v>
      </c>
      <c r="G901" s="17">
        <f>F901+6*7</f>
        <v>45785</v>
      </c>
      <c r="H901" s="14">
        <f>G901-F901</f>
        <v>42</v>
      </c>
      <c r="I901" s="14">
        <f>ROUND(D901/E901,3)</f>
        <v>4.5999999999999999E-2</v>
      </c>
      <c r="J901" s="14">
        <f>I901*24</f>
        <v>1.1040000000000001</v>
      </c>
      <c r="K901" s="14">
        <f>VLOOKUP($C901,Rotation!$A$2:$J$10,2,FALSE)</f>
        <v>1</v>
      </c>
      <c r="L901" s="14">
        <f>VLOOKUP($C901,Rotation!$A$2:$J$10,3,FALSE)</f>
        <v>1</v>
      </c>
      <c r="M901" s="14">
        <f>VLOOKUP($C901,Rotation!$A$2:$J$10,4,FALSE)</f>
        <v>0</v>
      </c>
      <c r="N901" s="14">
        <f>VLOOKUP($C901,Rotation!$A$2:$J$10,5,FALSE)</f>
        <v>0</v>
      </c>
      <c r="O901" s="14">
        <f>VLOOKUP($C901,Rotation!$A$2:$J$10,6,FALSE)</f>
        <v>0</v>
      </c>
      <c r="P901" s="14">
        <f>VLOOKUP($C901,Rotation!$A$2:$J$10,7,FALSE)</f>
        <v>0</v>
      </c>
      <c r="Q901" s="14">
        <f>VLOOKUP($C901,Rotation!$A$2:$J$10,8,FALSE)</f>
        <v>0</v>
      </c>
      <c r="R901" s="14">
        <f>VLOOKUP($C901,Rotation!$A$2:$J$10,9,FALSE)</f>
        <v>0</v>
      </c>
      <c r="S901" s="14">
        <f>VLOOKUP($C901,Rotation!$A$2:$J$10,10,FALSE)</f>
        <v>0</v>
      </c>
    </row>
    <row r="902" spans="1:19" ht="18">
      <c r="A902" s="14">
        <v>900</v>
      </c>
      <c r="B902" s="14" t="s">
        <v>111</v>
      </c>
      <c r="C902" s="14" t="str">
        <f>VLOOKUP(B902,Family!B:C,2,FALSE)</f>
        <v>N</v>
      </c>
      <c r="D902" s="15">
        <v>67</v>
      </c>
      <c r="E902" s="14">
        <f>ROUND(VLOOKUP(C902,'Production Plan'!A:B,2,FALSE),2)</f>
        <v>334.18</v>
      </c>
      <c r="F902" s="16">
        <v>45821</v>
      </c>
      <c r="G902" s="17">
        <f>F902+6*7</f>
        <v>45863</v>
      </c>
      <c r="H902" s="14">
        <f>G902-F902</f>
        <v>42</v>
      </c>
      <c r="I902" s="14">
        <f>ROUND(D902/E902,3)</f>
        <v>0.2</v>
      </c>
      <c r="J902" s="14">
        <f>I902*24</f>
        <v>4.8000000000000007</v>
      </c>
      <c r="K902" s="14">
        <f>VLOOKUP($C902,Rotation!$A$2:$J$10,2,FALSE)</f>
        <v>1</v>
      </c>
      <c r="L902" s="14">
        <f>VLOOKUP($C902,Rotation!$A$2:$J$10,3,FALSE)</f>
        <v>0</v>
      </c>
      <c r="M902" s="14">
        <f>VLOOKUP($C902,Rotation!$A$2:$J$10,4,FALSE)</f>
        <v>0</v>
      </c>
      <c r="N902" s="14">
        <f>VLOOKUP($C902,Rotation!$A$2:$J$10,5,FALSE)</f>
        <v>0</v>
      </c>
      <c r="O902" s="14">
        <f>VLOOKUP($C902,Rotation!$A$2:$J$10,6,FALSE)</f>
        <v>0</v>
      </c>
      <c r="P902" s="14">
        <f>VLOOKUP($C902,Rotation!$A$2:$J$10,7,FALSE)</f>
        <v>0</v>
      </c>
      <c r="Q902" s="14">
        <f>VLOOKUP($C902,Rotation!$A$2:$J$10,8,FALSE)</f>
        <v>1</v>
      </c>
      <c r="R902" s="14">
        <f>VLOOKUP($C902,Rotation!$A$2:$J$10,9,FALSE)</f>
        <v>0</v>
      </c>
      <c r="S902" s="14">
        <f>VLOOKUP($C902,Rotation!$A$2:$J$10,10,FALSE)</f>
        <v>0</v>
      </c>
    </row>
    <row r="903" spans="1:19" ht="18">
      <c r="A903" s="14">
        <v>901</v>
      </c>
      <c r="B903" s="14" t="s">
        <v>69</v>
      </c>
      <c r="C903" s="14" t="str">
        <f>VLOOKUP(B903,Family!B:C,2,FALSE)</f>
        <v>A</v>
      </c>
      <c r="D903" s="15">
        <v>19</v>
      </c>
      <c r="E903" s="14">
        <f>ROUND(VLOOKUP(C903,'Production Plan'!A:B,2,FALSE),2)</f>
        <v>407.17</v>
      </c>
      <c r="F903" s="16">
        <v>45751</v>
      </c>
      <c r="G903" s="17">
        <f>F903+6*7</f>
        <v>45793</v>
      </c>
      <c r="H903" s="14">
        <f>G903-F903</f>
        <v>42</v>
      </c>
      <c r="I903" s="14">
        <f>ROUND(D903/E903,3)</f>
        <v>4.7E-2</v>
      </c>
      <c r="J903" s="14">
        <f>I903*24</f>
        <v>1.1280000000000001</v>
      </c>
      <c r="K903" s="14">
        <f>VLOOKUP($C903,Rotation!$A$2:$J$10,2,FALSE)</f>
        <v>1</v>
      </c>
      <c r="L903" s="14">
        <f>VLOOKUP($C903,Rotation!$A$2:$J$10,3,FALSE)</f>
        <v>1</v>
      </c>
      <c r="M903" s="14">
        <f>VLOOKUP($C903,Rotation!$A$2:$J$10,4,FALSE)</f>
        <v>1</v>
      </c>
      <c r="N903" s="14">
        <f>VLOOKUP($C903,Rotation!$A$2:$J$10,5,FALSE)</f>
        <v>0</v>
      </c>
      <c r="O903" s="14">
        <f>VLOOKUP($C903,Rotation!$A$2:$J$10,6,FALSE)</f>
        <v>0</v>
      </c>
      <c r="P903" s="14">
        <f>VLOOKUP($C903,Rotation!$A$2:$J$10,7,FALSE)</f>
        <v>0</v>
      </c>
      <c r="Q903" s="14">
        <f>VLOOKUP($C903,Rotation!$A$2:$J$10,8,FALSE)</f>
        <v>0</v>
      </c>
      <c r="R903" s="14">
        <f>VLOOKUP($C903,Rotation!$A$2:$J$10,9,FALSE)</f>
        <v>0</v>
      </c>
      <c r="S903" s="14">
        <f>VLOOKUP($C903,Rotation!$A$2:$J$10,10,FALSE)</f>
        <v>0</v>
      </c>
    </row>
    <row r="904" spans="1:19" ht="18">
      <c r="A904" s="14">
        <v>902</v>
      </c>
      <c r="B904" s="14" t="s">
        <v>69</v>
      </c>
      <c r="C904" s="14" t="str">
        <f>VLOOKUP(B904,Family!B:C,2,FALSE)</f>
        <v>A</v>
      </c>
      <c r="D904" s="15">
        <v>19</v>
      </c>
      <c r="E904" s="14">
        <f>ROUND(VLOOKUP(C904,'Production Plan'!A:B,2,FALSE),2)</f>
        <v>407.17</v>
      </c>
      <c r="F904" s="16">
        <v>45751</v>
      </c>
      <c r="G904" s="17">
        <f>F904+6*7</f>
        <v>45793</v>
      </c>
      <c r="H904" s="14">
        <f>G904-F904</f>
        <v>42</v>
      </c>
      <c r="I904" s="14">
        <f>ROUND(D904/E904,3)</f>
        <v>4.7E-2</v>
      </c>
      <c r="J904" s="14">
        <f>I904*24</f>
        <v>1.1280000000000001</v>
      </c>
      <c r="K904" s="14">
        <f>VLOOKUP($C904,Rotation!$A$2:$J$10,2,FALSE)</f>
        <v>1</v>
      </c>
      <c r="L904" s="14">
        <f>VLOOKUP($C904,Rotation!$A$2:$J$10,3,FALSE)</f>
        <v>1</v>
      </c>
      <c r="M904" s="14">
        <f>VLOOKUP($C904,Rotation!$A$2:$J$10,4,FALSE)</f>
        <v>1</v>
      </c>
      <c r="N904" s="14">
        <f>VLOOKUP($C904,Rotation!$A$2:$J$10,5,FALSE)</f>
        <v>0</v>
      </c>
      <c r="O904" s="14">
        <f>VLOOKUP($C904,Rotation!$A$2:$J$10,6,FALSE)</f>
        <v>0</v>
      </c>
      <c r="P904" s="14">
        <f>VLOOKUP($C904,Rotation!$A$2:$J$10,7,FALSE)</f>
        <v>0</v>
      </c>
      <c r="Q904" s="14">
        <f>VLOOKUP($C904,Rotation!$A$2:$J$10,8,FALSE)</f>
        <v>0</v>
      </c>
      <c r="R904" s="14">
        <f>VLOOKUP($C904,Rotation!$A$2:$J$10,9,FALSE)</f>
        <v>0</v>
      </c>
      <c r="S904" s="14">
        <f>VLOOKUP($C904,Rotation!$A$2:$J$10,10,FALSE)</f>
        <v>0</v>
      </c>
    </row>
    <row r="905" spans="1:19" ht="18">
      <c r="A905" s="14">
        <v>903</v>
      </c>
      <c r="B905" s="14" t="s">
        <v>72</v>
      </c>
      <c r="C905" s="14" t="str">
        <f>VLOOKUP(B905,Family!B:C,2,FALSE)</f>
        <v>A</v>
      </c>
      <c r="D905" s="15">
        <v>49</v>
      </c>
      <c r="E905" s="14">
        <f>ROUND(VLOOKUP(C905,'Production Plan'!A:B,2,FALSE),2)</f>
        <v>407.17</v>
      </c>
      <c r="F905" s="16">
        <v>45859</v>
      </c>
      <c r="G905" s="17">
        <f>F905+6*7</f>
        <v>45901</v>
      </c>
      <c r="H905" s="14">
        <f>G905-F905</f>
        <v>42</v>
      </c>
      <c r="I905" s="14">
        <f>ROUND(D905/E905,3)</f>
        <v>0.12</v>
      </c>
      <c r="J905" s="14">
        <f>I905*24</f>
        <v>2.88</v>
      </c>
      <c r="K905" s="14">
        <f>VLOOKUP($C905,Rotation!$A$2:$J$10,2,FALSE)</f>
        <v>1</v>
      </c>
      <c r="L905" s="14">
        <f>VLOOKUP($C905,Rotation!$A$2:$J$10,3,FALSE)</f>
        <v>1</v>
      </c>
      <c r="M905" s="14">
        <f>VLOOKUP($C905,Rotation!$A$2:$J$10,4,FALSE)</f>
        <v>1</v>
      </c>
      <c r="N905" s="14">
        <f>VLOOKUP($C905,Rotation!$A$2:$J$10,5,FALSE)</f>
        <v>0</v>
      </c>
      <c r="O905" s="14">
        <f>VLOOKUP($C905,Rotation!$A$2:$J$10,6,FALSE)</f>
        <v>0</v>
      </c>
      <c r="P905" s="14">
        <f>VLOOKUP($C905,Rotation!$A$2:$J$10,7,FALSE)</f>
        <v>0</v>
      </c>
      <c r="Q905" s="14">
        <f>VLOOKUP($C905,Rotation!$A$2:$J$10,8,FALSE)</f>
        <v>0</v>
      </c>
      <c r="R905" s="14">
        <f>VLOOKUP($C905,Rotation!$A$2:$J$10,9,FALSE)</f>
        <v>0</v>
      </c>
      <c r="S905" s="14">
        <f>VLOOKUP($C905,Rotation!$A$2:$J$10,10,FALSE)</f>
        <v>0</v>
      </c>
    </row>
    <row r="906" spans="1:19" ht="18">
      <c r="A906" s="14">
        <v>904</v>
      </c>
      <c r="B906" s="14" t="s">
        <v>72</v>
      </c>
      <c r="C906" s="14" t="str">
        <f>VLOOKUP(B906,Family!B:C,2,FALSE)</f>
        <v>A</v>
      </c>
      <c r="D906" s="15">
        <v>49</v>
      </c>
      <c r="E906" s="14">
        <f>ROUND(VLOOKUP(C906,'Production Plan'!A:B,2,FALSE),2)</f>
        <v>407.17</v>
      </c>
      <c r="F906" s="16">
        <v>45859</v>
      </c>
      <c r="G906" s="17">
        <f>F906+6*7</f>
        <v>45901</v>
      </c>
      <c r="H906" s="14">
        <f>G906-F906</f>
        <v>42</v>
      </c>
      <c r="I906" s="14">
        <f>ROUND(D906/E906,3)</f>
        <v>0.12</v>
      </c>
      <c r="J906" s="14">
        <f>I906*24</f>
        <v>2.88</v>
      </c>
      <c r="K906" s="14">
        <f>VLOOKUP($C906,Rotation!$A$2:$J$10,2,FALSE)</f>
        <v>1</v>
      </c>
      <c r="L906" s="14">
        <f>VLOOKUP($C906,Rotation!$A$2:$J$10,3,FALSE)</f>
        <v>1</v>
      </c>
      <c r="M906" s="14">
        <f>VLOOKUP($C906,Rotation!$A$2:$J$10,4,FALSE)</f>
        <v>1</v>
      </c>
      <c r="N906" s="14">
        <f>VLOOKUP($C906,Rotation!$A$2:$J$10,5,FALSE)</f>
        <v>0</v>
      </c>
      <c r="O906" s="14">
        <f>VLOOKUP($C906,Rotation!$A$2:$J$10,6,FALSE)</f>
        <v>0</v>
      </c>
      <c r="P906" s="14">
        <f>VLOOKUP($C906,Rotation!$A$2:$J$10,7,FALSE)</f>
        <v>0</v>
      </c>
      <c r="Q906" s="14">
        <f>VLOOKUP($C906,Rotation!$A$2:$J$10,8,FALSE)</f>
        <v>0</v>
      </c>
      <c r="R906" s="14">
        <f>VLOOKUP($C906,Rotation!$A$2:$J$10,9,FALSE)</f>
        <v>0</v>
      </c>
      <c r="S906" s="14">
        <f>VLOOKUP($C906,Rotation!$A$2:$J$10,10,FALSE)</f>
        <v>0</v>
      </c>
    </row>
    <row r="907" spans="1:19" ht="18">
      <c r="A907" s="14">
        <v>905</v>
      </c>
      <c r="B907" s="14" t="s">
        <v>98</v>
      </c>
      <c r="C907" s="14" t="str">
        <f>VLOOKUP(B907,Family!B:C,2,FALSE)</f>
        <v>H</v>
      </c>
      <c r="D907" s="15">
        <v>19</v>
      </c>
      <c r="E907" s="14">
        <f>ROUND(VLOOKUP(C907,'Production Plan'!A:B,2,FALSE),2)</f>
        <v>402.02</v>
      </c>
      <c r="F907" s="16">
        <v>45860</v>
      </c>
      <c r="G907" s="17">
        <f>F907+6*7</f>
        <v>45902</v>
      </c>
      <c r="H907" s="14">
        <f>G907-F907</f>
        <v>42</v>
      </c>
      <c r="I907" s="14">
        <f>ROUND(D907/E907,3)</f>
        <v>4.7E-2</v>
      </c>
      <c r="J907" s="14">
        <f>I907*24</f>
        <v>1.1280000000000001</v>
      </c>
      <c r="K907" s="14">
        <f>VLOOKUP($C907,Rotation!$A$2:$J$10,2,FALSE)</f>
        <v>0</v>
      </c>
      <c r="L907" s="14">
        <f>VLOOKUP($C907,Rotation!$A$2:$J$10,3,FALSE)</f>
        <v>0</v>
      </c>
      <c r="M907" s="14">
        <f>VLOOKUP($C907,Rotation!$A$2:$J$10,4,FALSE)</f>
        <v>1</v>
      </c>
      <c r="N907" s="14">
        <f>VLOOKUP($C907,Rotation!$A$2:$J$10,5,FALSE)</f>
        <v>1</v>
      </c>
      <c r="O907" s="14">
        <f>VLOOKUP($C907,Rotation!$A$2:$J$10,6,FALSE)</f>
        <v>0</v>
      </c>
      <c r="P907" s="14">
        <f>VLOOKUP($C907,Rotation!$A$2:$J$10,7,FALSE)</f>
        <v>0</v>
      </c>
      <c r="Q907" s="14">
        <f>VLOOKUP($C907,Rotation!$A$2:$J$10,8,FALSE)</f>
        <v>0</v>
      </c>
      <c r="R907" s="14">
        <f>VLOOKUP($C907,Rotation!$A$2:$J$10,9,FALSE)</f>
        <v>0</v>
      </c>
      <c r="S907" s="14">
        <f>VLOOKUP($C907,Rotation!$A$2:$J$10,10,FALSE)</f>
        <v>0</v>
      </c>
    </row>
    <row r="908" spans="1:19" ht="18">
      <c r="A908" s="14">
        <v>906</v>
      </c>
      <c r="B908" s="14" t="s">
        <v>113</v>
      </c>
      <c r="C908" s="14" t="str">
        <f>VLOOKUP(B908,Family!B:C,2,FALSE)</f>
        <v>P</v>
      </c>
      <c r="D908" s="15">
        <v>195</v>
      </c>
      <c r="E908" s="14">
        <f>ROUND(VLOOKUP(C908,'Production Plan'!A:B,2,FALSE),2)</f>
        <v>409.15</v>
      </c>
      <c r="F908" s="16">
        <v>45862</v>
      </c>
      <c r="G908" s="17">
        <f>F908+6*7</f>
        <v>45904</v>
      </c>
      <c r="H908" s="14">
        <f>G908-F908</f>
        <v>42</v>
      </c>
      <c r="I908" s="14">
        <f>ROUND(D908/E908,3)</f>
        <v>0.47699999999999998</v>
      </c>
      <c r="J908" s="14">
        <f>I908*24</f>
        <v>11.448</v>
      </c>
      <c r="K908" s="14">
        <f>VLOOKUP($C908,Rotation!$A$2:$J$10,2,FALSE)</f>
        <v>1</v>
      </c>
      <c r="L908" s="14">
        <f>VLOOKUP($C908,Rotation!$A$2:$J$10,3,FALSE)</f>
        <v>1</v>
      </c>
      <c r="M908" s="14">
        <f>VLOOKUP($C908,Rotation!$A$2:$J$10,4,FALSE)</f>
        <v>0</v>
      </c>
      <c r="N908" s="14">
        <f>VLOOKUP($C908,Rotation!$A$2:$J$10,5,FALSE)</f>
        <v>0</v>
      </c>
      <c r="O908" s="14">
        <f>VLOOKUP($C908,Rotation!$A$2:$J$10,6,FALSE)</f>
        <v>0</v>
      </c>
      <c r="P908" s="14">
        <f>VLOOKUP($C908,Rotation!$A$2:$J$10,7,FALSE)</f>
        <v>0</v>
      </c>
      <c r="Q908" s="14">
        <f>VLOOKUP($C908,Rotation!$A$2:$J$10,8,FALSE)</f>
        <v>0</v>
      </c>
      <c r="R908" s="14">
        <f>VLOOKUP($C908,Rotation!$A$2:$J$10,9,FALSE)</f>
        <v>0</v>
      </c>
      <c r="S908" s="14">
        <f>VLOOKUP($C908,Rotation!$A$2:$J$10,10,FALSE)</f>
        <v>0</v>
      </c>
    </row>
    <row r="909" spans="1:19" ht="18">
      <c r="A909" s="14">
        <v>907</v>
      </c>
      <c r="B909" s="14" t="s">
        <v>106</v>
      </c>
      <c r="C909" s="14" t="str">
        <f>VLOOKUP(B909,Family!B:C,2,FALSE)</f>
        <v>P</v>
      </c>
      <c r="D909" s="15">
        <v>19</v>
      </c>
      <c r="E909" s="14">
        <f>ROUND(VLOOKUP(C909,'Production Plan'!A:B,2,FALSE),2)</f>
        <v>409.15</v>
      </c>
      <c r="F909" s="16">
        <v>45743</v>
      </c>
      <c r="G909" s="17">
        <f>F909+6*7</f>
        <v>45785</v>
      </c>
      <c r="H909" s="14">
        <f>G909-F909</f>
        <v>42</v>
      </c>
      <c r="I909" s="14">
        <f>ROUND(D909/E909,3)</f>
        <v>4.5999999999999999E-2</v>
      </c>
      <c r="J909" s="14">
        <f>I909*24</f>
        <v>1.1040000000000001</v>
      </c>
      <c r="K909" s="14">
        <f>VLOOKUP($C909,Rotation!$A$2:$J$10,2,FALSE)</f>
        <v>1</v>
      </c>
      <c r="L909" s="14">
        <f>VLOOKUP($C909,Rotation!$A$2:$J$10,3,FALSE)</f>
        <v>1</v>
      </c>
      <c r="M909" s="14">
        <f>VLOOKUP($C909,Rotation!$A$2:$J$10,4,FALSE)</f>
        <v>0</v>
      </c>
      <c r="N909" s="14">
        <f>VLOOKUP($C909,Rotation!$A$2:$J$10,5,FALSE)</f>
        <v>0</v>
      </c>
      <c r="O909" s="14">
        <f>VLOOKUP($C909,Rotation!$A$2:$J$10,6,FALSE)</f>
        <v>0</v>
      </c>
      <c r="P909" s="14">
        <f>VLOOKUP($C909,Rotation!$A$2:$J$10,7,FALSE)</f>
        <v>0</v>
      </c>
      <c r="Q909" s="14">
        <f>VLOOKUP($C909,Rotation!$A$2:$J$10,8,FALSE)</f>
        <v>0</v>
      </c>
      <c r="R909" s="14">
        <f>VLOOKUP($C909,Rotation!$A$2:$J$10,9,FALSE)</f>
        <v>0</v>
      </c>
      <c r="S909" s="14">
        <f>VLOOKUP($C909,Rotation!$A$2:$J$10,10,FALSE)</f>
        <v>0</v>
      </c>
    </row>
    <row r="910" spans="1:19" ht="18">
      <c r="A910" s="14">
        <v>908</v>
      </c>
      <c r="B910" s="14" t="s">
        <v>69</v>
      </c>
      <c r="C910" s="14" t="str">
        <f>VLOOKUP(B910,Family!B:C,2,FALSE)</f>
        <v>A</v>
      </c>
      <c r="D910" s="15">
        <v>19</v>
      </c>
      <c r="E910" s="14">
        <f>ROUND(VLOOKUP(C910,'Production Plan'!A:B,2,FALSE),2)</f>
        <v>407.17</v>
      </c>
      <c r="F910" s="16">
        <v>45751</v>
      </c>
      <c r="G910" s="17">
        <f>F910+6*7</f>
        <v>45793</v>
      </c>
      <c r="H910" s="14">
        <f>G910-F910</f>
        <v>42</v>
      </c>
      <c r="I910" s="14">
        <f>ROUND(D910/E910,3)</f>
        <v>4.7E-2</v>
      </c>
      <c r="J910" s="14">
        <f>I910*24</f>
        <v>1.1280000000000001</v>
      </c>
      <c r="K910" s="14">
        <f>VLOOKUP($C910,Rotation!$A$2:$J$10,2,FALSE)</f>
        <v>1</v>
      </c>
      <c r="L910" s="14">
        <f>VLOOKUP($C910,Rotation!$A$2:$J$10,3,FALSE)</f>
        <v>1</v>
      </c>
      <c r="M910" s="14">
        <f>VLOOKUP($C910,Rotation!$A$2:$J$10,4,FALSE)</f>
        <v>1</v>
      </c>
      <c r="N910" s="14">
        <f>VLOOKUP($C910,Rotation!$A$2:$J$10,5,FALSE)</f>
        <v>0</v>
      </c>
      <c r="O910" s="14">
        <f>VLOOKUP($C910,Rotation!$A$2:$J$10,6,FALSE)</f>
        <v>0</v>
      </c>
      <c r="P910" s="14">
        <f>VLOOKUP($C910,Rotation!$A$2:$J$10,7,FALSE)</f>
        <v>0</v>
      </c>
      <c r="Q910" s="14">
        <f>VLOOKUP($C910,Rotation!$A$2:$J$10,8,FALSE)</f>
        <v>0</v>
      </c>
      <c r="R910" s="14">
        <f>VLOOKUP($C910,Rotation!$A$2:$J$10,9,FALSE)</f>
        <v>0</v>
      </c>
      <c r="S910" s="14">
        <f>VLOOKUP($C910,Rotation!$A$2:$J$10,10,FALSE)</f>
        <v>0</v>
      </c>
    </row>
    <row r="911" spans="1:19" ht="18">
      <c r="A911" s="14">
        <v>909</v>
      </c>
      <c r="B911" s="14" t="s">
        <v>69</v>
      </c>
      <c r="C911" s="14" t="str">
        <f>VLOOKUP(B911,Family!B:C,2,FALSE)</f>
        <v>A</v>
      </c>
      <c r="D911" s="15">
        <v>19</v>
      </c>
      <c r="E911" s="14">
        <f>ROUND(VLOOKUP(C911,'Production Plan'!A:B,2,FALSE),2)</f>
        <v>407.17</v>
      </c>
      <c r="F911" s="16">
        <v>45751</v>
      </c>
      <c r="G911" s="17">
        <f>F911+6*7</f>
        <v>45793</v>
      </c>
      <c r="H911" s="14">
        <f>G911-F911</f>
        <v>42</v>
      </c>
      <c r="I911" s="14">
        <f>ROUND(D911/E911,3)</f>
        <v>4.7E-2</v>
      </c>
      <c r="J911" s="14">
        <f>I911*24</f>
        <v>1.1280000000000001</v>
      </c>
      <c r="K911" s="14">
        <f>VLOOKUP($C911,Rotation!$A$2:$J$10,2,FALSE)</f>
        <v>1</v>
      </c>
      <c r="L911" s="14">
        <f>VLOOKUP($C911,Rotation!$A$2:$J$10,3,FALSE)</f>
        <v>1</v>
      </c>
      <c r="M911" s="14">
        <f>VLOOKUP($C911,Rotation!$A$2:$J$10,4,FALSE)</f>
        <v>1</v>
      </c>
      <c r="N911" s="14">
        <f>VLOOKUP($C911,Rotation!$A$2:$J$10,5,FALSE)</f>
        <v>0</v>
      </c>
      <c r="O911" s="14">
        <f>VLOOKUP($C911,Rotation!$A$2:$J$10,6,FALSE)</f>
        <v>0</v>
      </c>
      <c r="P911" s="14">
        <f>VLOOKUP($C911,Rotation!$A$2:$J$10,7,FALSE)</f>
        <v>0</v>
      </c>
      <c r="Q911" s="14">
        <f>VLOOKUP($C911,Rotation!$A$2:$J$10,8,FALSE)</f>
        <v>0</v>
      </c>
      <c r="R911" s="14">
        <f>VLOOKUP($C911,Rotation!$A$2:$J$10,9,FALSE)</f>
        <v>0</v>
      </c>
      <c r="S911" s="14">
        <f>VLOOKUP($C911,Rotation!$A$2:$J$10,10,FALSE)</f>
        <v>0</v>
      </c>
    </row>
    <row r="912" spans="1:19" ht="18">
      <c r="A912" s="14">
        <v>910</v>
      </c>
      <c r="B912" s="14" t="s">
        <v>106</v>
      </c>
      <c r="C912" s="14" t="str">
        <f>VLOOKUP(B912,Family!B:C,2,FALSE)</f>
        <v>P</v>
      </c>
      <c r="D912" s="15">
        <v>19</v>
      </c>
      <c r="E912" s="14">
        <f>ROUND(VLOOKUP(C912,'Production Plan'!A:B,2,FALSE),2)</f>
        <v>409.15</v>
      </c>
      <c r="F912" s="16">
        <v>45743</v>
      </c>
      <c r="G912" s="17">
        <f>F912+6*7</f>
        <v>45785</v>
      </c>
      <c r="H912" s="14">
        <f>G912-F912</f>
        <v>42</v>
      </c>
      <c r="I912" s="14">
        <f>ROUND(D912/E912,3)</f>
        <v>4.5999999999999999E-2</v>
      </c>
      <c r="J912" s="14">
        <f>I912*24</f>
        <v>1.1040000000000001</v>
      </c>
      <c r="K912" s="14">
        <f>VLOOKUP($C912,Rotation!$A$2:$J$10,2,FALSE)</f>
        <v>1</v>
      </c>
      <c r="L912" s="14">
        <f>VLOOKUP($C912,Rotation!$A$2:$J$10,3,FALSE)</f>
        <v>1</v>
      </c>
      <c r="M912" s="14">
        <f>VLOOKUP($C912,Rotation!$A$2:$J$10,4,FALSE)</f>
        <v>0</v>
      </c>
      <c r="N912" s="14">
        <f>VLOOKUP($C912,Rotation!$A$2:$J$10,5,FALSE)</f>
        <v>0</v>
      </c>
      <c r="O912" s="14">
        <f>VLOOKUP($C912,Rotation!$A$2:$J$10,6,FALSE)</f>
        <v>0</v>
      </c>
      <c r="P912" s="14">
        <f>VLOOKUP($C912,Rotation!$A$2:$J$10,7,FALSE)</f>
        <v>0</v>
      </c>
      <c r="Q912" s="14">
        <f>VLOOKUP($C912,Rotation!$A$2:$J$10,8,FALSE)</f>
        <v>0</v>
      </c>
      <c r="R912" s="14">
        <f>VLOOKUP($C912,Rotation!$A$2:$J$10,9,FALSE)</f>
        <v>0</v>
      </c>
      <c r="S912" s="14">
        <f>VLOOKUP($C912,Rotation!$A$2:$J$10,10,FALSE)</f>
        <v>0</v>
      </c>
    </row>
    <row r="913" spans="1:19" ht="18">
      <c r="A913" s="14">
        <v>911</v>
      </c>
      <c r="B913" s="14" t="s">
        <v>69</v>
      </c>
      <c r="C913" s="14" t="str">
        <f>VLOOKUP(B913,Family!B:C,2,FALSE)</f>
        <v>A</v>
      </c>
      <c r="D913" s="15">
        <v>19</v>
      </c>
      <c r="E913" s="14">
        <f>ROUND(VLOOKUP(C913,'Production Plan'!A:B,2,FALSE),2)</f>
        <v>407.17</v>
      </c>
      <c r="F913" s="16">
        <v>45751</v>
      </c>
      <c r="G913" s="17">
        <f>F913+6*7</f>
        <v>45793</v>
      </c>
      <c r="H913" s="14">
        <f>G913-F913</f>
        <v>42</v>
      </c>
      <c r="I913" s="14">
        <f>ROUND(D913/E913,3)</f>
        <v>4.7E-2</v>
      </c>
      <c r="J913" s="14">
        <f>I913*24</f>
        <v>1.1280000000000001</v>
      </c>
      <c r="K913" s="14">
        <f>VLOOKUP($C913,Rotation!$A$2:$J$10,2,FALSE)</f>
        <v>1</v>
      </c>
      <c r="L913" s="14">
        <f>VLOOKUP($C913,Rotation!$A$2:$J$10,3,FALSE)</f>
        <v>1</v>
      </c>
      <c r="M913" s="14">
        <f>VLOOKUP($C913,Rotation!$A$2:$J$10,4,FALSE)</f>
        <v>1</v>
      </c>
      <c r="N913" s="14">
        <f>VLOOKUP($C913,Rotation!$A$2:$J$10,5,FALSE)</f>
        <v>0</v>
      </c>
      <c r="O913" s="14">
        <f>VLOOKUP($C913,Rotation!$A$2:$J$10,6,FALSE)</f>
        <v>0</v>
      </c>
      <c r="P913" s="14">
        <f>VLOOKUP($C913,Rotation!$A$2:$J$10,7,FALSE)</f>
        <v>0</v>
      </c>
      <c r="Q913" s="14">
        <f>VLOOKUP($C913,Rotation!$A$2:$J$10,8,FALSE)</f>
        <v>0</v>
      </c>
      <c r="R913" s="14">
        <f>VLOOKUP($C913,Rotation!$A$2:$J$10,9,FALSE)</f>
        <v>0</v>
      </c>
      <c r="S913" s="14">
        <f>VLOOKUP($C913,Rotation!$A$2:$J$10,10,FALSE)</f>
        <v>0</v>
      </c>
    </row>
    <row r="914" spans="1:19" ht="18">
      <c r="A914" s="14">
        <v>912</v>
      </c>
      <c r="B914" s="14" t="s">
        <v>69</v>
      </c>
      <c r="C914" s="14" t="str">
        <f>VLOOKUP(B914,Family!B:C,2,FALSE)</f>
        <v>A</v>
      </c>
      <c r="D914" s="15">
        <v>19</v>
      </c>
      <c r="E914" s="14">
        <f>ROUND(VLOOKUP(C914,'Production Plan'!A:B,2,FALSE),2)</f>
        <v>407.17</v>
      </c>
      <c r="F914" s="16">
        <v>45751</v>
      </c>
      <c r="G914" s="17">
        <f>F914+6*7</f>
        <v>45793</v>
      </c>
      <c r="H914" s="14">
        <f>G914-F914</f>
        <v>42</v>
      </c>
      <c r="I914" s="14">
        <f>ROUND(D914/E914,3)</f>
        <v>4.7E-2</v>
      </c>
      <c r="J914" s="14">
        <f>I914*24</f>
        <v>1.1280000000000001</v>
      </c>
      <c r="K914" s="14">
        <f>VLOOKUP($C914,Rotation!$A$2:$J$10,2,FALSE)</f>
        <v>1</v>
      </c>
      <c r="L914" s="14">
        <f>VLOOKUP($C914,Rotation!$A$2:$J$10,3,FALSE)</f>
        <v>1</v>
      </c>
      <c r="M914" s="14">
        <f>VLOOKUP($C914,Rotation!$A$2:$J$10,4,FALSE)</f>
        <v>1</v>
      </c>
      <c r="N914" s="14">
        <f>VLOOKUP($C914,Rotation!$A$2:$J$10,5,FALSE)</f>
        <v>0</v>
      </c>
      <c r="O914" s="14">
        <f>VLOOKUP($C914,Rotation!$A$2:$J$10,6,FALSE)</f>
        <v>0</v>
      </c>
      <c r="P914" s="14">
        <f>VLOOKUP($C914,Rotation!$A$2:$J$10,7,FALSE)</f>
        <v>0</v>
      </c>
      <c r="Q914" s="14">
        <f>VLOOKUP($C914,Rotation!$A$2:$J$10,8,FALSE)</f>
        <v>0</v>
      </c>
      <c r="R914" s="14">
        <f>VLOOKUP($C914,Rotation!$A$2:$J$10,9,FALSE)</f>
        <v>0</v>
      </c>
      <c r="S914" s="14">
        <f>VLOOKUP($C914,Rotation!$A$2:$J$10,10,FALSE)</f>
        <v>0</v>
      </c>
    </row>
    <row r="915" spans="1:19" ht="18">
      <c r="A915" s="14">
        <v>913</v>
      </c>
      <c r="B915" s="14" t="s">
        <v>69</v>
      </c>
      <c r="C915" s="14" t="str">
        <f>VLOOKUP(B915,Family!B:C,2,FALSE)</f>
        <v>A</v>
      </c>
      <c r="D915" s="15">
        <v>19</v>
      </c>
      <c r="E915" s="14">
        <f>ROUND(VLOOKUP(C915,'Production Plan'!A:B,2,FALSE),2)</f>
        <v>407.17</v>
      </c>
      <c r="F915" s="16">
        <v>45751</v>
      </c>
      <c r="G915" s="17">
        <f>F915+6*7</f>
        <v>45793</v>
      </c>
      <c r="H915" s="14">
        <f>G915-F915</f>
        <v>42</v>
      </c>
      <c r="I915" s="14">
        <f>ROUND(D915/E915,3)</f>
        <v>4.7E-2</v>
      </c>
      <c r="J915" s="14">
        <f>I915*24</f>
        <v>1.1280000000000001</v>
      </c>
      <c r="K915" s="14">
        <f>VLOOKUP($C915,Rotation!$A$2:$J$10,2,FALSE)</f>
        <v>1</v>
      </c>
      <c r="L915" s="14">
        <f>VLOOKUP($C915,Rotation!$A$2:$J$10,3,FALSE)</f>
        <v>1</v>
      </c>
      <c r="M915" s="14">
        <f>VLOOKUP($C915,Rotation!$A$2:$J$10,4,FALSE)</f>
        <v>1</v>
      </c>
      <c r="N915" s="14">
        <f>VLOOKUP($C915,Rotation!$A$2:$J$10,5,FALSE)</f>
        <v>0</v>
      </c>
      <c r="O915" s="14">
        <f>VLOOKUP($C915,Rotation!$A$2:$J$10,6,FALSE)</f>
        <v>0</v>
      </c>
      <c r="P915" s="14">
        <f>VLOOKUP($C915,Rotation!$A$2:$J$10,7,FALSE)</f>
        <v>0</v>
      </c>
      <c r="Q915" s="14">
        <f>VLOOKUP($C915,Rotation!$A$2:$J$10,8,FALSE)</f>
        <v>0</v>
      </c>
      <c r="R915" s="14">
        <f>VLOOKUP($C915,Rotation!$A$2:$J$10,9,FALSE)</f>
        <v>0</v>
      </c>
      <c r="S915" s="14">
        <f>VLOOKUP($C915,Rotation!$A$2:$J$10,10,FALSE)</f>
        <v>0</v>
      </c>
    </row>
    <row r="916" spans="1:19" ht="18">
      <c r="A916" s="14">
        <v>914</v>
      </c>
      <c r="B916" s="14" t="s">
        <v>69</v>
      </c>
      <c r="C916" s="14" t="str">
        <f>VLOOKUP(B916,Family!B:C,2,FALSE)</f>
        <v>A</v>
      </c>
      <c r="D916" s="15">
        <v>19</v>
      </c>
      <c r="E916" s="14">
        <f>ROUND(VLOOKUP(C916,'Production Plan'!A:B,2,FALSE),2)</f>
        <v>407.17</v>
      </c>
      <c r="F916" s="16">
        <v>45751</v>
      </c>
      <c r="G916" s="17">
        <f>F916+6*7</f>
        <v>45793</v>
      </c>
      <c r="H916" s="14">
        <f>G916-F916</f>
        <v>42</v>
      </c>
      <c r="I916" s="14">
        <f>ROUND(D916/E916,3)</f>
        <v>4.7E-2</v>
      </c>
      <c r="J916" s="14">
        <f>I916*24</f>
        <v>1.1280000000000001</v>
      </c>
      <c r="K916" s="14">
        <f>VLOOKUP($C916,Rotation!$A$2:$J$10,2,FALSE)</f>
        <v>1</v>
      </c>
      <c r="L916" s="14">
        <f>VLOOKUP($C916,Rotation!$A$2:$J$10,3,FALSE)</f>
        <v>1</v>
      </c>
      <c r="M916" s="14">
        <f>VLOOKUP($C916,Rotation!$A$2:$J$10,4,FALSE)</f>
        <v>1</v>
      </c>
      <c r="N916" s="14">
        <f>VLOOKUP($C916,Rotation!$A$2:$J$10,5,FALSE)</f>
        <v>0</v>
      </c>
      <c r="O916" s="14">
        <f>VLOOKUP($C916,Rotation!$A$2:$J$10,6,FALSE)</f>
        <v>0</v>
      </c>
      <c r="P916" s="14">
        <f>VLOOKUP($C916,Rotation!$A$2:$J$10,7,FALSE)</f>
        <v>0</v>
      </c>
      <c r="Q916" s="14">
        <f>VLOOKUP($C916,Rotation!$A$2:$J$10,8,FALSE)</f>
        <v>0</v>
      </c>
      <c r="R916" s="14">
        <f>VLOOKUP($C916,Rotation!$A$2:$J$10,9,FALSE)</f>
        <v>0</v>
      </c>
      <c r="S916" s="14">
        <f>VLOOKUP($C916,Rotation!$A$2:$J$10,10,FALSE)</f>
        <v>0</v>
      </c>
    </row>
    <row r="917" spans="1:19" ht="18">
      <c r="A917" s="14">
        <v>915</v>
      </c>
      <c r="B917" s="14" t="s">
        <v>98</v>
      </c>
      <c r="C917" s="14" t="str">
        <f>VLOOKUP(B917,Family!B:C,2,FALSE)</f>
        <v>H</v>
      </c>
      <c r="D917" s="15">
        <v>19</v>
      </c>
      <c r="E917" s="14">
        <f>ROUND(VLOOKUP(C917,'Production Plan'!A:B,2,FALSE),2)</f>
        <v>402.02</v>
      </c>
      <c r="F917" s="16">
        <v>45860</v>
      </c>
      <c r="G917" s="17">
        <f>F917+6*7</f>
        <v>45902</v>
      </c>
      <c r="H917" s="14">
        <f>G917-F917</f>
        <v>42</v>
      </c>
      <c r="I917" s="14">
        <f>ROUND(D917/E917,3)</f>
        <v>4.7E-2</v>
      </c>
      <c r="J917" s="14">
        <f>I917*24</f>
        <v>1.1280000000000001</v>
      </c>
      <c r="K917" s="14">
        <f>VLOOKUP($C917,Rotation!$A$2:$J$10,2,FALSE)</f>
        <v>0</v>
      </c>
      <c r="L917" s="14">
        <f>VLOOKUP($C917,Rotation!$A$2:$J$10,3,FALSE)</f>
        <v>0</v>
      </c>
      <c r="M917" s="14">
        <f>VLOOKUP($C917,Rotation!$A$2:$J$10,4,FALSE)</f>
        <v>1</v>
      </c>
      <c r="N917" s="14">
        <f>VLOOKUP($C917,Rotation!$A$2:$J$10,5,FALSE)</f>
        <v>1</v>
      </c>
      <c r="O917" s="14">
        <f>VLOOKUP($C917,Rotation!$A$2:$J$10,6,FALSE)</f>
        <v>0</v>
      </c>
      <c r="P917" s="14">
        <f>VLOOKUP($C917,Rotation!$A$2:$J$10,7,FALSE)</f>
        <v>0</v>
      </c>
      <c r="Q917" s="14">
        <f>VLOOKUP($C917,Rotation!$A$2:$J$10,8,FALSE)</f>
        <v>0</v>
      </c>
      <c r="R917" s="14">
        <f>VLOOKUP($C917,Rotation!$A$2:$J$10,9,FALSE)</f>
        <v>0</v>
      </c>
      <c r="S917" s="14">
        <f>VLOOKUP($C917,Rotation!$A$2:$J$10,10,FALSE)</f>
        <v>0</v>
      </c>
    </row>
    <row r="918" spans="1:19" ht="18">
      <c r="A918" s="14">
        <v>916</v>
      </c>
      <c r="B918" s="14" t="s">
        <v>77</v>
      </c>
      <c r="C918" s="14" t="str">
        <f>VLOOKUP(B918,Family!B:C,2,FALSE)</f>
        <v>E</v>
      </c>
      <c r="D918" s="15">
        <v>18</v>
      </c>
      <c r="E918" s="14">
        <f>ROUND(VLOOKUP(C918,'Production Plan'!A:B,2,FALSE),2)</f>
        <v>333.66</v>
      </c>
      <c r="F918" s="16">
        <v>45896</v>
      </c>
      <c r="G918" s="17">
        <f>F918+6*7</f>
        <v>45938</v>
      </c>
      <c r="H918" s="14">
        <f>G918-F918</f>
        <v>42</v>
      </c>
      <c r="I918" s="14">
        <f>ROUND(D918/E918,3)</f>
        <v>5.3999999999999999E-2</v>
      </c>
      <c r="J918" s="14">
        <f>I918*24</f>
        <v>1.296</v>
      </c>
      <c r="K918" s="14">
        <f>VLOOKUP($C918,Rotation!$A$2:$J$10,2,FALSE)</f>
        <v>1</v>
      </c>
      <c r="L918" s="14">
        <f>VLOOKUP($C918,Rotation!$A$2:$J$10,3,FALSE)</f>
        <v>0</v>
      </c>
      <c r="M918" s="14">
        <f>VLOOKUP($C918,Rotation!$A$2:$J$10,4,FALSE)</f>
        <v>0</v>
      </c>
      <c r="N918" s="14">
        <f>VLOOKUP($C918,Rotation!$A$2:$J$10,5,FALSE)</f>
        <v>0</v>
      </c>
      <c r="O918" s="14">
        <f>VLOOKUP($C918,Rotation!$A$2:$J$10,6,FALSE)</f>
        <v>0</v>
      </c>
      <c r="P918" s="14">
        <f>VLOOKUP($C918,Rotation!$A$2:$J$10,7,FALSE)</f>
        <v>1</v>
      </c>
      <c r="Q918" s="14">
        <f>VLOOKUP($C918,Rotation!$A$2:$J$10,8,FALSE)</f>
        <v>0</v>
      </c>
      <c r="R918" s="14">
        <f>VLOOKUP($C918,Rotation!$A$2:$J$10,9,FALSE)</f>
        <v>0</v>
      </c>
      <c r="S918" s="14">
        <f>VLOOKUP($C918,Rotation!$A$2:$J$10,10,FALSE)</f>
        <v>0</v>
      </c>
    </row>
    <row r="919" spans="1:19" ht="18">
      <c r="A919" s="14">
        <v>917</v>
      </c>
      <c r="B919" s="14" t="s">
        <v>69</v>
      </c>
      <c r="C919" s="14" t="str">
        <f>VLOOKUP(B919,Family!B:C,2,FALSE)</f>
        <v>A</v>
      </c>
      <c r="D919" s="15">
        <v>19</v>
      </c>
      <c r="E919" s="14">
        <f>ROUND(VLOOKUP(C919,'Production Plan'!A:B,2,FALSE),2)</f>
        <v>407.17</v>
      </c>
      <c r="F919" s="16">
        <v>45751</v>
      </c>
      <c r="G919" s="17">
        <f>F919+6*7</f>
        <v>45793</v>
      </c>
      <c r="H919" s="14">
        <f>G919-F919</f>
        <v>42</v>
      </c>
      <c r="I919" s="14">
        <f>ROUND(D919/E919,3)</f>
        <v>4.7E-2</v>
      </c>
      <c r="J919" s="14">
        <f>I919*24</f>
        <v>1.1280000000000001</v>
      </c>
      <c r="K919" s="14">
        <f>VLOOKUP($C919,Rotation!$A$2:$J$10,2,FALSE)</f>
        <v>1</v>
      </c>
      <c r="L919" s="14">
        <f>VLOOKUP($C919,Rotation!$A$2:$J$10,3,FALSE)</f>
        <v>1</v>
      </c>
      <c r="M919" s="14">
        <f>VLOOKUP($C919,Rotation!$A$2:$J$10,4,FALSE)</f>
        <v>1</v>
      </c>
      <c r="N919" s="14">
        <f>VLOOKUP($C919,Rotation!$A$2:$J$10,5,FALSE)</f>
        <v>0</v>
      </c>
      <c r="O919" s="14">
        <f>VLOOKUP($C919,Rotation!$A$2:$J$10,6,FALSE)</f>
        <v>0</v>
      </c>
      <c r="P919" s="14">
        <f>VLOOKUP($C919,Rotation!$A$2:$J$10,7,FALSE)</f>
        <v>0</v>
      </c>
      <c r="Q919" s="14">
        <f>VLOOKUP($C919,Rotation!$A$2:$J$10,8,FALSE)</f>
        <v>0</v>
      </c>
      <c r="R919" s="14">
        <f>VLOOKUP($C919,Rotation!$A$2:$J$10,9,FALSE)</f>
        <v>0</v>
      </c>
      <c r="S919" s="14">
        <f>VLOOKUP($C919,Rotation!$A$2:$J$10,10,FALSE)</f>
        <v>0</v>
      </c>
    </row>
    <row r="920" spans="1:19" ht="18">
      <c r="A920" s="14">
        <v>918</v>
      </c>
      <c r="B920" s="14" t="s">
        <v>100</v>
      </c>
      <c r="C920" s="14" t="str">
        <f>VLOOKUP(B920,Family!B:C,2,FALSE)</f>
        <v>H</v>
      </c>
      <c r="D920" s="15">
        <v>140</v>
      </c>
      <c r="E920" s="14">
        <f>ROUND(VLOOKUP(C920,'Production Plan'!A:B,2,FALSE),2)</f>
        <v>402.02</v>
      </c>
      <c r="F920" s="16">
        <v>45861</v>
      </c>
      <c r="G920" s="17">
        <f>F920+6*7</f>
        <v>45903</v>
      </c>
      <c r="H920" s="14">
        <f>G920-F920</f>
        <v>42</v>
      </c>
      <c r="I920" s="14">
        <f>ROUND(D920/E920,3)</f>
        <v>0.34799999999999998</v>
      </c>
      <c r="J920" s="14">
        <f>I920*24</f>
        <v>8.3520000000000003</v>
      </c>
      <c r="K920" s="14">
        <f>VLOOKUP($C920,Rotation!$A$2:$J$10,2,FALSE)</f>
        <v>0</v>
      </c>
      <c r="L920" s="14">
        <f>VLOOKUP($C920,Rotation!$A$2:$J$10,3,FALSE)</f>
        <v>0</v>
      </c>
      <c r="M920" s="14">
        <f>VLOOKUP($C920,Rotation!$A$2:$J$10,4,FALSE)</f>
        <v>1</v>
      </c>
      <c r="N920" s="14">
        <f>VLOOKUP($C920,Rotation!$A$2:$J$10,5,FALSE)</f>
        <v>1</v>
      </c>
      <c r="O920" s="14">
        <f>VLOOKUP($C920,Rotation!$A$2:$J$10,6,FALSE)</f>
        <v>0</v>
      </c>
      <c r="P920" s="14">
        <f>VLOOKUP($C920,Rotation!$A$2:$J$10,7,FALSE)</f>
        <v>0</v>
      </c>
      <c r="Q920" s="14">
        <f>VLOOKUP($C920,Rotation!$A$2:$J$10,8,FALSE)</f>
        <v>0</v>
      </c>
      <c r="R920" s="14">
        <f>VLOOKUP($C920,Rotation!$A$2:$J$10,9,FALSE)</f>
        <v>0</v>
      </c>
      <c r="S920" s="14">
        <f>VLOOKUP($C920,Rotation!$A$2:$J$10,10,FALSE)</f>
        <v>0</v>
      </c>
    </row>
    <row r="921" spans="1:19" ht="18">
      <c r="A921" s="14">
        <v>919</v>
      </c>
      <c r="B921" s="14" t="s">
        <v>84</v>
      </c>
      <c r="C921" s="14" t="str">
        <f>VLOOKUP(B921,Family!B:C,2,FALSE)</f>
        <v>C</v>
      </c>
      <c r="D921" s="15">
        <v>18</v>
      </c>
      <c r="E921" s="14">
        <f>ROUND(VLOOKUP(C921,'Production Plan'!A:B,2,FALSE),2)</f>
        <v>411.11</v>
      </c>
      <c r="F921" s="16">
        <v>45891</v>
      </c>
      <c r="G921" s="17">
        <f>F921+6*7</f>
        <v>45933</v>
      </c>
      <c r="H921" s="14">
        <f>G921-F921</f>
        <v>42</v>
      </c>
      <c r="I921" s="14">
        <f>ROUND(D921/E921,3)</f>
        <v>4.3999999999999997E-2</v>
      </c>
      <c r="J921" s="14">
        <f>I921*24</f>
        <v>1.056</v>
      </c>
      <c r="K921" s="14">
        <f>VLOOKUP($C921,Rotation!$A$2:$J$10,2,FALSE)</f>
        <v>1</v>
      </c>
      <c r="L921" s="14">
        <f>VLOOKUP($C921,Rotation!$A$2:$J$10,3,FALSE)</f>
        <v>0</v>
      </c>
      <c r="M921" s="14">
        <f>VLOOKUP($C921,Rotation!$A$2:$J$10,4,FALSE)</f>
        <v>0</v>
      </c>
      <c r="N921" s="14">
        <f>VLOOKUP($C921,Rotation!$A$2:$J$10,5,FALSE)</f>
        <v>0</v>
      </c>
      <c r="O921" s="14">
        <f>VLOOKUP($C921,Rotation!$A$2:$J$10,6,FALSE)</f>
        <v>1</v>
      </c>
      <c r="P921" s="14">
        <f>VLOOKUP($C921,Rotation!$A$2:$J$10,7,FALSE)</f>
        <v>0</v>
      </c>
      <c r="Q921" s="14">
        <f>VLOOKUP($C921,Rotation!$A$2:$J$10,8,FALSE)</f>
        <v>0</v>
      </c>
      <c r="R921" s="14">
        <f>VLOOKUP($C921,Rotation!$A$2:$J$10,9,FALSE)</f>
        <v>0</v>
      </c>
      <c r="S921" s="14">
        <f>VLOOKUP($C921,Rotation!$A$2:$J$10,10,FALSE)</f>
        <v>0</v>
      </c>
    </row>
    <row r="922" spans="1:19" ht="18">
      <c r="A922" s="14">
        <v>920</v>
      </c>
      <c r="B922" s="14" t="s">
        <v>106</v>
      </c>
      <c r="C922" s="14" t="str">
        <f>VLOOKUP(B922,Family!B:C,2,FALSE)</f>
        <v>P</v>
      </c>
      <c r="D922" s="15">
        <v>19</v>
      </c>
      <c r="E922" s="14">
        <f>ROUND(VLOOKUP(C922,'Production Plan'!A:B,2,FALSE),2)</f>
        <v>409.15</v>
      </c>
      <c r="F922" s="16">
        <v>45743</v>
      </c>
      <c r="G922" s="17">
        <f>F922+6*7</f>
        <v>45785</v>
      </c>
      <c r="H922" s="14">
        <f>G922-F922</f>
        <v>42</v>
      </c>
      <c r="I922" s="14">
        <f>ROUND(D922/E922,3)</f>
        <v>4.5999999999999999E-2</v>
      </c>
      <c r="J922" s="14">
        <f>I922*24</f>
        <v>1.1040000000000001</v>
      </c>
      <c r="K922" s="14">
        <f>VLOOKUP($C922,Rotation!$A$2:$J$10,2,FALSE)</f>
        <v>1</v>
      </c>
      <c r="L922" s="14">
        <f>VLOOKUP($C922,Rotation!$A$2:$J$10,3,FALSE)</f>
        <v>1</v>
      </c>
      <c r="M922" s="14">
        <f>VLOOKUP($C922,Rotation!$A$2:$J$10,4,FALSE)</f>
        <v>0</v>
      </c>
      <c r="N922" s="14">
        <f>VLOOKUP($C922,Rotation!$A$2:$J$10,5,FALSE)</f>
        <v>0</v>
      </c>
      <c r="O922" s="14">
        <f>VLOOKUP($C922,Rotation!$A$2:$J$10,6,FALSE)</f>
        <v>0</v>
      </c>
      <c r="P922" s="14">
        <f>VLOOKUP($C922,Rotation!$A$2:$J$10,7,FALSE)</f>
        <v>0</v>
      </c>
      <c r="Q922" s="14">
        <f>VLOOKUP($C922,Rotation!$A$2:$J$10,8,FALSE)</f>
        <v>0</v>
      </c>
      <c r="R922" s="14">
        <f>VLOOKUP($C922,Rotation!$A$2:$J$10,9,FALSE)</f>
        <v>0</v>
      </c>
      <c r="S922" s="14">
        <f>VLOOKUP($C922,Rotation!$A$2:$J$10,10,FALSE)</f>
        <v>0</v>
      </c>
    </row>
    <row r="923" spans="1:19" ht="18">
      <c r="A923" s="14">
        <v>921</v>
      </c>
      <c r="B923" s="14" t="s">
        <v>94</v>
      </c>
      <c r="C923" s="14" t="str">
        <f>VLOOKUP(B923,Family!B:C,2,FALSE)</f>
        <v>H</v>
      </c>
      <c r="D923" s="15">
        <v>99</v>
      </c>
      <c r="E923" s="14">
        <f>ROUND(VLOOKUP(C923,'Production Plan'!A:B,2,FALSE),2)</f>
        <v>402.02</v>
      </c>
      <c r="F923" s="16">
        <v>45798</v>
      </c>
      <c r="G923" s="17">
        <f>F923+6*7</f>
        <v>45840</v>
      </c>
      <c r="H923" s="14">
        <f>G923-F923</f>
        <v>42</v>
      </c>
      <c r="I923" s="14">
        <f>ROUND(D923/E923,3)</f>
        <v>0.246</v>
      </c>
      <c r="J923" s="14">
        <f>I923*24</f>
        <v>5.9039999999999999</v>
      </c>
      <c r="K923" s="14">
        <f>VLOOKUP($C923,Rotation!$A$2:$J$10,2,FALSE)</f>
        <v>0</v>
      </c>
      <c r="L923" s="14">
        <f>VLOOKUP($C923,Rotation!$A$2:$J$10,3,FALSE)</f>
        <v>0</v>
      </c>
      <c r="M923" s="14">
        <f>VLOOKUP($C923,Rotation!$A$2:$J$10,4,FALSE)</f>
        <v>1</v>
      </c>
      <c r="N923" s="14">
        <f>VLOOKUP($C923,Rotation!$A$2:$J$10,5,FALSE)</f>
        <v>1</v>
      </c>
      <c r="O923" s="14">
        <f>VLOOKUP($C923,Rotation!$A$2:$J$10,6,FALSE)</f>
        <v>0</v>
      </c>
      <c r="P923" s="14">
        <f>VLOOKUP($C923,Rotation!$A$2:$J$10,7,FALSE)</f>
        <v>0</v>
      </c>
      <c r="Q923" s="14">
        <f>VLOOKUP($C923,Rotation!$A$2:$J$10,8,FALSE)</f>
        <v>0</v>
      </c>
      <c r="R923" s="14">
        <f>VLOOKUP($C923,Rotation!$A$2:$J$10,9,FALSE)</f>
        <v>0</v>
      </c>
      <c r="S923" s="14">
        <f>VLOOKUP($C923,Rotation!$A$2:$J$10,10,FALSE)</f>
        <v>0</v>
      </c>
    </row>
    <row r="924" spans="1:19" ht="18">
      <c r="A924" s="14">
        <v>922</v>
      </c>
      <c r="B924" s="14" t="s">
        <v>77</v>
      </c>
      <c r="C924" s="14" t="str">
        <f>VLOOKUP(B924,Family!B:C,2,FALSE)</f>
        <v>E</v>
      </c>
      <c r="D924" s="15">
        <v>18</v>
      </c>
      <c r="E924" s="14">
        <f>ROUND(VLOOKUP(C924,'Production Plan'!A:B,2,FALSE),2)</f>
        <v>333.66</v>
      </c>
      <c r="F924" s="16">
        <v>45904</v>
      </c>
      <c r="G924" s="17">
        <f>F924+6*7</f>
        <v>45946</v>
      </c>
      <c r="H924" s="14">
        <f>G924-F924</f>
        <v>42</v>
      </c>
      <c r="I924" s="14">
        <f>ROUND(D924/E924,3)</f>
        <v>5.3999999999999999E-2</v>
      </c>
      <c r="J924" s="14">
        <f>I924*24</f>
        <v>1.296</v>
      </c>
      <c r="K924" s="14">
        <f>VLOOKUP($C924,Rotation!$A$2:$J$10,2,FALSE)</f>
        <v>1</v>
      </c>
      <c r="L924" s="14">
        <f>VLOOKUP($C924,Rotation!$A$2:$J$10,3,FALSE)</f>
        <v>0</v>
      </c>
      <c r="M924" s="14">
        <f>VLOOKUP($C924,Rotation!$A$2:$J$10,4,FALSE)</f>
        <v>0</v>
      </c>
      <c r="N924" s="14">
        <f>VLOOKUP($C924,Rotation!$A$2:$J$10,5,FALSE)</f>
        <v>0</v>
      </c>
      <c r="O924" s="14">
        <f>VLOOKUP($C924,Rotation!$A$2:$J$10,6,FALSE)</f>
        <v>0</v>
      </c>
      <c r="P924" s="14">
        <f>VLOOKUP($C924,Rotation!$A$2:$J$10,7,FALSE)</f>
        <v>1</v>
      </c>
      <c r="Q924" s="14">
        <f>VLOOKUP($C924,Rotation!$A$2:$J$10,8,FALSE)</f>
        <v>0</v>
      </c>
      <c r="R924" s="14">
        <f>VLOOKUP($C924,Rotation!$A$2:$J$10,9,FALSE)</f>
        <v>0</v>
      </c>
      <c r="S924" s="14">
        <f>VLOOKUP($C924,Rotation!$A$2:$J$10,10,FALSE)</f>
        <v>0</v>
      </c>
    </row>
    <row r="925" spans="1:19" ht="18">
      <c r="A925" s="14">
        <v>923</v>
      </c>
      <c r="B925" s="14" t="s">
        <v>98</v>
      </c>
      <c r="C925" s="14" t="str">
        <f>VLOOKUP(B925,Family!B:C,2,FALSE)</f>
        <v>H</v>
      </c>
      <c r="D925" s="15">
        <v>20</v>
      </c>
      <c r="E925" s="14">
        <f>ROUND(VLOOKUP(C925,'Production Plan'!A:B,2,FALSE),2)</f>
        <v>402.02</v>
      </c>
      <c r="F925" s="16">
        <v>45860</v>
      </c>
      <c r="G925" s="17">
        <f>F925+6*7</f>
        <v>45902</v>
      </c>
      <c r="H925" s="14">
        <f>G925-F925</f>
        <v>42</v>
      </c>
      <c r="I925" s="14">
        <f>ROUND(D925/E925,3)</f>
        <v>0.05</v>
      </c>
      <c r="J925" s="14">
        <f>I925*24</f>
        <v>1.2000000000000002</v>
      </c>
      <c r="K925" s="14">
        <f>VLOOKUP($C925,Rotation!$A$2:$J$10,2,FALSE)</f>
        <v>0</v>
      </c>
      <c r="L925" s="14">
        <f>VLOOKUP($C925,Rotation!$A$2:$J$10,3,FALSE)</f>
        <v>0</v>
      </c>
      <c r="M925" s="14">
        <f>VLOOKUP($C925,Rotation!$A$2:$J$10,4,FALSE)</f>
        <v>1</v>
      </c>
      <c r="N925" s="14">
        <f>VLOOKUP($C925,Rotation!$A$2:$J$10,5,FALSE)</f>
        <v>1</v>
      </c>
      <c r="O925" s="14">
        <f>VLOOKUP($C925,Rotation!$A$2:$J$10,6,FALSE)</f>
        <v>0</v>
      </c>
      <c r="P925" s="14">
        <f>VLOOKUP($C925,Rotation!$A$2:$J$10,7,FALSE)</f>
        <v>0</v>
      </c>
      <c r="Q925" s="14">
        <f>VLOOKUP($C925,Rotation!$A$2:$J$10,8,FALSE)</f>
        <v>0</v>
      </c>
      <c r="R925" s="14">
        <f>VLOOKUP($C925,Rotation!$A$2:$J$10,9,FALSE)</f>
        <v>0</v>
      </c>
      <c r="S925" s="14">
        <f>VLOOKUP($C925,Rotation!$A$2:$J$10,10,FALSE)</f>
        <v>0</v>
      </c>
    </row>
    <row r="926" spans="1:19" ht="18">
      <c r="A926" s="14">
        <v>924</v>
      </c>
      <c r="B926" s="14" t="s">
        <v>75</v>
      </c>
      <c r="C926" s="14" t="str">
        <f>VLOOKUP(B926,Family!B:C,2,FALSE)</f>
        <v>A</v>
      </c>
      <c r="D926" s="15">
        <v>148</v>
      </c>
      <c r="E926" s="14">
        <f>ROUND(VLOOKUP(C926,'Production Plan'!A:B,2,FALSE),2)</f>
        <v>407.17</v>
      </c>
      <c r="F926" s="16">
        <v>45873</v>
      </c>
      <c r="G926" s="17">
        <f>F926+6*7</f>
        <v>45915</v>
      </c>
      <c r="H926" s="14">
        <f>G926-F926</f>
        <v>42</v>
      </c>
      <c r="I926" s="14">
        <f>ROUND(D926/E926,3)</f>
        <v>0.36299999999999999</v>
      </c>
      <c r="J926" s="14">
        <f>I926*24</f>
        <v>8.7119999999999997</v>
      </c>
      <c r="K926" s="14">
        <f>VLOOKUP($C926,Rotation!$A$2:$J$10,2,FALSE)</f>
        <v>1</v>
      </c>
      <c r="L926" s="14">
        <f>VLOOKUP($C926,Rotation!$A$2:$J$10,3,FALSE)</f>
        <v>1</v>
      </c>
      <c r="M926" s="14">
        <f>VLOOKUP($C926,Rotation!$A$2:$J$10,4,FALSE)</f>
        <v>1</v>
      </c>
      <c r="N926" s="14">
        <f>VLOOKUP($C926,Rotation!$A$2:$J$10,5,FALSE)</f>
        <v>0</v>
      </c>
      <c r="O926" s="14">
        <f>VLOOKUP($C926,Rotation!$A$2:$J$10,6,FALSE)</f>
        <v>0</v>
      </c>
      <c r="P926" s="14">
        <f>VLOOKUP($C926,Rotation!$A$2:$J$10,7,FALSE)</f>
        <v>0</v>
      </c>
      <c r="Q926" s="14">
        <f>VLOOKUP($C926,Rotation!$A$2:$J$10,8,FALSE)</f>
        <v>0</v>
      </c>
      <c r="R926" s="14">
        <f>VLOOKUP($C926,Rotation!$A$2:$J$10,9,FALSE)</f>
        <v>0</v>
      </c>
      <c r="S926" s="14">
        <f>VLOOKUP($C926,Rotation!$A$2:$J$10,10,FALSE)</f>
        <v>0</v>
      </c>
    </row>
    <row r="927" spans="1:19" ht="18">
      <c r="A927" s="14">
        <v>925</v>
      </c>
      <c r="B927" s="14" t="s">
        <v>98</v>
      </c>
      <c r="C927" s="14" t="str">
        <f>VLOOKUP(B927,Family!B:C,2,FALSE)</f>
        <v>H</v>
      </c>
      <c r="D927" s="15">
        <v>19</v>
      </c>
      <c r="E927" s="14">
        <f>ROUND(VLOOKUP(C927,'Production Plan'!A:B,2,FALSE),2)</f>
        <v>402.02</v>
      </c>
      <c r="F927" s="16">
        <v>45790</v>
      </c>
      <c r="G927" s="17">
        <f>F927+6*7</f>
        <v>45832</v>
      </c>
      <c r="H927" s="14">
        <f>G927-F927</f>
        <v>42</v>
      </c>
      <c r="I927" s="14">
        <f>ROUND(D927/E927,3)</f>
        <v>4.7E-2</v>
      </c>
      <c r="J927" s="14">
        <f>I927*24</f>
        <v>1.1280000000000001</v>
      </c>
      <c r="K927" s="14">
        <f>VLOOKUP($C927,Rotation!$A$2:$J$10,2,FALSE)</f>
        <v>0</v>
      </c>
      <c r="L927" s="14">
        <f>VLOOKUP($C927,Rotation!$A$2:$J$10,3,FALSE)</f>
        <v>0</v>
      </c>
      <c r="M927" s="14">
        <f>VLOOKUP($C927,Rotation!$A$2:$J$10,4,FALSE)</f>
        <v>1</v>
      </c>
      <c r="N927" s="14">
        <f>VLOOKUP($C927,Rotation!$A$2:$J$10,5,FALSE)</f>
        <v>1</v>
      </c>
      <c r="O927" s="14">
        <f>VLOOKUP($C927,Rotation!$A$2:$J$10,6,FALSE)</f>
        <v>0</v>
      </c>
      <c r="P927" s="14">
        <f>VLOOKUP($C927,Rotation!$A$2:$J$10,7,FALSE)</f>
        <v>0</v>
      </c>
      <c r="Q927" s="14">
        <f>VLOOKUP($C927,Rotation!$A$2:$J$10,8,FALSE)</f>
        <v>0</v>
      </c>
      <c r="R927" s="14">
        <f>VLOOKUP($C927,Rotation!$A$2:$J$10,9,FALSE)</f>
        <v>0</v>
      </c>
      <c r="S927" s="14">
        <f>VLOOKUP($C927,Rotation!$A$2:$J$10,10,FALSE)</f>
        <v>0</v>
      </c>
    </row>
    <row r="928" spans="1:19" ht="18">
      <c r="A928" s="14">
        <v>926</v>
      </c>
      <c r="B928" s="14" t="s">
        <v>112</v>
      </c>
      <c r="C928" s="14" t="str">
        <f>VLOOKUP(B928,Family!B:C,2,FALSE)</f>
        <v>N</v>
      </c>
      <c r="D928" s="15">
        <v>61.750999999999998</v>
      </c>
      <c r="E928" s="14">
        <f>ROUND(VLOOKUP(C928,'Production Plan'!A:B,2,FALSE),2)</f>
        <v>334.18</v>
      </c>
      <c r="F928" s="16">
        <v>45854</v>
      </c>
      <c r="G928" s="17">
        <f>F928+6*7</f>
        <v>45896</v>
      </c>
      <c r="H928" s="14">
        <f>G928-F928</f>
        <v>42</v>
      </c>
      <c r="I928" s="14">
        <f>ROUND(D928/E928,3)</f>
        <v>0.185</v>
      </c>
      <c r="J928" s="14">
        <f>I928*24</f>
        <v>4.4399999999999995</v>
      </c>
      <c r="K928" s="14">
        <f>VLOOKUP($C928,Rotation!$A$2:$J$10,2,FALSE)</f>
        <v>1</v>
      </c>
      <c r="L928" s="14">
        <f>VLOOKUP($C928,Rotation!$A$2:$J$10,3,FALSE)</f>
        <v>0</v>
      </c>
      <c r="M928" s="14">
        <f>VLOOKUP($C928,Rotation!$A$2:$J$10,4,FALSE)</f>
        <v>0</v>
      </c>
      <c r="N928" s="14">
        <f>VLOOKUP($C928,Rotation!$A$2:$J$10,5,FALSE)</f>
        <v>0</v>
      </c>
      <c r="O928" s="14">
        <f>VLOOKUP($C928,Rotation!$A$2:$J$10,6,FALSE)</f>
        <v>0</v>
      </c>
      <c r="P928" s="14">
        <f>VLOOKUP($C928,Rotation!$A$2:$J$10,7,FALSE)</f>
        <v>0</v>
      </c>
      <c r="Q928" s="14">
        <f>VLOOKUP($C928,Rotation!$A$2:$J$10,8,FALSE)</f>
        <v>1</v>
      </c>
      <c r="R928" s="14">
        <f>VLOOKUP($C928,Rotation!$A$2:$J$10,9,FALSE)</f>
        <v>0</v>
      </c>
      <c r="S928" s="14">
        <f>VLOOKUP($C928,Rotation!$A$2:$J$10,10,FALSE)</f>
        <v>0</v>
      </c>
    </row>
    <row r="929" spans="1:19" ht="18">
      <c r="A929" s="14">
        <v>927</v>
      </c>
      <c r="B929" s="14" t="s">
        <v>99</v>
      </c>
      <c r="C929" s="14" t="str">
        <f>VLOOKUP(B929,Family!B:C,2,FALSE)</f>
        <v>N</v>
      </c>
      <c r="D929" s="15">
        <v>19</v>
      </c>
      <c r="E929" s="14">
        <f>ROUND(VLOOKUP(C929,'Production Plan'!A:B,2,FALSE),2)</f>
        <v>334.18</v>
      </c>
      <c r="F929" s="16">
        <v>45905</v>
      </c>
      <c r="G929" s="17">
        <f>F929+6*7</f>
        <v>45947</v>
      </c>
      <c r="H929" s="14">
        <f>G929-F929</f>
        <v>42</v>
      </c>
      <c r="I929" s="14">
        <f>ROUND(D929/E929,3)</f>
        <v>5.7000000000000002E-2</v>
      </c>
      <c r="J929" s="14">
        <f>I929*24</f>
        <v>1.3680000000000001</v>
      </c>
      <c r="K929" s="14">
        <f>VLOOKUP($C929,Rotation!$A$2:$J$10,2,FALSE)</f>
        <v>1</v>
      </c>
      <c r="L929" s="14">
        <f>VLOOKUP($C929,Rotation!$A$2:$J$10,3,FALSE)</f>
        <v>0</v>
      </c>
      <c r="M929" s="14">
        <f>VLOOKUP($C929,Rotation!$A$2:$J$10,4,FALSE)</f>
        <v>0</v>
      </c>
      <c r="N929" s="14">
        <f>VLOOKUP($C929,Rotation!$A$2:$J$10,5,FALSE)</f>
        <v>0</v>
      </c>
      <c r="O929" s="14">
        <f>VLOOKUP($C929,Rotation!$A$2:$J$10,6,FALSE)</f>
        <v>0</v>
      </c>
      <c r="P929" s="14">
        <f>VLOOKUP($C929,Rotation!$A$2:$J$10,7,FALSE)</f>
        <v>0</v>
      </c>
      <c r="Q929" s="14">
        <f>VLOOKUP($C929,Rotation!$A$2:$J$10,8,FALSE)</f>
        <v>1</v>
      </c>
      <c r="R929" s="14">
        <f>VLOOKUP($C929,Rotation!$A$2:$J$10,9,FALSE)</f>
        <v>0</v>
      </c>
      <c r="S929" s="14">
        <f>VLOOKUP($C929,Rotation!$A$2:$J$10,10,FALSE)</f>
        <v>0</v>
      </c>
    </row>
    <row r="930" spans="1:19" ht="18">
      <c r="A930" s="14">
        <v>928</v>
      </c>
      <c r="B930" s="14" t="s">
        <v>99</v>
      </c>
      <c r="C930" s="14" t="str">
        <f>VLOOKUP(B930,Family!B:C,2,FALSE)</f>
        <v>N</v>
      </c>
      <c r="D930" s="15">
        <v>19</v>
      </c>
      <c r="E930" s="14">
        <f>ROUND(VLOOKUP(C930,'Production Plan'!A:B,2,FALSE),2)</f>
        <v>334.18</v>
      </c>
      <c r="F930" s="16">
        <v>45905</v>
      </c>
      <c r="G930" s="17">
        <f>F930+6*7</f>
        <v>45947</v>
      </c>
      <c r="H930" s="14">
        <f>G930-F930</f>
        <v>42</v>
      </c>
      <c r="I930" s="14">
        <f>ROUND(D930/E930,3)</f>
        <v>5.7000000000000002E-2</v>
      </c>
      <c r="J930" s="14">
        <f>I930*24</f>
        <v>1.3680000000000001</v>
      </c>
      <c r="K930" s="14">
        <f>VLOOKUP($C930,Rotation!$A$2:$J$10,2,FALSE)</f>
        <v>1</v>
      </c>
      <c r="L930" s="14">
        <f>VLOOKUP($C930,Rotation!$A$2:$J$10,3,FALSE)</f>
        <v>0</v>
      </c>
      <c r="M930" s="14">
        <f>VLOOKUP($C930,Rotation!$A$2:$J$10,4,FALSE)</f>
        <v>0</v>
      </c>
      <c r="N930" s="14">
        <f>VLOOKUP($C930,Rotation!$A$2:$J$10,5,FALSE)</f>
        <v>0</v>
      </c>
      <c r="O930" s="14">
        <f>VLOOKUP($C930,Rotation!$A$2:$J$10,6,FALSE)</f>
        <v>0</v>
      </c>
      <c r="P930" s="14">
        <f>VLOOKUP($C930,Rotation!$A$2:$J$10,7,FALSE)</f>
        <v>0</v>
      </c>
      <c r="Q930" s="14">
        <f>VLOOKUP($C930,Rotation!$A$2:$J$10,8,FALSE)</f>
        <v>1</v>
      </c>
      <c r="R930" s="14">
        <f>VLOOKUP($C930,Rotation!$A$2:$J$10,9,FALSE)</f>
        <v>0</v>
      </c>
      <c r="S930" s="14">
        <f>VLOOKUP($C930,Rotation!$A$2:$J$10,10,FALSE)</f>
        <v>0</v>
      </c>
    </row>
    <row r="931" spans="1:19" ht="18">
      <c r="A931" s="14">
        <v>929</v>
      </c>
      <c r="B931" s="14" t="s">
        <v>99</v>
      </c>
      <c r="C931" s="14" t="str">
        <f>VLOOKUP(B931,Family!B:C,2,FALSE)</f>
        <v>N</v>
      </c>
      <c r="D931" s="15">
        <v>19</v>
      </c>
      <c r="E931" s="14">
        <f>ROUND(VLOOKUP(C931,'Production Plan'!A:B,2,FALSE),2)</f>
        <v>334.18</v>
      </c>
      <c r="F931" s="16">
        <v>45905</v>
      </c>
      <c r="G931" s="17">
        <f>F931+6*7</f>
        <v>45947</v>
      </c>
      <c r="H931" s="14">
        <f>G931-F931</f>
        <v>42</v>
      </c>
      <c r="I931" s="14">
        <f>ROUND(D931/E931,3)</f>
        <v>5.7000000000000002E-2</v>
      </c>
      <c r="J931" s="14">
        <f>I931*24</f>
        <v>1.3680000000000001</v>
      </c>
      <c r="K931" s="14">
        <f>VLOOKUP($C931,Rotation!$A$2:$J$10,2,FALSE)</f>
        <v>1</v>
      </c>
      <c r="L931" s="14">
        <f>VLOOKUP($C931,Rotation!$A$2:$J$10,3,FALSE)</f>
        <v>0</v>
      </c>
      <c r="M931" s="14">
        <f>VLOOKUP($C931,Rotation!$A$2:$J$10,4,FALSE)</f>
        <v>0</v>
      </c>
      <c r="N931" s="14">
        <f>VLOOKUP($C931,Rotation!$A$2:$J$10,5,FALSE)</f>
        <v>0</v>
      </c>
      <c r="O931" s="14">
        <f>VLOOKUP($C931,Rotation!$A$2:$J$10,6,FALSE)</f>
        <v>0</v>
      </c>
      <c r="P931" s="14">
        <f>VLOOKUP($C931,Rotation!$A$2:$J$10,7,FALSE)</f>
        <v>0</v>
      </c>
      <c r="Q931" s="14">
        <f>VLOOKUP($C931,Rotation!$A$2:$J$10,8,FALSE)</f>
        <v>1</v>
      </c>
      <c r="R931" s="14">
        <f>VLOOKUP($C931,Rotation!$A$2:$J$10,9,FALSE)</f>
        <v>0</v>
      </c>
      <c r="S931" s="14">
        <f>VLOOKUP($C931,Rotation!$A$2:$J$10,10,FALSE)</f>
        <v>0</v>
      </c>
    </row>
    <row r="932" spans="1:19" ht="18">
      <c r="A932" s="14">
        <v>930</v>
      </c>
      <c r="B932" s="14" t="s">
        <v>99</v>
      </c>
      <c r="C932" s="14" t="str">
        <f>VLOOKUP(B932,Family!B:C,2,FALSE)</f>
        <v>N</v>
      </c>
      <c r="D932" s="15">
        <v>19</v>
      </c>
      <c r="E932" s="14">
        <f>ROUND(VLOOKUP(C932,'Production Plan'!A:B,2,FALSE),2)</f>
        <v>334.18</v>
      </c>
      <c r="F932" s="16">
        <v>45905</v>
      </c>
      <c r="G932" s="17">
        <f>F932+6*7</f>
        <v>45947</v>
      </c>
      <c r="H932" s="14">
        <f>G932-F932</f>
        <v>42</v>
      </c>
      <c r="I932" s="14">
        <f>ROUND(D932/E932,3)</f>
        <v>5.7000000000000002E-2</v>
      </c>
      <c r="J932" s="14">
        <f>I932*24</f>
        <v>1.3680000000000001</v>
      </c>
      <c r="K932" s="14">
        <f>VLOOKUP($C932,Rotation!$A$2:$J$10,2,FALSE)</f>
        <v>1</v>
      </c>
      <c r="L932" s="14">
        <f>VLOOKUP($C932,Rotation!$A$2:$J$10,3,FALSE)</f>
        <v>0</v>
      </c>
      <c r="M932" s="14">
        <f>VLOOKUP($C932,Rotation!$A$2:$J$10,4,FALSE)</f>
        <v>0</v>
      </c>
      <c r="N932" s="14">
        <f>VLOOKUP($C932,Rotation!$A$2:$J$10,5,FALSE)</f>
        <v>0</v>
      </c>
      <c r="O932" s="14">
        <f>VLOOKUP($C932,Rotation!$A$2:$J$10,6,FALSE)</f>
        <v>0</v>
      </c>
      <c r="P932" s="14">
        <f>VLOOKUP($C932,Rotation!$A$2:$J$10,7,FALSE)</f>
        <v>0</v>
      </c>
      <c r="Q932" s="14">
        <f>VLOOKUP($C932,Rotation!$A$2:$J$10,8,FALSE)</f>
        <v>1</v>
      </c>
      <c r="R932" s="14">
        <f>VLOOKUP($C932,Rotation!$A$2:$J$10,9,FALSE)</f>
        <v>0</v>
      </c>
      <c r="S932" s="14">
        <f>VLOOKUP($C932,Rotation!$A$2:$J$10,10,FALSE)</f>
        <v>0</v>
      </c>
    </row>
    <row r="933" spans="1:19" ht="18">
      <c r="A933" s="14">
        <v>931</v>
      </c>
      <c r="B933" s="14" t="s">
        <v>113</v>
      </c>
      <c r="C933" s="14" t="str">
        <f>VLOOKUP(B933,Family!B:C,2,FALSE)</f>
        <v>P</v>
      </c>
      <c r="D933" s="15">
        <v>195</v>
      </c>
      <c r="E933" s="14">
        <f>ROUND(VLOOKUP(C933,'Production Plan'!A:B,2,FALSE),2)</f>
        <v>409.15</v>
      </c>
      <c r="F933" s="16">
        <v>45778</v>
      </c>
      <c r="G933" s="17">
        <f>F933+6*7</f>
        <v>45820</v>
      </c>
      <c r="H933" s="14">
        <f>G933-F933</f>
        <v>42</v>
      </c>
      <c r="I933" s="14">
        <f>ROUND(D933/E933,3)</f>
        <v>0.47699999999999998</v>
      </c>
      <c r="J933" s="14">
        <f>I933*24</f>
        <v>11.448</v>
      </c>
      <c r="K933" s="14">
        <f>VLOOKUP($C933,Rotation!$A$2:$J$10,2,FALSE)</f>
        <v>1</v>
      </c>
      <c r="L933" s="14">
        <f>VLOOKUP($C933,Rotation!$A$2:$J$10,3,FALSE)</f>
        <v>1</v>
      </c>
      <c r="M933" s="14">
        <f>VLOOKUP($C933,Rotation!$A$2:$J$10,4,FALSE)</f>
        <v>0</v>
      </c>
      <c r="N933" s="14">
        <f>VLOOKUP($C933,Rotation!$A$2:$J$10,5,FALSE)</f>
        <v>0</v>
      </c>
      <c r="O933" s="14">
        <f>VLOOKUP($C933,Rotation!$A$2:$J$10,6,FALSE)</f>
        <v>0</v>
      </c>
      <c r="P933" s="14">
        <f>VLOOKUP($C933,Rotation!$A$2:$J$10,7,FALSE)</f>
        <v>0</v>
      </c>
      <c r="Q933" s="14">
        <f>VLOOKUP($C933,Rotation!$A$2:$J$10,8,FALSE)</f>
        <v>0</v>
      </c>
      <c r="R933" s="14">
        <f>VLOOKUP($C933,Rotation!$A$2:$J$10,9,FALSE)</f>
        <v>0</v>
      </c>
      <c r="S933" s="14">
        <f>VLOOKUP($C933,Rotation!$A$2:$J$10,10,FALSE)</f>
        <v>0</v>
      </c>
    </row>
    <row r="934" spans="1:19" ht="18">
      <c r="A934" s="14">
        <v>932</v>
      </c>
      <c r="B934" s="14" t="s">
        <v>70</v>
      </c>
      <c r="C934" s="14" t="str">
        <f>VLOOKUP(B934,Family!B:C,2,FALSE)</f>
        <v>A</v>
      </c>
      <c r="D934" s="15">
        <v>198</v>
      </c>
      <c r="E934" s="14">
        <f>ROUND(VLOOKUP(C934,'Production Plan'!A:B,2,FALSE),2)</f>
        <v>407.17</v>
      </c>
      <c r="F934" s="16">
        <v>45798</v>
      </c>
      <c r="G934" s="17">
        <f>F934+6*7</f>
        <v>45840</v>
      </c>
      <c r="H934" s="14">
        <f>G934-F934</f>
        <v>42</v>
      </c>
      <c r="I934" s="14">
        <f>ROUND(D934/E934,3)</f>
        <v>0.48599999999999999</v>
      </c>
      <c r="J934" s="14">
        <f>I934*24</f>
        <v>11.664</v>
      </c>
      <c r="K934" s="14">
        <f>VLOOKUP($C934,Rotation!$A$2:$J$10,2,FALSE)</f>
        <v>1</v>
      </c>
      <c r="L934" s="14">
        <f>VLOOKUP($C934,Rotation!$A$2:$J$10,3,FALSE)</f>
        <v>1</v>
      </c>
      <c r="M934" s="14">
        <f>VLOOKUP($C934,Rotation!$A$2:$J$10,4,FALSE)</f>
        <v>1</v>
      </c>
      <c r="N934" s="14">
        <f>VLOOKUP($C934,Rotation!$A$2:$J$10,5,FALSE)</f>
        <v>0</v>
      </c>
      <c r="O934" s="14">
        <f>VLOOKUP($C934,Rotation!$A$2:$J$10,6,FALSE)</f>
        <v>0</v>
      </c>
      <c r="P934" s="14">
        <f>VLOOKUP($C934,Rotation!$A$2:$J$10,7,FALSE)</f>
        <v>0</v>
      </c>
      <c r="Q934" s="14">
        <f>VLOOKUP($C934,Rotation!$A$2:$J$10,8,FALSE)</f>
        <v>0</v>
      </c>
      <c r="R934" s="14">
        <f>VLOOKUP($C934,Rotation!$A$2:$J$10,9,FALSE)</f>
        <v>0</v>
      </c>
      <c r="S934" s="14">
        <f>VLOOKUP($C934,Rotation!$A$2:$J$10,10,FALSE)</f>
        <v>0</v>
      </c>
    </row>
    <row r="935" spans="1:19" ht="18">
      <c r="A935" s="14">
        <v>933</v>
      </c>
      <c r="B935" s="14" t="s">
        <v>71</v>
      </c>
      <c r="C935" s="14" t="str">
        <f>VLOOKUP(B935,Family!B:C,2,FALSE)</f>
        <v>A</v>
      </c>
      <c r="D935" s="15">
        <v>391</v>
      </c>
      <c r="E935" s="14">
        <f>ROUND(VLOOKUP(C935,'Production Plan'!A:B,2,FALSE),2)</f>
        <v>407.17</v>
      </c>
      <c r="F935" s="16">
        <v>45862</v>
      </c>
      <c r="G935" s="17">
        <f>F935+6*7</f>
        <v>45904</v>
      </c>
      <c r="H935" s="14">
        <f>G935-F935</f>
        <v>42</v>
      </c>
      <c r="I935" s="14">
        <f>ROUND(D935/E935,3)</f>
        <v>0.96</v>
      </c>
      <c r="J935" s="14">
        <f>I935*24</f>
        <v>23.04</v>
      </c>
      <c r="K935" s="14">
        <f>VLOOKUP($C935,Rotation!$A$2:$J$10,2,FALSE)</f>
        <v>1</v>
      </c>
      <c r="L935" s="14">
        <f>VLOOKUP($C935,Rotation!$A$2:$J$10,3,FALSE)</f>
        <v>1</v>
      </c>
      <c r="M935" s="14">
        <f>VLOOKUP($C935,Rotation!$A$2:$J$10,4,FALSE)</f>
        <v>1</v>
      </c>
      <c r="N935" s="14">
        <f>VLOOKUP($C935,Rotation!$A$2:$J$10,5,FALSE)</f>
        <v>0</v>
      </c>
      <c r="O935" s="14">
        <f>VLOOKUP($C935,Rotation!$A$2:$J$10,6,FALSE)</f>
        <v>0</v>
      </c>
      <c r="P935" s="14">
        <f>VLOOKUP($C935,Rotation!$A$2:$J$10,7,FALSE)</f>
        <v>0</v>
      </c>
      <c r="Q935" s="14">
        <f>VLOOKUP($C935,Rotation!$A$2:$J$10,8,FALSE)</f>
        <v>0</v>
      </c>
      <c r="R935" s="14">
        <f>VLOOKUP($C935,Rotation!$A$2:$J$10,9,FALSE)</f>
        <v>0</v>
      </c>
      <c r="S935" s="14">
        <f>VLOOKUP($C935,Rotation!$A$2:$J$10,10,FALSE)</f>
        <v>0</v>
      </c>
    </row>
    <row r="936" spans="1:19" ht="18">
      <c r="A936" s="14">
        <v>934</v>
      </c>
      <c r="B936" s="14" t="s">
        <v>71</v>
      </c>
      <c r="C936" s="14" t="str">
        <f>VLOOKUP(B936,Family!B:C,2,FALSE)</f>
        <v>A</v>
      </c>
      <c r="D936" s="15">
        <v>24</v>
      </c>
      <c r="E936" s="14">
        <f>ROUND(VLOOKUP(C936,'Production Plan'!A:B,2,FALSE),2)</f>
        <v>407.17</v>
      </c>
      <c r="F936" s="16">
        <v>45895</v>
      </c>
      <c r="G936" s="17">
        <f>F936+6*7</f>
        <v>45937</v>
      </c>
      <c r="H936" s="14">
        <f>G936-F936</f>
        <v>42</v>
      </c>
      <c r="I936" s="14">
        <f>ROUND(D936/E936,3)</f>
        <v>5.8999999999999997E-2</v>
      </c>
      <c r="J936" s="14">
        <f>I936*24</f>
        <v>1.4159999999999999</v>
      </c>
      <c r="K936" s="14">
        <f>VLOOKUP($C936,Rotation!$A$2:$J$10,2,FALSE)</f>
        <v>1</v>
      </c>
      <c r="L936" s="14">
        <f>VLOOKUP($C936,Rotation!$A$2:$J$10,3,FALSE)</f>
        <v>1</v>
      </c>
      <c r="M936" s="14">
        <f>VLOOKUP($C936,Rotation!$A$2:$J$10,4,FALSE)</f>
        <v>1</v>
      </c>
      <c r="N936" s="14">
        <f>VLOOKUP($C936,Rotation!$A$2:$J$10,5,FALSE)</f>
        <v>0</v>
      </c>
      <c r="O936" s="14">
        <f>VLOOKUP($C936,Rotation!$A$2:$J$10,6,FALSE)</f>
        <v>0</v>
      </c>
      <c r="P936" s="14">
        <f>VLOOKUP($C936,Rotation!$A$2:$J$10,7,FALSE)</f>
        <v>0</v>
      </c>
      <c r="Q936" s="14">
        <f>VLOOKUP($C936,Rotation!$A$2:$J$10,8,FALSE)</f>
        <v>0</v>
      </c>
      <c r="R936" s="14">
        <f>VLOOKUP($C936,Rotation!$A$2:$J$10,9,FALSE)</f>
        <v>0</v>
      </c>
      <c r="S936" s="14">
        <f>VLOOKUP($C936,Rotation!$A$2:$J$10,10,FALSE)</f>
        <v>0</v>
      </c>
    </row>
    <row r="937" spans="1:19" ht="18">
      <c r="A937" s="14">
        <v>935</v>
      </c>
      <c r="B937" s="14" t="s">
        <v>71</v>
      </c>
      <c r="C937" s="14" t="str">
        <f>VLOOKUP(B937,Family!B:C,2,FALSE)</f>
        <v>A</v>
      </c>
      <c r="D937" s="15">
        <v>391</v>
      </c>
      <c r="E937" s="14">
        <f>ROUND(VLOOKUP(C937,'Production Plan'!A:B,2,FALSE),2)</f>
        <v>407.17</v>
      </c>
      <c r="F937" s="16">
        <v>45862</v>
      </c>
      <c r="G937" s="17">
        <f>F937+6*7</f>
        <v>45904</v>
      </c>
      <c r="H937" s="14">
        <f>G937-F937</f>
        <v>42</v>
      </c>
      <c r="I937" s="14">
        <f>ROUND(D937/E937,3)</f>
        <v>0.96</v>
      </c>
      <c r="J937" s="14">
        <f>I937*24</f>
        <v>23.04</v>
      </c>
      <c r="K937" s="14">
        <f>VLOOKUP($C937,Rotation!$A$2:$J$10,2,FALSE)</f>
        <v>1</v>
      </c>
      <c r="L937" s="14">
        <f>VLOOKUP($C937,Rotation!$A$2:$J$10,3,FALSE)</f>
        <v>1</v>
      </c>
      <c r="M937" s="14">
        <f>VLOOKUP($C937,Rotation!$A$2:$J$10,4,FALSE)</f>
        <v>1</v>
      </c>
      <c r="N937" s="14">
        <f>VLOOKUP($C937,Rotation!$A$2:$J$10,5,FALSE)</f>
        <v>0</v>
      </c>
      <c r="O937" s="14">
        <f>VLOOKUP($C937,Rotation!$A$2:$J$10,6,FALSE)</f>
        <v>0</v>
      </c>
      <c r="P937" s="14">
        <f>VLOOKUP($C937,Rotation!$A$2:$J$10,7,FALSE)</f>
        <v>0</v>
      </c>
      <c r="Q937" s="14">
        <f>VLOOKUP($C937,Rotation!$A$2:$J$10,8,FALSE)</f>
        <v>0</v>
      </c>
      <c r="R937" s="14">
        <f>VLOOKUP($C937,Rotation!$A$2:$J$10,9,FALSE)</f>
        <v>0</v>
      </c>
      <c r="S937" s="14">
        <f>VLOOKUP($C937,Rotation!$A$2:$J$10,10,FALSE)</f>
        <v>0</v>
      </c>
    </row>
    <row r="938" spans="1:19" ht="18">
      <c r="A938" s="14">
        <v>936</v>
      </c>
      <c r="B938" s="14" t="s">
        <v>71</v>
      </c>
      <c r="C938" s="14" t="str">
        <f>VLOOKUP(B938,Family!B:C,2,FALSE)</f>
        <v>A</v>
      </c>
      <c r="D938" s="15">
        <v>391</v>
      </c>
      <c r="E938" s="14">
        <f>ROUND(VLOOKUP(C938,'Production Plan'!A:B,2,FALSE),2)</f>
        <v>407.17</v>
      </c>
      <c r="F938" s="16">
        <v>45862</v>
      </c>
      <c r="G938" s="17">
        <f>F938+6*7</f>
        <v>45904</v>
      </c>
      <c r="H938" s="14">
        <f>G938-F938</f>
        <v>42</v>
      </c>
      <c r="I938" s="14">
        <f>ROUND(D938/E938,3)</f>
        <v>0.96</v>
      </c>
      <c r="J938" s="14">
        <f>I938*24</f>
        <v>23.04</v>
      </c>
      <c r="K938" s="14">
        <f>VLOOKUP($C938,Rotation!$A$2:$J$10,2,FALSE)</f>
        <v>1</v>
      </c>
      <c r="L938" s="14">
        <f>VLOOKUP($C938,Rotation!$A$2:$J$10,3,FALSE)</f>
        <v>1</v>
      </c>
      <c r="M938" s="14">
        <f>VLOOKUP($C938,Rotation!$A$2:$J$10,4,FALSE)</f>
        <v>1</v>
      </c>
      <c r="N938" s="14">
        <f>VLOOKUP($C938,Rotation!$A$2:$J$10,5,FALSE)</f>
        <v>0</v>
      </c>
      <c r="O938" s="14">
        <f>VLOOKUP($C938,Rotation!$A$2:$J$10,6,FALSE)</f>
        <v>0</v>
      </c>
      <c r="P938" s="14">
        <f>VLOOKUP($C938,Rotation!$A$2:$J$10,7,FALSE)</f>
        <v>0</v>
      </c>
      <c r="Q938" s="14">
        <f>VLOOKUP($C938,Rotation!$A$2:$J$10,8,FALSE)</f>
        <v>0</v>
      </c>
      <c r="R938" s="14">
        <f>VLOOKUP($C938,Rotation!$A$2:$J$10,9,FALSE)</f>
        <v>0</v>
      </c>
      <c r="S938" s="14">
        <f>VLOOKUP($C938,Rotation!$A$2:$J$10,10,FALSE)</f>
        <v>0</v>
      </c>
    </row>
    <row r="939" spans="1:19" ht="18">
      <c r="A939" s="14">
        <v>937</v>
      </c>
      <c r="B939" s="14" t="s">
        <v>80</v>
      </c>
      <c r="C939" s="14" t="str">
        <f>VLOOKUP(B939,Family!B:C,2,FALSE)</f>
        <v>C</v>
      </c>
      <c r="D939" s="15">
        <v>19</v>
      </c>
      <c r="E939" s="14">
        <f>ROUND(VLOOKUP(C939,'Production Plan'!A:B,2,FALSE),2)</f>
        <v>411.11</v>
      </c>
      <c r="F939" s="16">
        <v>45862</v>
      </c>
      <c r="G939" s="17">
        <f>F939+6*7</f>
        <v>45904</v>
      </c>
      <c r="H939" s="14">
        <f>G939-F939</f>
        <v>42</v>
      </c>
      <c r="I939" s="14">
        <f>ROUND(D939/E939,3)</f>
        <v>4.5999999999999999E-2</v>
      </c>
      <c r="J939" s="14">
        <f>I939*24</f>
        <v>1.1040000000000001</v>
      </c>
      <c r="K939" s="14">
        <f>VLOOKUP($C939,Rotation!$A$2:$J$10,2,FALSE)</f>
        <v>1</v>
      </c>
      <c r="L939" s="14">
        <f>VLOOKUP($C939,Rotation!$A$2:$J$10,3,FALSE)</f>
        <v>0</v>
      </c>
      <c r="M939" s="14">
        <f>VLOOKUP($C939,Rotation!$A$2:$J$10,4,FALSE)</f>
        <v>0</v>
      </c>
      <c r="N939" s="14">
        <f>VLOOKUP($C939,Rotation!$A$2:$J$10,5,FALSE)</f>
        <v>0</v>
      </c>
      <c r="O939" s="14">
        <f>VLOOKUP($C939,Rotation!$A$2:$J$10,6,FALSE)</f>
        <v>1</v>
      </c>
      <c r="P939" s="14">
        <f>VLOOKUP($C939,Rotation!$A$2:$J$10,7,FALSE)</f>
        <v>0</v>
      </c>
      <c r="Q939" s="14">
        <f>VLOOKUP($C939,Rotation!$A$2:$J$10,8,FALSE)</f>
        <v>0</v>
      </c>
      <c r="R939" s="14">
        <f>VLOOKUP($C939,Rotation!$A$2:$J$10,9,FALSE)</f>
        <v>0</v>
      </c>
      <c r="S939" s="14">
        <f>VLOOKUP($C939,Rotation!$A$2:$J$10,10,FALSE)</f>
        <v>0</v>
      </c>
    </row>
    <row r="940" spans="1:19" ht="18">
      <c r="A940" s="14">
        <v>938</v>
      </c>
      <c r="B940" s="14" t="s">
        <v>111</v>
      </c>
      <c r="C940" s="14" t="str">
        <f>VLOOKUP(B940,Family!B:C,2,FALSE)</f>
        <v>N</v>
      </c>
      <c r="D940" s="15">
        <v>67</v>
      </c>
      <c r="E940" s="14">
        <f>ROUND(VLOOKUP(C940,'Production Plan'!A:B,2,FALSE),2)</f>
        <v>334.18</v>
      </c>
      <c r="F940" s="16">
        <v>45848</v>
      </c>
      <c r="G940" s="17">
        <f>F940+6*7</f>
        <v>45890</v>
      </c>
      <c r="H940" s="14">
        <f>G940-F940</f>
        <v>42</v>
      </c>
      <c r="I940" s="14">
        <f>ROUND(D940/E940,3)</f>
        <v>0.2</v>
      </c>
      <c r="J940" s="14">
        <f>I940*24</f>
        <v>4.8000000000000007</v>
      </c>
      <c r="K940" s="14">
        <f>VLOOKUP($C940,Rotation!$A$2:$J$10,2,FALSE)</f>
        <v>1</v>
      </c>
      <c r="L940" s="14">
        <f>VLOOKUP($C940,Rotation!$A$2:$J$10,3,FALSE)</f>
        <v>0</v>
      </c>
      <c r="M940" s="14">
        <f>VLOOKUP($C940,Rotation!$A$2:$J$10,4,FALSE)</f>
        <v>0</v>
      </c>
      <c r="N940" s="14">
        <f>VLOOKUP($C940,Rotation!$A$2:$J$10,5,FALSE)</f>
        <v>0</v>
      </c>
      <c r="O940" s="14">
        <f>VLOOKUP($C940,Rotation!$A$2:$J$10,6,FALSE)</f>
        <v>0</v>
      </c>
      <c r="P940" s="14">
        <f>VLOOKUP($C940,Rotation!$A$2:$J$10,7,FALSE)</f>
        <v>0</v>
      </c>
      <c r="Q940" s="14">
        <f>VLOOKUP($C940,Rotation!$A$2:$J$10,8,FALSE)</f>
        <v>1</v>
      </c>
      <c r="R940" s="14">
        <f>VLOOKUP($C940,Rotation!$A$2:$J$10,9,FALSE)</f>
        <v>0</v>
      </c>
      <c r="S940" s="14">
        <f>VLOOKUP($C940,Rotation!$A$2:$J$10,10,FALSE)</f>
        <v>0</v>
      </c>
    </row>
    <row r="941" spans="1:19" ht="18">
      <c r="A941" s="14">
        <v>939</v>
      </c>
      <c r="B941" s="14" t="s">
        <v>98</v>
      </c>
      <c r="C941" s="14" t="str">
        <f>VLOOKUP(B941,Family!B:C,2,FALSE)</f>
        <v>H</v>
      </c>
      <c r="D941" s="15">
        <v>19</v>
      </c>
      <c r="E941" s="14">
        <f>ROUND(VLOOKUP(C941,'Production Plan'!A:B,2,FALSE),2)</f>
        <v>402.02</v>
      </c>
      <c r="F941" s="16">
        <v>45790</v>
      </c>
      <c r="G941" s="17">
        <f>F941+6*7</f>
        <v>45832</v>
      </c>
      <c r="H941" s="14">
        <f>G941-F941</f>
        <v>42</v>
      </c>
      <c r="I941" s="14">
        <f>ROUND(D941/E941,3)</f>
        <v>4.7E-2</v>
      </c>
      <c r="J941" s="14">
        <f>I941*24</f>
        <v>1.1280000000000001</v>
      </c>
      <c r="K941" s="14">
        <f>VLOOKUP($C941,Rotation!$A$2:$J$10,2,FALSE)</f>
        <v>0</v>
      </c>
      <c r="L941" s="14">
        <f>VLOOKUP($C941,Rotation!$A$2:$J$10,3,FALSE)</f>
        <v>0</v>
      </c>
      <c r="M941" s="14">
        <f>VLOOKUP($C941,Rotation!$A$2:$J$10,4,FALSE)</f>
        <v>1</v>
      </c>
      <c r="N941" s="14">
        <f>VLOOKUP($C941,Rotation!$A$2:$J$10,5,FALSE)</f>
        <v>1</v>
      </c>
      <c r="O941" s="14">
        <f>VLOOKUP($C941,Rotation!$A$2:$J$10,6,FALSE)</f>
        <v>0</v>
      </c>
      <c r="P941" s="14">
        <f>VLOOKUP($C941,Rotation!$A$2:$J$10,7,FALSE)</f>
        <v>0</v>
      </c>
      <c r="Q941" s="14">
        <f>VLOOKUP($C941,Rotation!$A$2:$J$10,8,FALSE)</f>
        <v>0</v>
      </c>
      <c r="R941" s="14">
        <f>VLOOKUP($C941,Rotation!$A$2:$J$10,9,FALSE)</f>
        <v>0</v>
      </c>
      <c r="S941" s="14">
        <f>VLOOKUP($C941,Rotation!$A$2:$J$10,10,FALSE)</f>
        <v>0</v>
      </c>
    </row>
    <row r="942" spans="1:19" ht="18">
      <c r="A942" s="14">
        <v>940</v>
      </c>
      <c r="B942" s="14" t="s">
        <v>77</v>
      </c>
      <c r="C942" s="14" t="str">
        <f>VLOOKUP(B942,Family!B:C,2,FALSE)</f>
        <v>E</v>
      </c>
      <c r="D942" s="15">
        <v>18</v>
      </c>
      <c r="E942" s="14">
        <f>ROUND(VLOOKUP(C942,'Production Plan'!A:B,2,FALSE),2)</f>
        <v>333.66</v>
      </c>
      <c r="F942" s="16">
        <v>45904</v>
      </c>
      <c r="G942" s="17">
        <f>F942+6*7</f>
        <v>45946</v>
      </c>
      <c r="H942" s="14">
        <f>G942-F942</f>
        <v>42</v>
      </c>
      <c r="I942" s="14">
        <f>ROUND(D942/E942,3)</f>
        <v>5.3999999999999999E-2</v>
      </c>
      <c r="J942" s="14">
        <f>I942*24</f>
        <v>1.296</v>
      </c>
      <c r="K942" s="14">
        <f>VLOOKUP($C942,Rotation!$A$2:$J$10,2,FALSE)</f>
        <v>1</v>
      </c>
      <c r="L942" s="14">
        <f>VLOOKUP($C942,Rotation!$A$2:$J$10,3,FALSE)</f>
        <v>0</v>
      </c>
      <c r="M942" s="14">
        <f>VLOOKUP($C942,Rotation!$A$2:$J$10,4,FALSE)</f>
        <v>0</v>
      </c>
      <c r="N942" s="14">
        <f>VLOOKUP($C942,Rotation!$A$2:$J$10,5,FALSE)</f>
        <v>0</v>
      </c>
      <c r="O942" s="14">
        <f>VLOOKUP($C942,Rotation!$A$2:$J$10,6,FALSE)</f>
        <v>0</v>
      </c>
      <c r="P942" s="14">
        <f>VLOOKUP($C942,Rotation!$A$2:$J$10,7,FALSE)</f>
        <v>1</v>
      </c>
      <c r="Q942" s="14">
        <f>VLOOKUP($C942,Rotation!$A$2:$J$10,8,FALSE)</f>
        <v>0</v>
      </c>
      <c r="R942" s="14">
        <f>VLOOKUP($C942,Rotation!$A$2:$J$10,9,FALSE)</f>
        <v>0</v>
      </c>
      <c r="S942" s="14">
        <f>VLOOKUP($C942,Rotation!$A$2:$J$10,10,FALSE)</f>
        <v>0</v>
      </c>
    </row>
    <row r="943" spans="1:19" ht="18">
      <c r="A943" s="14">
        <v>941</v>
      </c>
      <c r="B943" s="14" t="s">
        <v>99</v>
      </c>
      <c r="C943" s="14" t="str">
        <f>VLOOKUP(B943,Family!B:C,2,FALSE)</f>
        <v>N</v>
      </c>
      <c r="D943" s="15">
        <v>238</v>
      </c>
      <c r="E943" s="14">
        <f>ROUND(VLOOKUP(C943,'Production Plan'!A:B,2,FALSE),2)</f>
        <v>334.18</v>
      </c>
      <c r="F943" s="16">
        <v>45868</v>
      </c>
      <c r="G943" s="17">
        <f>F943+6*7</f>
        <v>45910</v>
      </c>
      <c r="H943" s="14">
        <f>G943-F943</f>
        <v>42</v>
      </c>
      <c r="I943" s="14">
        <f>ROUND(D943/E943,3)</f>
        <v>0.71199999999999997</v>
      </c>
      <c r="J943" s="14">
        <f>I943*24</f>
        <v>17.088000000000001</v>
      </c>
      <c r="K943" s="14">
        <f>VLOOKUP($C943,Rotation!$A$2:$J$10,2,FALSE)</f>
        <v>1</v>
      </c>
      <c r="L943" s="14">
        <f>VLOOKUP($C943,Rotation!$A$2:$J$10,3,FALSE)</f>
        <v>0</v>
      </c>
      <c r="M943" s="14">
        <f>VLOOKUP($C943,Rotation!$A$2:$J$10,4,FALSE)</f>
        <v>0</v>
      </c>
      <c r="N943" s="14">
        <f>VLOOKUP($C943,Rotation!$A$2:$J$10,5,FALSE)</f>
        <v>0</v>
      </c>
      <c r="O943" s="14">
        <f>VLOOKUP($C943,Rotation!$A$2:$J$10,6,FALSE)</f>
        <v>0</v>
      </c>
      <c r="P943" s="14">
        <f>VLOOKUP($C943,Rotation!$A$2:$J$10,7,FALSE)</f>
        <v>0</v>
      </c>
      <c r="Q943" s="14">
        <f>VLOOKUP($C943,Rotation!$A$2:$J$10,8,FALSE)</f>
        <v>1</v>
      </c>
      <c r="R943" s="14">
        <f>VLOOKUP($C943,Rotation!$A$2:$J$10,9,FALSE)</f>
        <v>0</v>
      </c>
      <c r="S943" s="14">
        <f>VLOOKUP($C943,Rotation!$A$2:$J$10,10,FALSE)</f>
        <v>0</v>
      </c>
    </row>
    <row r="944" spans="1:19" ht="18">
      <c r="A944" s="14">
        <v>942</v>
      </c>
      <c r="B944" s="14" t="s">
        <v>77</v>
      </c>
      <c r="C944" s="14" t="str">
        <f>VLOOKUP(B944,Family!B:C,2,FALSE)</f>
        <v>E</v>
      </c>
      <c r="D944" s="15">
        <v>18</v>
      </c>
      <c r="E944" s="14">
        <f>ROUND(VLOOKUP(C944,'Production Plan'!A:B,2,FALSE),2)</f>
        <v>333.66</v>
      </c>
      <c r="F944" s="16">
        <v>45880</v>
      </c>
      <c r="G944" s="17">
        <f>F944+6*7</f>
        <v>45922</v>
      </c>
      <c r="H944" s="14">
        <f>G944-F944</f>
        <v>42</v>
      </c>
      <c r="I944" s="14">
        <f>ROUND(D944/E944,3)</f>
        <v>5.3999999999999999E-2</v>
      </c>
      <c r="J944" s="14">
        <f>I944*24</f>
        <v>1.296</v>
      </c>
      <c r="K944" s="14">
        <f>VLOOKUP($C944,Rotation!$A$2:$J$10,2,FALSE)</f>
        <v>1</v>
      </c>
      <c r="L944" s="14">
        <f>VLOOKUP($C944,Rotation!$A$2:$J$10,3,FALSE)</f>
        <v>0</v>
      </c>
      <c r="M944" s="14">
        <f>VLOOKUP($C944,Rotation!$A$2:$J$10,4,FALSE)</f>
        <v>0</v>
      </c>
      <c r="N944" s="14">
        <f>VLOOKUP($C944,Rotation!$A$2:$J$10,5,FALSE)</f>
        <v>0</v>
      </c>
      <c r="O944" s="14">
        <f>VLOOKUP($C944,Rotation!$A$2:$J$10,6,FALSE)</f>
        <v>0</v>
      </c>
      <c r="P944" s="14">
        <f>VLOOKUP($C944,Rotation!$A$2:$J$10,7,FALSE)</f>
        <v>1</v>
      </c>
      <c r="Q944" s="14">
        <f>VLOOKUP($C944,Rotation!$A$2:$J$10,8,FALSE)</f>
        <v>0</v>
      </c>
      <c r="R944" s="14">
        <f>VLOOKUP($C944,Rotation!$A$2:$J$10,9,FALSE)</f>
        <v>0</v>
      </c>
      <c r="S944" s="14">
        <f>VLOOKUP($C944,Rotation!$A$2:$J$10,10,FALSE)</f>
        <v>0</v>
      </c>
    </row>
    <row r="945" spans="1:19" ht="18">
      <c r="A945" s="14">
        <v>943</v>
      </c>
      <c r="B945" s="14" t="s">
        <v>77</v>
      </c>
      <c r="C945" s="14" t="str">
        <f>VLOOKUP(B945,Family!B:C,2,FALSE)</f>
        <v>E</v>
      </c>
      <c r="D945" s="15">
        <v>18</v>
      </c>
      <c r="E945" s="14">
        <f>ROUND(VLOOKUP(C945,'Production Plan'!A:B,2,FALSE),2)</f>
        <v>333.66</v>
      </c>
      <c r="F945" s="16">
        <v>45880</v>
      </c>
      <c r="G945" s="17">
        <f>F945+6*7</f>
        <v>45922</v>
      </c>
      <c r="H945" s="14">
        <f>G945-F945</f>
        <v>42</v>
      </c>
      <c r="I945" s="14">
        <f>ROUND(D945/E945,3)</f>
        <v>5.3999999999999999E-2</v>
      </c>
      <c r="J945" s="14">
        <f>I945*24</f>
        <v>1.296</v>
      </c>
      <c r="K945" s="14">
        <f>VLOOKUP($C945,Rotation!$A$2:$J$10,2,FALSE)</f>
        <v>1</v>
      </c>
      <c r="L945" s="14">
        <f>VLOOKUP($C945,Rotation!$A$2:$J$10,3,FALSE)</f>
        <v>0</v>
      </c>
      <c r="M945" s="14">
        <f>VLOOKUP($C945,Rotation!$A$2:$J$10,4,FALSE)</f>
        <v>0</v>
      </c>
      <c r="N945" s="14">
        <f>VLOOKUP($C945,Rotation!$A$2:$J$10,5,FALSE)</f>
        <v>0</v>
      </c>
      <c r="O945" s="14">
        <f>VLOOKUP($C945,Rotation!$A$2:$J$10,6,FALSE)</f>
        <v>0</v>
      </c>
      <c r="P945" s="14">
        <f>VLOOKUP($C945,Rotation!$A$2:$J$10,7,FALSE)</f>
        <v>1</v>
      </c>
      <c r="Q945" s="14">
        <f>VLOOKUP($C945,Rotation!$A$2:$J$10,8,FALSE)</f>
        <v>0</v>
      </c>
      <c r="R945" s="14">
        <f>VLOOKUP($C945,Rotation!$A$2:$J$10,9,FALSE)</f>
        <v>0</v>
      </c>
      <c r="S945" s="14">
        <f>VLOOKUP($C945,Rotation!$A$2:$J$10,10,FALSE)</f>
        <v>0</v>
      </c>
    </row>
    <row r="946" spans="1:19" ht="18">
      <c r="A946" s="14">
        <v>944</v>
      </c>
      <c r="B946" s="14" t="s">
        <v>84</v>
      </c>
      <c r="C946" s="14" t="str">
        <f>VLOOKUP(B946,Family!B:C,2,FALSE)</f>
        <v>C</v>
      </c>
      <c r="D946" s="15">
        <v>18</v>
      </c>
      <c r="E946" s="14">
        <f>ROUND(VLOOKUP(C946,'Production Plan'!A:B,2,FALSE),2)</f>
        <v>411.11</v>
      </c>
      <c r="F946" s="16">
        <v>45891</v>
      </c>
      <c r="G946" s="17">
        <f>F946+6*7</f>
        <v>45933</v>
      </c>
      <c r="H946" s="14">
        <f>G946-F946</f>
        <v>42</v>
      </c>
      <c r="I946" s="14">
        <f>ROUND(D946/E946,3)</f>
        <v>4.3999999999999997E-2</v>
      </c>
      <c r="J946" s="14">
        <f>I946*24</f>
        <v>1.056</v>
      </c>
      <c r="K946" s="14">
        <f>VLOOKUP($C946,Rotation!$A$2:$J$10,2,FALSE)</f>
        <v>1</v>
      </c>
      <c r="L946" s="14">
        <f>VLOOKUP($C946,Rotation!$A$2:$J$10,3,FALSE)</f>
        <v>0</v>
      </c>
      <c r="M946" s="14">
        <f>VLOOKUP($C946,Rotation!$A$2:$J$10,4,FALSE)</f>
        <v>0</v>
      </c>
      <c r="N946" s="14">
        <f>VLOOKUP($C946,Rotation!$A$2:$J$10,5,FALSE)</f>
        <v>0</v>
      </c>
      <c r="O946" s="14">
        <f>VLOOKUP($C946,Rotation!$A$2:$J$10,6,FALSE)</f>
        <v>1</v>
      </c>
      <c r="P946" s="14">
        <f>VLOOKUP($C946,Rotation!$A$2:$J$10,7,FALSE)</f>
        <v>0</v>
      </c>
      <c r="Q946" s="14">
        <f>VLOOKUP($C946,Rotation!$A$2:$J$10,8,FALSE)</f>
        <v>0</v>
      </c>
      <c r="R946" s="14">
        <f>VLOOKUP($C946,Rotation!$A$2:$J$10,9,FALSE)</f>
        <v>0</v>
      </c>
      <c r="S946" s="14">
        <f>VLOOKUP($C946,Rotation!$A$2:$J$10,10,FALSE)</f>
        <v>0</v>
      </c>
    </row>
    <row r="947" spans="1:19" ht="18">
      <c r="A947" s="14">
        <v>945</v>
      </c>
      <c r="B947" s="14" t="s">
        <v>106</v>
      </c>
      <c r="C947" s="14" t="str">
        <f>VLOOKUP(B947,Family!B:C,2,FALSE)</f>
        <v>P</v>
      </c>
      <c r="D947" s="15">
        <v>19</v>
      </c>
      <c r="E947" s="14">
        <f>ROUND(VLOOKUP(C947,'Production Plan'!A:B,2,FALSE),2)</f>
        <v>409.15</v>
      </c>
      <c r="F947" s="16">
        <v>45904</v>
      </c>
      <c r="G947" s="17">
        <f>F947+6*7</f>
        <v>45946</v>
      </c>
      <c r="H947" s="14">
        <f>G947-F947</f>
        <v>42</v>
      </c>
      <c r="I947" s="14">
        <f>ROUND(D947/E947,3)</f>
        <v>4.5999999999999999E-2</v>
      </c>
      <c r="J947" s="14">
        <f>I947*24</f>
        <v>1.1040000000000001</v>
      </c>
      <c r="K947" s="14">
        <f>VLOOKUP($C947,Rotation!$A$2:$J$10,2,FALSE)</f>
        <v>1</v>
      </c>
      <c r="L947" s="14">
        <f>VLOOKUP($C947,Rotation!$A$2:$J$10,3,FALSE)</f>
        <v>1</v>
      </c>
      <c r="M947" s="14">
        <f>VLOOKUP($C947,Rotation!$A$2:$J$10,4,FALSE)</f>
        <v>0</v>
      </c>
      <c r="N947" s="14">
        <f>VLOOKUP($C947,Rotation!$A$2:$J$10,5,FALSE)</f>
        <v>0</v>
      </c>
      <c r="O947" s="14">
        <f>VLOOKUP($C947,Rotation!$A$2:$J$10,6,FALSE)</f>
        <v>0</v>
      </c>
      <c r="P947" s="14">
        <f>VLOOKUP($C947,Rotation!$A$2:$J$10,7,FALSE)</f>
        <v>0</v>
      </c>
      <c r="Q947" s="14">
        <f>VLOOKUP($C947,Rotation!$A$2:$J$10,8,FALSE)</f>
        <v>0</v>
      </c>
      <c r="R947" s="14">
        <f>VLOOKUP($C947,Rotation!$A$2:$J$10,9,FALSE)</f>
        <v>0</v>
      </c>
      <c r="S947" s="14">
        <f>VLOOKUP($C947,Rotation!$A$2:$J$10,10,FALSE)</f>
        <v>0</v>
      </c>
    </row>
    <row r="948" spans="1:19" ht="18">
      <c r="A948" s="14">
        <v>946</v>
      </c>
      <c r="B948" s="14" t="s">
        <v>93</v>
      </c>
      <c r="C948" s="14" t="str">
        <f>VLOOKUP(B948,Family!B:C,2,FALSE)</f>
        <v>F</v>
      </c>
      <c r="D948" s="15">
        <v>499</v>
      </c>
      <c r="E948" s="14">
        <f>ROUND(VLOOKUP(C948,'Production Plan'!A:B,2,FALSE),2)</f>
        <v>394.98</v>
      </c>
      <c r="F948" s="16">
        <v>45897</v>
      </c>
      <c r="G948" s="17">
        <f>F948+6*7</f>
        <v>45939</v>
      </c>
      <c r="H948" s="14">
        <f>G948-F948</f>
        <v>42</v>
      </c>
      <c r="I948" s="14">
        <f>ROUND(D948/E948,3)</f>
        <v>1.2629999999999999</v>
      </c>
      <c r="J948" s="14">
        <f>I948*24</f>
        <v>30.311999999999998</v>
      </c>
      <c r="K948" s="14">
        <f>VLOOKUP($C948,Rotation!$A$2:$J$10,2,FALSE)</f>
        <v>1</v>
      </c>
      <c r="L948" s="14">
        <f>VLOOKUP($C948,Rotation!$A$2:$J$10,3,FALSE)</f>
        <v>0</v>
      </c>
      <c r="M948" s="14">
        <f>VLOOKUP($C948,Rotation!$A$2:$J$10,4,FALSE)</f>
        <v>0</v>
      </c>
      <c r="N948" s="14">
        <f>VLOOKUP($C948,Rotation!$A$2:$J$10,5,FALSE)</f>
        <v>1</v>
      </c>
      <c r="O948" s="14">
        <f>VLOOKUP($C948,Rotation!$A$2:$J$10,6,FALSE)</f>
        <v>1</v>
      </c>
      <c r="P948" s="14">
        <f>VLOOKUP($C948,Rotation!$A$2:$J$10,7,FALSE)</f>
        <v>1</v>
      </c>
      <c r="Q948" s="14">
        <f>VLOOKUP($C948,Rotation!$A$2:$J$10,8,FALSE)</f>
        <v>1</v>
      </c>
      <c r="R948" s="14">
        <f>VLOOKUP($C948,Rotation!$A$2:$J$10,9,FALSE)</f>
        <v>1</v>
      </c>
      <c r="S948" s="14">
        <f>VLOOKUP($C948,Rotation!$A$2:$J$10,10,FALSE)</f>
        <v>1</v>
      </c>
    </row>
    <row r="949" spans="1:19" ht="18">
      <c r="A949" s="14">
        <v>947</v>
      </c>
      <c r="B949" s="14" t="s">
        <v>106</v>
      </c>
      <c r="C949" s="14" t="str">
        <f>VLOOKUP(B949,Family!B:C,2,FALSE)</f>
        <v>P</v>
      </c>
      <c r="D949" s="15">
        <v>18.710999999999999</v>
      </c>
      <c r="E949" s="14">
        <f>ROUND(VLOOKUP(C949,'Production Plan'!A:B,2,FALSE),2)</f>
        <v>409.15</v>
      </c>
      <c r="F949" s="16">
        <v>45904</v>
      </c>
      <c r="G949" s="17">
        <f>F949+6*7</f>
        <v>45946</v>
      </c>
      <c r="H949" s="14">
        <f>G949-F949</f>
        <v>42</v>
      </c>
      <c r="I949" s="14">
        <f>ROUND(D949/E949,3)</f>
        <v>4.5999999999999999E-2</v>
      </c>
      <c r="J949" s="14">
        <f>I949*24</f>
        <v>1.1040000000000001</v>
      </c>
      <c r="K949" s="14">
        <f>VLOOKUP($C949,Rotation!$A$2:$J$10,2,FALSE)</f>
        <v>1</v>
      </c>
      <c r="L949" s="14">
        <f>VLOOKUP($C949,Rotation!$A$2:$J$10,3,FALSE)</f>
        <v>1</v>
      </c>
      <c r="M949" s="14">
        <f>VLOOKUP($C949,Rotation!$A$2:$J$10,4,FALSE)</f>
        <v>0</v>
      </c>
      <c r="N949" s="14">
        <f>VLOOKUP($C949,Rotation!$A$2:$J$10,5,FALSE)</f>
        <v>0</v>
      </c>
      <c r="O949" s="14">
        <f>VLOOKUP($C949,Rotation!$A$2:$J$10,6,FALSE)</f>
        <v>0</v>
      </c>
      <c r="P949" s="14">
        <f>VLOOKUP($C949,Rotation!$A$2:$J$10,7,FALSE)</f>
        <v>0</v>
      </c>
      <c r="Q949" s="14">
        <f>VLOOKUP($C949,Rotation!$A$2:$J$10,8,FALSE)</f>
        <v>0</v>
      </c>
      <c r="R949" s="14">
        <f>VLOOKUP($C949,Rotation!$A$2:$J$10,9,FALSE)</f>
        <v>0</v>
      </c>
      <c r="S949" s="14">
        <f>VLOOKUP($C949,Rotation!$A$2:$J$10,10,FALSE)</f>
        <v>0</v>
      </c>
    </row>
    <row r="950" spans="1:19" ht="18">
      <c r="A950" s="14">
        <v>948</v>
      </c>
      <c r="B950" s="14" t="s">
        <v>98</v>
      </c>
      <c r="C950" s="14" t="str">
        <f>VLOOKUP(B950,Family!B:C,2,FALSE)</f>
        <v>H</v>
      </c>
      <c r="D950" s="15">
        <v>19</v>
      </c>
      <c r="E950" s="14">
        <f>ROUND(VLOOKUP(C950,'Production Plan'!A:B,2,FALSE),2)</f>
        <v>402.02</v>
      </c>
      <c r="F950" s="16">
        <v>45790</v>
      </c>
      <c r="G950" s="17">
        <f>F950+6*7</f>
        <v>45832</v>
      </c>
      <c r="H950" s="14">
        <f>G950-F950</f>
        <v>42</v>
      </c>
      <c r="I950" s="14">
        <f>ROUND(D950/E950,3)</f>
        <v>4.7E-2</v>
      </c>
      <c r="J950" s="14">
        <f>I950*24</f>
        <v>1.1280000000000001</v>
      </c>
      <c r="K950" s="14">
        <f>VLOOKUP($C950,Rotation!$A$2:$J$10,2,FALSE)</f>
        <v>0</v>
      </c>
      <c r="L950" s="14">
        <f>VLOOKUP($C950,Rotation!$A$2:$J$10,3,FALSE)</f>
        <v>0</v>
      </c>
      <c r="M950" s="14">
        <f>VLOOKUP($C950,Rotation!$A$2:$J$10,4,FALSE)</f>
        <v>1</v>
      </c>
      <c r="N950" s="14">
        <f>VLOOKUP($C950,Rotation!$A$2:$J$10,5,FALSE)</f>
        <v>1</v>
      </c>
      <c r="O950" s="14">
        <f>VLOOKUP($C950,Rotation!$A$2:$J$10,6,FALSE)</f>
        <v>0</v>
      </c>
      <c r="P950" s="14">
        <f>VLOOKUP($C950,Rotation!$A$2:$J$10,7,FALSE)</f>
        <v>0</v>
      </c>
      <c r="Q950" s="14">
        <f>VLOOKUP($C950,Rotation!$A$2:$J$10,8,FALSE)</f>
        <v>0</v>
      </c>
      <c r="R950" s="14">
        <f>VLOOKUP($C950,Rotation!$A$2:$J$10,9,FALSE)</f>
        <v>0</v>
      </c>
      <c r="S950" s="14">
        <f>VLOOKUP($C950,Rotation!$A$2:$J$10,10,FALSE)</f>
        <v>0</v>
      </c>
    </row>
    <row r="951" spans="1:19" ht="18">
      <c r="A951" s="14">
        <v>949</v>
      </c>
      <c r="B951" s="14" t="s">
        <v>98</v>
      </c>
      <c r="C951" s="14" t="str">
        <f>VLOOKUP(B951,Family!B:C,2,FALSE)</f>
        <v>H</v>
      </c>
      <c r="D951" s="15">
        <v>19</v>
      </c>
      <c r="E951" s="14">
        <f>ROUND(VLOOKUP(C951,'Production Plan'!A:B,2,FALSE),2)</f>
        <v>402.02</v>
      </c>
      <c r="F951" s="16">
        <v>45790</v>
      </c>
      <c r="G951" s="17">
        <f>F951+6*7</f>
        <v>45832</v>
      </c>
      <c r="H951" s="14">
        <f>G951-F951</f>
        <v>42</v>
      </c>
      <c r="I951" s="14">
        <f>ROUND(D951/E951,3)</f>
        <v>4.7E-2</v>
      </c>
      <c r="J951" s="14">
        <f>I951*24</f>
        <v>1.1280000000000001</v>
      </c>
      <c r="K951" s="14">
        <f>VLOOKUP($C951,Rotation!$A$2:$J$10,2,FALSE)</f>
        <v>0</v>
      </c>
      <c r="L951" s="14">
        <f>VLOOKUP($C951,Rotation!$A$2:$J$10,3,FALSE)</f>
        <v>0</v>
      </c>
      <c r="M951" s="14">
        <f>VLOOKUP($C951,Rotation!$A$2:$J$10,4,FALSE)</f>
        <v>1</v>
      </c>
      <c r="N951" s="14">
        <f>VLOOKUP($C951,Rotation!$A$2:$J$10,5,FALSE)</f>
        <v>1</v>
      </c>
      <c r="O951" s="14">
        <f>VLOOKUP($C951,Rotation!$A$2:$J$10,6,FALSE)</f>
        <v>0</v>
      </c>
      <c r="P951" s="14">
        <f>VLOOKUP($C951,Rotation!$A$2:$J$10,7,FALSE)</f>
        <v>0</v>
      </c>
      <c r="Q951" s="14">
        <f>VLOOKUP($C951,Rotation!$A$2:$J$10,8,FALSE)</f>
        <v>0</v>
      </c>
      <c r="R951" s="14">
        <f>VLOOKUP($C951,Rotation!$A$2:$J$10,9,FALSE)</f>
        <v>0</v>
      </c>
      <c r="S951" s="14">
        <f>VLOOKUP($C951,Rotation!$A$2:$J$10,10,FALSE)</f>
        <v>0</v>
      </c>
    </row>
    <row r="952" spans="1:19" ht="18">
      <c r="A952" s="14">
        <v>950</v>
      </c>
      <c r="B952" s="14" t="s">
        <v>80</v>
      </c>
      <c r="C952" s="14" t="str">
        <f>VLOOKUP(B952,Family!B:C,2,FALSE)</f>
        <v>C</v>
      </c>
      <c r="D952" s="15">
        <v>19</v>
      </c>
      <c r="E952" s="14">
        <f>ROUND(VLOOKUP(C952,'Production Plan'!A:B,2,FALSE),2)</f>
        <v>411.11</v>
      </c>
      <c r="F952" s="16">
        <v>45862</v>
      </c>
      <c r="G952" s="17">
        <f>F952+6*7</f>
        <v>45904</v>
      </c>
      <c r="H952" s="14">
        <f>G952-F952</f>
        <v>42</v>
      </c>
      <c r="I952" s="14">
        <f>ROUND(D952/E952,3)</f>
        <v>4.5999999999999999E-2</v>
      </c>
      <c r="J952" s="14">
        <f>I952*24</f>
        <v>1.1040000000000001</v>
      </c>
      <c r="K952" s="14">
        <f>VLOOKUP($C952,Rotation!$A$2:$J$10,2,FALSE)</f>
        <v>1</v>
      </c>
      <c r="L952" s="14">
        <f>VLOOKUP($C952,Rotation!$A$2:$J$10,3,FALSE)</f>
        <v>0</v>
      </c>
      <c r="M952" s="14">
        <f>VLOOKUP($C952,Rotation!$A$2:$J$10,4,FALSE)</f>
        <v>0</v>
      </c>
      <c r="N952" s="14">
        <f>VLOOKUP($C952,Rotation!$A$2:$J$10,5,FALSE)</f>
        <v>0</v>
      </c>
      <c r="O952" s="14">
        <f>VLOOKUP($C952,Rotation!$A$2:$J$10,6,FALSE)</f>
        <v>1</v>
      </c>
      <c r="P952" s="14">
        <f>VLOOKUP($C952,Rotation!$A$2:$J$10,7,FALSE)</f>
        <v>0</v>
      </c>
      <c r="Q952" s="14">
        <f>VLOOKUP($C952,Rotation!$A$2:$J$10,8,FALSE)</f>
        <v>0</v>
      </c>
      <c r="R952" s="14">
        <f>VLOOKUP($C952,Rotation!$A$2:$J$10,9,FALSE)</f>
        <v>0</v>
      </c>
      <c r="S952" s="14">
        <f>VLOOKUP($C952,Rotation!$A$2:$J$10,10,FALSE)</f>
        <v>0</v>
      </c>
    </row>
    <row r="953" spans="1:19" ht="18">
      <c r="A953" s="14">
        <v>951</v>
      </c>
      <c r="B953" s="14" t="s">
        <v>93</v>
      </c>
      <c r="C953" s="14" t="str">
        <f>VLOOKUP(B953,Family!B:C,2,FALSE)</f>
        <v>F</v>
      </c>
      <c r="D953" s="15">
        <v>499</v>
      </c>
      <c r="E953" s="14">
        <f>ROUND(VLOOKUP(C953,'Production Plan'!A:B,2,FALSE),2)</f>
        <v>394.98</v>
      </c>
      <c r="F953" s="16">
        <v>45897</v>
      </c>
      <c r="G953" s="17">
        <f>F953+6*7</f>
        <v>45939</v>
      </c>
      <c r="H953" s="14">
        <f>G953-F953</f>
        <v>42</v>
      </c>
      <c r="I953" s="14">
        <f>ROUND(D953/E953,3)</f>
        <v>1.2629999999999999</v>
      </c>
      <c r="J953" s="14">
        <f>I953*24</f>
        <v>30.311999999999998</v>
      </c>
      <c r="K953" s="14">
        <f>VLOOKUP($C953,Rotation!$A$2:$J$10,2,FALSE)</f>
        <v>1</v>
      </c>
      <c r="L953" s="14">
        <f>VLOOKUP($C953,Rotation!$A$2:$J$10,3,FALSE)</f>
        <v>0</v>
      </c>
      <c r="M953" s="14">
        <f>VLOOKUP($C953,Rotation!$A$2:$J$10,4,FALSE)</f>
        <v>0</v>
      </c>
      <c r="N953" s="14">
        <f>VLOOKUP($C953,Rotation!$A$2:$J$10,5,FALSE)</f>
        <v>1</v>
      </c>
      <c r="O953" s="14">
        <f>VLOOKUP($C953,Rotation!$A$2:$J$10,6,FALSE)</f>
        <v>1</v>
      </c>
      <c r="P953" s="14">
        <f>VLOOKUP($C953,Rotation!$A$2:$J$10,7,FALSE)</f>
        <v>1</v>
      </c>
      <c r="Q953" s="14">
        <f>VLOOKUP($C953,Rotation!$A$2:$J$10,8,FALSE)</f>
        <v>1</v>
      </c>
      <c r="R953" s="14">
        <f>VLOOKUP($C953,Rotation!$A$2:$J$10,9,FALSE)</f>
        <v>1</v>
      </c>
      <c r="S953" s="14">
        <f>VLOOKUP($C953,Rotation!$A$2:$J$10,10,FALSE)</f>
        <v>1</v>
      </c>
    </row>
    <row r="954" spans="1:19" ht="18">
      <c r="A954" s="14">
        <v>952</v>
      </c>
      <c r="B954" s="14" t="s">
        <v>112</v>
      </c>
      <c r="C954" s="14" t="str">
        <f>VLOOKUP(B954,Family!B:C,2,FALSE)</f>
        <v>N</v>
      </c>
      <c r="D954" s="15">
        <v>70</v>
      </c>
      <c r="E954" s="14">
        <f>ROUND(VLOOKUP(C954,'Production Plan'!A:B,2,FALSE),2)</f>
        <v>334.18</v>
      </c>
      <c r="F954" s="16">
        <v>45847</v>
      </c>
      <c r="G954" s="17">
        <f>F954+6*7</f>
        <v>45889</v>
      </c>
      <c r="H954" s="14">
        <f>G954-F954</f>
        <v>42</v>
      </c>
      <c r="I954" s="14">
        <f>ROUND(D954/E954,3)</f>
        <v>0.20899999999999999</v>
      </c>
      <c r="J954" s="14">
        <f>I954*24</f>
        <v>5.016</v>
      </c>
      <c r="K954" s="14">
        <f>VLOOKUP($C954,Rotation!$A$2:$J$10,2,FALSE)</f>
        <v>1</v>
      </c>
      <c r="L954" s="14">
        <f>VLOOKUP($C954,Rotation!$A$2:$J$10,3,FALSE)</f>
        <v>0</v>
      </c>
      <c r="M954" s="14">
        <f>VLOOKUP($C954,Rotation!$A$2:$J$10,4,FALSE)</f>
        <v>0</v>
      </c>
      <c r="N954" s="14">
        <f>VLOOKUP($C954,Rotation!$A$2:$J$10,5,FALSE)</f>
        <v>0</v>
      </c>
      <c r="O954" s="14">
        <f>VLOOKUP($C954,Rotation!$A$2:$J$10,6,FALSE)</f>
        <v>0</v>
      </c>
      <c r="P954" s="14">
        <f>VLOOKUP($C954,Rotation!$A$2:$J$10,7,FALSE)</f>
        <v>0</v>
      </c>
      <c r="Q954" s="14">
        <f>VLOOKUP($C954,Rotation!$A$2:$J$10,8,FALSE)</f>
        <v>1</v>
      </c>
      <c r="R954" s="14">
        <f>VLOOKUP($C954,Rotation!$A$2:$J$10,9,FALSE)</f>
        <v>0</v>
      </c>
      <c r="S954" s="14">
        <f>VLOOKUP($C954,Rotation!$A$2:$J$10,10,FALSE)</f>
        <v>0</v>
      </c>
    </row>
    <row r="955" spans="1:19" ht="18">
      <c r="A955" s="14">
        <v>953</v>
      </c>
      <c r="B955" s="14" t="s">
        <v>64</v>
      </c>
      <c r="C955" s="14" t="str">
        <f>VLOOKUP(B955,Family!B:C,2,FALSE)</f>
        <v>A</v>
      </c>
      <c r="D955" s="15">
        <v>111</v>
      </c>
      <c r="E955" s="14">
        <f>ROUND(VLOOKUP(C955,'Production Plan'!A:B,2,FALSE),2)</f>
        <v>407.17</v>
      </c>
      <c r="F955" s="16">
        <v>45855</v>
      </c>
      <c r="G955" s="17">
        <f>F955+6*7</f>
        <v>45897</v>
      </c>
      <c r="H955" s="14">
        <f>G955-F955</f>
        <v>42</v>
      </c>
      <c r="I955" s="14">
        <f>ROUND(D955/E955,3)</f>
        <v>0.27300000000000002</v>
      </c>
      <c r="J955" s="14">
        <f>I955*24</f>
        <v>6.5520000000000005</v>
      </c>
      <c r="K955" s="14">
        <f>VLOOKUP($C955,Rotation!$A$2:$J$10,2,FALSE)</f>
        <v>1</v>
      </c>
      <c r="L955" s="14">
        <f>VLOOKUP($C955,Rotation!$A$2:$J$10,3,FALSE)</f>
        <v>1</v>
      </c>
      <c r="M955" s="14">
        <f>VLOOKUP($C955,Rotation!$A$2:$J$10,4,FALSE)</f>
        <v>1</v>
      </c>
      <c r="N955" s="14">
        <f>VLOOKUP($C955,Rotation!$A$2:$J$10,5,FALSE)</f>
        <v>0</v>
      </c>
      <c r="O955" s="14">
        <f>VLOOKUP($C955,Rotation!$A$2:$J$10,6,FALSE)</f>
        <v>0</v>
      </c>
      <c r="P955" s="14">
        <f>VLOOKUP($C955,Rotation!$A$2:$J$10,7,FALSE)</f>
        <v>0</v>
      </c>
      <c r="Q955" s="14">
        <f>VLOOKUP($C955,Rotation!$A$2:$J$10,8,FALSE)</f>
        <v>0</v>
      </c>
      <c r="R955" s="14">
        <f>VLOOKUP($C955,Rotation!$A$2:$J$10,9,FALSE)</f>
        <v>0</v>
      </c>
      <c r="S955" s="14">
        <f>VLOOKUP($C955,Rotation!$A$2:$J$10,10,FALSE)</f>
        <v>0</v>
      </c>
    </row>
    <row r="956" spans="1:19" ht="18">
      <c r="A956" s="14">
        <v>954</v>
      </c>
      <c r="B956" s="14" t="s">
        <v>85</v>
      </c>
      <c r="C956" s="14" t="str">
        <f>VLOOKUP(B956,Family!B:C,2,FALSE)</f>
        <v>E</v>
      </c>
      <c r="D956" s="15">
        <v>19</v>
      </c>
      <c r="E956" s="14">
        <f>ROUND(VLOOKUP(C956,'Production Plan'!A:B,2,FALSE),2)</f>
        <v>333.66</v>
      </c>
      <c r="F956" s="16">
        <v>45880</v>
      </c>
      <c r="G956" s="17">
        <f>F956+6*7</f>
        <v>45922</v>
      </c>
      <c r="H956" s="14">
        <f>G956-F956</f>
        <v>42</v>
      </c>
      <c r="I956" s="14">
        <f>ROUND(D956/E956,3)</f>
        <v>5.7000000000000002E-2</v>
      </c>
      <c r="J956" s="14">
        <f>I956*24</f>
        <v>1.3680000000000001</v>
      </c>
      <c r="K956" s="14">
        <f>VLOOKUP($C956,Rotation!$A$2:$J$10,2,FALSE)</f>
        <v>1</v>
      </c>
      <c r="L956" s="14">
        <f>VLOOKUP($C956,Rotation!$A$2:$J$10,3,FALSE)</f>
        <v>0</v>
      </c>
      <c r="M956" s="14">
        <f>VLOOKUP($C956,Rotation!$A$2:$J$10,4,FALSE)</f>
        <v>0</v>
      </c>
      <c r="N956" s="14">
        <f>VLOOKUP($C956,Rotation!$A$2:$J$10,5,FALSE)</f>
        <v>0</v>
      </c>
      <c r="O956" s="14">
        <f>VLOOKUP($C956,Rotation!$A$2:$J$10,6,FALSE)</f>
        <v>0</v>
      </c>
      <c r="P956" s="14">
        <f>VLOOKUP($C956,Rotation!$A$2:$J$10,7,FALSE)</f>
        <v>1</v>
      </c>
      <c r="Q956" s="14">
        <f>VLOOKUP($C956,Rotation!$A$2:$J$10,8,FALSE)</f>
        <v>0</v>
      </c>
      <c r="R956" s="14">
        <f>VLOOKUP($C956,Rotation!$A$2:$J$10,9,FALSE)</f>
        <v>0</v>
      </c>
      <c r="S956" s="14">
        <f>VLOOKUP($C956,Rotation!$A$2:$J$10,10,FALSE)</f>
        <v>0</v>
      </c>
    </row>
    <row r="957" spans="1:19" ht="18">
      <c r="A957" s="14">
        <v>955</v>
      </c>
      <c r="B957" s="14" t="s">
        <v>72</v>
      </c>
      <c r="C957" s="14" t="str">
        <f>VLOOKUP(B957,Family!B:C,2,FALSE)</f>
        <v>A</v>
      </c>
      <c r="D957" s="15">
        <v>24</v>
      </c>
      <c r="E957" s="14">
        <f>ROUND(VLOOKUP(C957,'Production Plan'!A:B,2,FALSE),2)</f>
        <v>407.17</v>
      </c>
      <c r="F957" s="16">
        <v>45789</v>
      </c>
      <c r="G957" s="17">
        <f>F957+6*7</f>
        <v>45831</v>
      </c>
      <c r="H957" s="14">
        <f>G957-F957</f>
        <v>42</v>
      </c>
      <c r="I957" s="14">
        <f>ROUND(D957/E957,3)</f>
        <v>5.8999999999999997E-2</v>
      </c>
      <c r="J957" s="14">
        <f>I957*24</f>
        <v>1.4159999999999999</v>
      </c>
      <c r="K957" s="14">
        <f>VLOOKUP($C957,Rotation!$A$2:$J$10,2,FALSE)</f>
        <v>1</v>
      </c>
      <c r="L957" s="14">
        <f>VLOOKUP($C957,Rotation!$A$2:$J$10,3,FALSE)</f>
        <v>1</v>
      </c>
      <c r="M957" s="14">
        <f>VLOOKUP($C957,Rotation!$A$2:$J$10,4,FALSE)</f>
        <v>1</v>
      </c>
      <c r="N957" s="14">
        <f>VLOOKUP($C957,Rotation!$A$2:$J$10,5,FALSE)</f>
        <v>0</v>
      </c>
      <c r="O957" s="14">
        <f>VLOOKUP($C957,Rotation!$A$2:$J$10,6,FALSE)</f>
        <v>0</v>
      </c>
      <c r="P957" s="14">
        <f>VLOOKUP($C957,Rotation!$A$2:$J$10,7,FALSE)</f>
        <v>0</v>
      </c>
      <c r="Q957" s="14">
        <f>VLOOKUP($C957,Rotation!$A$2:$J$10,8,FALSE)</f>
        <v>0</v>
      </c>
      <c r="R957" s="14">
        <f>VLOOKUP($C957,Rotation!$A$2:$J$10,9,FALSE)</f>
        <v>0</v>
      </c>
      <c r="S957" s="14">
        <f>VLOOKUP($C957,Rotation!$A$2:$J$10,10,FALSE)</f>
        <v>0</v>
      </c>
    </row>
    <row r="958" spans="1:19" ht="18">
      <c r="A958" s="14">
        <v>956</v>
      </c>
      <c r="B958" s="14" t="s">
        <v>72</v>
      </c>
      <c r="C958" s="14" t="str">
        <f>VLOOKUP(B958,Family!B:C,2,FALSE)</f>
        <v>A</v>
      </c>
      <c r="D958" s="15">
        <v>24</v>
      </c>
      <c r="E958" s="14">
        <f>ROUND(VLOOKUP(C958,'Production Plan'!A:B,2,FALSE),2)</f>
        <v>407.17</v>
      </c>
      <c r="F958" s="16">
        <v>45789</v>
      </c>
      <c r="G958" s="17">
        <f>F958+6*7</f>
        <v>45831</v>
      </c>
      <c r="H958" s="14">
        <f>G958-F958</f>
        <v>42</v>
      </c>
      <c r="I958" s="14">
        <f>ROUND(D958/E958,3)</f>
        <v>5.8999999999999997E-2</v>
      </c>
      <c r="J958" s="14">
        <f>I958*24</f>
        <v>1.4159999999999999</v>
      </c>
      <c r="K958" s="14">
        <f>VLOOKUP($C958,Rotation!$A$2:$J$10,2,FALSE)</f>
        <v>1</v>
      </c>
      <c r="L958" s="14">
        <f>VLOOKUP($C958,Rotation!$A$2:$J$10,3,FALSE)</f>
        <v>1</v>
      </c>
      <c r="M958" s="14">
        <f>VLOOKUP($C958,Rotation!$A$2:$J$10,4,FALSE)</f>
        <v>1</v>
      </c>
      <c r="N958" s="14">
        <f>VLOOKUP($C958,Rotation!$A$2:$J$10,5,FALSE)</f>
        <v>0</v>
      </c>
      <c r="O958" s="14">
        <f>VLOOKUP($C958,Rotation!$A$2:$J$10,6,FALSE)</f>
        <v>0</v>
      </c>
      <c r="P958" s="14">
        <f>VLOOKUP($C958,Rotation!$A$2:$J$10,7,FALSE)</f>
        <v>0</v>
      </c>
      <c r="Q958" s="14">
        <f>VLOOKUP($C958,Rotation!$A$2:$J$10,8,FALSE)</f>
        <v>0</v>
      </c>
      <c r="R958" s="14">
        <f>VLOOKUP($C958,Rotation!$A$2:$J$10,9,FALSE)</f>
        <v>0</v>
      </c>
      <c r="S958" s="14">
        <f>VLOOKUP($C958,Rotation!$A$2:$J$10,10,FALSE)</f>
        <v>0</v>
      </c>
    </row>
    <row r="959" spans="1:19" ht="18">
      <c r="A959" s="14">
        <v>957</v>
      </c>
      <c r="B959" s="14" t="s">
        <v>105</v>
      </c>
      <c r="C959" s="14" t="str">
        <f>VLOOKUP(B959,Family!B:C,2,FALSE)</f>
        <v>N</v>
      </c>
      <c r="D959" s="15">
        <v>406</v>
      </c>
      <c r="E959" s="14">
        <f>ROUND(VLOOKUP(C959,'Production Plan'!A:B,2,FALSE),2)</f>
        <v>334.18</v>
      </c>
      <c r="F959" s="16">
        <v>45861</v>
      </c>
      <c r="G959" s="17">
        <f>F959+6*7</f>
        <v>45903</v>
      </c>
      <c r="H959" s="14">
        <f>G959-F959</f>
        <v>42</v>
      </c>
      <c r="I959" s="14">
        <f>ROUND(D959/E959,3)</f>
        <v>1.2150000000000001</v>
      </c>
      <c r="J959" s="14">
        <f>I959*24</f>
        <v>29.160000000000004</v>
      </c>
      <c r="K959" s="14">
        <f>VLOOKUP($C959,Rotation!$A$2:$J$10,2,FALSE)</f>
        <v>1</v>
      </c>
      <c r="L959" s="14">
        <f>VLOOKUP($C959,Rotation!$A$2:$J$10,3,FALSE)</f>
        <v>0</v>
      </c>
      <c r="M959" s="14">
        <f>VLOOKUP($C959,Rotation!$A$2:$J$10,4,FALSE)</f>
        <v>0</v>
      </c>
      <c r="N959" s="14">
        <f>VLOOKUP($C959,Rotation!$A$2:$J$10,5,FALSE)</f>
        <v>0</v>
      </c>
      <c r="O959" s="14">
        <f>VLOOKUP($C959,Rotation!$A$2:$J$10,6,FALSE)</f>
        <v>0</v>
      </c>
      <c r="P959" s="14">
        <f>VLOOKUP($C959,Rotation!$A$2:$J$10,7,FALSE)</f>
        <v>0</v>
      </c>
      <c r="Q959" s="14">
        <f>VLOOKUP($C959,Rotation!$A$2:$J$10,8,FALSE)</f>
        <v>1</v>
      </c>
      <c r="R959" s="14">
        <f>VLOOKUP($C959,Rotation!$A$2:$J$10,9,FALSE)</f>
        <v>0</v>
      </c>
      <c r="S959" s="14">
        <f>VLOOKUP($C959,Rotation!$A$2:$J$10,10,FALSE)</f>
        <v>0</v>
      </c>
    </row>
    <row r="960" spans="1:19" ht="18">
      <c r="A960" s="14">
        <v>958</v>
      </c>
      <c r="B960" s="14" t="s">
        <v>79</v>
      </c>
      <c r="C960" s="14" t="str">
        <f>VLOOKUP(B960,Family!B:C,2,FALSE)</f>
        <v>C</v>
      </c>
      <c r="D960" s="15">
        <v>25</v>
      </c>
      <c r="E960" s="14">
        <f>ROUND(VLOOKUP(C960,'Production Plan'!A:B,2,FALSE),2)</f>
        <v>411.11</v>
      </c>
      <c r="F960" s="16">
        <v>45889</v>
      </c>
      <c r="G960" s="17">
        <f>F960+6*7</f>
        <v>45931</v>
      </c>
      <c r="H960" s="14">
        <f>G960-F960</f>
        <v>42</v>
      </c>
      <c r="I960" s="14">
        <f>ROUND(D960/E960,3)</f>
        <v>6.0999999999999999E-2</v>
      </c>
      <c r="J960" s="14">
        <f>I960*24</f>
        <v>1.464</v>
      </c>
      <c r="K960" s="14">
        <f>VLOOKUP($C960,Rotation!$A$2:$J$10,2,FALSE)</f>
        <v>1</v>
      </c>
      <c r="L960" s="14">
        <f>VLOOKUP($C960,Rotation!$A$2:$J$10,3,FALSE)</f>
        <v>0</v>
      </c>
      <c r="M960" s="14">
        <f>VLOOKUP($C960,Rotation!$A$2:$J$10,4,FALSE)</f>
        <v>0</v>
      </c>
      <c r="N960" s="14">
        <f>VLOOKUP($C960,Rotation!$A$2:$J$10,5,FALSE)</f>
        <v>0</v>
      </c>
      <c r="O960" s="14">
        <f>VLOOKUP($C960,Rotation!$A$2:$J$10,6,FALSE)</f>
        <v>1</v>
      </c>
      <c r="P960" s="14">
        <f>VLOOKUP($C960,Rotation!$A$2:$J$10,7,FALSE)</f>
        <v>0</v>
      </c>
      <c r="Q960" s="14">
        <f>VLOOKUP($C960,Rotation!$A$2:$J$10,8,FALSE)</f>
        <v>0</v>
      </c>
      <c r="R960" s="14">
        <f>VLOOKUP($C960,Rotation!$A$2:$J$10,9,FALSE)</f>
        <v>0</v>
      </c>
      <c r="S960" s="14">
        <f>VLOOKUP($C960,Rotation!$A$2:$J$10,10,FALSE)</f>
        <v>0</v>
      </c>
    </row>
    <row r="961" spans="1:19" ht="18">
      <c r="A961" s="14">
        <v>959</v>
      </c>
      <c r="B961" s="14" t="s">
        <v>70</v>
      </c>
      <c r="C961" s="14" t="str">
        <f>VLOOKUP(B961,Family!B:C,2,FALSE)</f>
        <v>A</v>
      </c>
      <c r="D961" s="15">
        <v>99</v>
      </c>
      <c r="E961" s="14">
        <f>ROUND(VLOOKUP(C961,'Production Plan'!A:B,2,FALSE),2)</f>
        <v>407.17</v>
      </c>
      <c r="F961" s="16">
        <v>45818</v>
      </c>
      <c r="G961" s="17">
        <f>F961+6*7</f>
        <v>45860</v>
      </c>
      <c r="H961" s="14">
        <f>G961-F961</f>
        <v>42</v>
      </c>
      <c r="I961" s="14">
        <f>ROUND(D961/E961,3)</f>
        <v>0.24299999999999999</v>
      </c>
      <c r="J961" s="14">
        <f>I961*24</f>
        <v>5.8319999999999999</v>
      </c>
      <c r="K961" s="14">
        <f>VLOOKUP($C961,Rotation!$A$2:$J$10,2,FALSE)</f>
        <v>1</v>
      </c>
      <c r="L961" s="14">
        <f>VLOOKUP($C961,Rotation!$A$2:$J$10,3,FALSE)</f>
        <v>1</v>
      </c>
      <c r="M961" s="14">
        <f>VLOOKUP($C961,Rotation!$A$2:$J$10,4,FALSE)</f>
        <v>1</v>
      </c>
      <c r="N961" s="14">
        <f>VLOOKUP($C961,Rotation!$A$2:$J$10,5,FALSE)</f>
        <v>0</v>
      </c>
      <c r="O961" s="14">
        <f>VLOOKUP($C961,Rotation!$A$2:$J$10,6,FALSE)</f>
        <v>0</v>
      </c>
      <c r="P961" s="14">
        <f>VLOOKUP($C961,Rotation!$A$2:$J$10,7,FALSE)</f>
        <v>0</v>
      </c>
      <c r="Q961" s="14">
        <f>VLOOKUP($C961,Rotation!$A$2:$J$10,8,FALSE)</f>
        <v>0</v>
      </c>
      <c r="R961" s="14">
        <f>VLOOKUP($C961,Rotation!$A$2:$J$10,9,FALSE)</f>
        <v>0</v>
      </c>
      <c r="S961" s="14">
        <f>VLOOKUP($C961,Rotation!$A$2:$J$10,10,FALSE)</f>
        <v>0</v>
      </c>
    </row>
    <row r="962" spans="1:19" ht="18">
      <c r="A962" s="14">
        <v>960</v>
      </c>
      <c r="B962" s="14" t="s">
        <v>93</v>
      </c>
      <c r="C962" s="14" t="str">
        <f>VLOOKUP(B962,Family!B:C,2,FALSE)</f>
        <v>F</v>
      </c>
      <c r="D962" s="15">
        <v>504</v>
      </c>
      <c r="E962" s="14">
        <f>ROUND(VLOOKUP(C962,'Production Plan'!A:B,2,FALSE),2)</f>
        <v>394.98</v>
      </c>
      <c r="F962" s="16">
        <v>45859</v>
      </c>
      <c r="G962" s="17">
        <f>F962+6*7</f>
        <v>45901</v>
      </c>
      <c r="H962" s="14">
        <f>G962-F962</f>
        <v>42</v>
      </c>
      <c r="I962" s="14">
        <f>ROUND(D962/E962,3)</f>
        <v>1.276</v>
      </c>
      <c r="J962" s="14">
        <f>I962*24</f>
        <v>30.624000000000002</v>
      </c>
      <c r="K962" s="14">
        <f>VLOOKUP($C962,Rotation!$A$2:$J$10,2,FALSE)</f>
        <v>1</v>
      </c>
      <c r="L962" s="14">
        <f>VLOOKUP($C962,Rotation!$A$2:$J$10,3,FALSE)</f>
        <v>0</v>
      </c>
      <c r="M962" s="14">
        <f>VLOOKUP($C962,Rotation!$A$2:$J$10,4,FALSE)</f>
        <v>0</v>
      </c>
      <c r="N962" s="14">
        <f>VLOOKUP($C962,Rotation!$A$2:$J$10,5,FALSE)</f>
        <v>1</v>
      </c>
      <c r="O962" s="14">
        <f>VLOOKUP($C962,Rotation!$A$2:$J$10,6,FALSE)</f>
        <v>1</v>
      </c>
      <c r="P962" s="14">
        <f>VLOOKUP($C962,Rotation!$A$2:$J$10,7,FALSE)</f>
        <v>1</v>
      </c>
      <c r="Q962" s="14">
        <f>VLOOKUP($C962,Rotation!$A$2:$J$10,8,FALSE)</f>
        <v>1</v>
      </c>
      <c r="R962" s="14">
        <f>VLOOKUP($C962,Rotation!$A$2:$J$10,9,FALSE)</f>
        <v>1</v>
      </c>
      <c r="S962" s="14">
        <f>VLOOKUP($C962,Rotation!$A$2:$J$10,10,FALSE)</f>
        <v>1</v>
      </c>
    </row>
    <row r="963" spans="1:19" ht="18">
      <c r="A963" s="14">
        <v>961</v>
      </c>
      <c r="B963" s="14" t="s">
        <v>93</v>
      </c>
      <c r="C963" s="14" t="str">
        <f>VLOOKUP(B963,Family!B:C,2,FALSE)</f>
        <v>F</v>
      </c>
      <c r="D963" s="15">
        <v>504</v>
      </c>
      <c r="E963" s="14">
        <f>ROUND(VLOOKUP(C963,'Production Plan'!A:B,2,FALSE),2)</f>
        <v>394.98</v>
      </c>
      <c r="F963" s="16">
        <v>45861</v>
      </c>
      <c r="G963" s="17">
        <f>F963+6*7</f>
        <v>45903</v>
      </c>
      <c r="H963" s="14">
        <f>G963-F963</f>
        <v>42</v>
      </c>
      <c r="I963" s="14">
        <f>ROUND(D963/E963,3)</f>
        <v>1.276</v>
      </c>
      <c r="J963" s="14">
        <f>I963*24</f>
        <v>30.624000000000002</v>
      </c>
      <c r="K963" s="14">
        <f>VLOOKUP($C963,Rotation!$A$2:$J$10,2,FALSE)</f>
        <v>1</v>
      </c>
      <c r="L963" s="14">
        <f>VLOOKUP($C963,Rotation!$A$2:$J$10,3,FALSE)</f>
        <v>0</v>
      </c>
      <c r="M963" s="14">
        <f>VLOOKUP($C963,Rotation!$A$2:$J$10,4,FALSE)</f>
        <v>0</v>
      </c>
      <c r="N963" s="14">
        <f>VLOOKUP($C963,Rotation!$A$2:$J$10,5,FALSE)</f>
        <v>1</v>
      </c>
      <c r="O963" s="14">
        <f>VLOOKUP($C963,Rotation!$A$2:$J$10,6,FALSE)</f>
        <v>1</v>
      </c>
      <c r="P963" s="14">
        <f>VLOOKUP($C963,Rotation!$A$2:$J$10,7,FALSE)</f>
        <v>1</v>
      </c>
      <c r="Q963" s="14">
        <f>VLOOKUP($C963,Rotation!$A$2:$J$10,8,FALSE)</f>
        <v>1</v>
      </c>
      <c r="R963" s="14">
        <f>VLOOKUP($C963,Rotation!$A$2:$J$10,9,FALSE)</f>
        <v>1</v>
      </c>
      <c r="S963" s="14">
        <f>VLOOKUP($C963,Rotation!$A$2:$J$10,10,FALSE)</f>
        <v>1</v>
      </c>
    </row>
    <row r="964" spans="1:19" ht="18">
      <c r="A964" s="14">
        <v>962</v>
      </c>
      <c r="B964" s="14" t="s">
        <v>93</v>
      </c>
      <c r="C964" s="14" t="str">
        <f>VLOOKUP(B964,Family!B:C,2,FALSE)</f>
        <v>F</v>
      </c>
      <c r="D964" s="15">
        <v>504</v>
      </c>
      <c r="E964" s="14">
        <f>ROUND(VLOOKUP(C964,'Production Plan'!A:B,2,FALSE),2)</f>
        <v>394.98</v>
      </c>
      <c r="F964" s="16">
        <v>45859</v>
      </c>
      <c r="G964" s="17">
        <f>F964+6*7</f>
        <v>45901</v>
      </c>
      <c r="H964" s="14">
        <f>G964-F964</f>
        <v>42</v>
      </c>
      <c r="I964" s="14">
        <f>ROUND(D964/E964,3)</f>
        <v>1.276</v>
      </c>
      <c r="J964" s="14">
        <f>I964*24</f>
        <v>30.624000000000002</v>
      </c>
      <c r="K964" s="14">
        <f>VLOOKUP($C964,Rotation!$A$2:$J$10,2,FALSE)</f>
        <v>1</v>
      </c>
      <c r="L964" s="14">
        <f>VLOOKUP($C964,Rotation!$A$2:$J$10,3,FALSE)</f>
        <v>0</v>
      </c>
      <c r="M964" s="14">
        <f>VLOOKUP($C964,Rotation!$A$2:$J$10,4,FALSE)</f>
        <v>0</v>
      </c>
      <c r="N964" s="14">
        <f>VLOOKUP($C964,Rotation!$A$2:$J$10,5,FALSE)</f>
        <v>1</v>
      </c>
      <c r="O964" s="14">
        <f>VLOOKUP($C964,Rotation!$A$2:$J$10,6,FALSE)</f>
        <v>1</v>
      </c>
      <c r="P964" s="14">
        <f>VLOOKUP($C964,Rotation!$A$2:$J$10,7,FALSE)</f>
        <v>1</v>
      </c>
      <c r="Q964" s="14">
        <f>VLOOKUP($C964,Rotation!$A$2:$J$10,8,FALSE)</f>
        <v>1</v>
      </c>
      <c r="R964" s="14">
        <f>VLOOKUP($C964,Rotation!$A$2:$J$10,9,FALSE)</f>
        <v>1</v>
      </c>
      <c r="S964" s="14">
        <f>VLOOKUP($C964,Rotation!$A$2:$J$10,10,FALSE)</f>
        <v>1</v>
      </c>
    </row>
    <row r="965" spans="1:19" ht="18">
      <c r="A965" s="14">
        <v>963</v>
      </c>
      <c r="B965" s="14" t="s">
        <v>90</v>
      </c>
      <c r="C965" s="14" t="str">
        <f>VLOOKUP(B965,Family!B:C,2,FALSE)</f>
        <v>E</v>
      </c>
      <c r="D965" s="15">
        <v>18</v>
      </c>
      <c r="E965" s="14">
        <f>ROUND(VLOOKUP(C965,'Production Plan'!A:B,2,FALSE),2)</f>
        <v>333.66</v>
      </c>
      <c r="F965" s="16">
        <v>45862</v>
      </c>
      <c r="G965" s="17">
        <f>F965+6*7</f>
        <v>45904</v>
      </c>
      <c r="H965" s="14">
        <f>G965-F965</f>
        <v>42</v>
      </c>
      <c r="I965" s="14">
        <f>ROUND(D965/E965,3)</f>
        <v>5.3999999999999999E-2</v>
      </c>
      <c r="J965" s="14">
        <f>I965*24</f>
        <v>1.296</v>
      </c>
      <c r="K965" s="14">
        <f>VLOOKUP($C965,Rotation!$A$2:$J$10,2,FALSE)</f>
        <v>1</v>
      </c>
      <c r="L965" s="14">
        <f>VLOOKUP($C965,Rotation!$A$2:$J$10,3,FALSE)</f>
        <v>0</v>
      </c>
      <c r="M965" s="14">
        <f>VLOOKUP($C965,Rotation!$A$2:$J$10,4,FALSE)</f>
        <v>0</v>
      </c>
      <c r="N965" s="14">
        <f>VLOOKUP($C965,Rotation!$A$2:$J$10,5,FALSE)</f>
        <v>0</v>
      </c>
      <c r="O965" s="14">
        <f>VLOOKUP($C965,Rotation!$A$2:$J$10,6,FALSE)</f>
        <v>0</v>
      </c>
      <c r="P965" s="14">
        <f>VLOOKUP($C965,Rotation!$A$2:$J$10,7,FALSE)</f>
        <v>1</v>
      </c>
      <c r="Q965" s="14">
        <f>VLOOKUP($C965,Rotation!$A$2:$J$10,8,FALSE)</f>
        <v>0</v>
      </c>
      <c r="R965" s="14">
        <f>VLOOKUP($C965,Rotation!$A$2:$J$10,9,FALSE)</f>
        <v>0</v>
      </c>
      <c r="S965" s="14">
        <f>VLOOKUP($C965,Rotation!$A$2:$J$10,10,FALSE)</f>
        <v>0</v>
      </c>
    </row>
    <row r="966" spans="1:19" ht="18">
      <c r="A966" s="14">
        <v>964</v>
      </c>
      <c r="B966" s="14" t="s">
        <v>93</v>
      </c>
      <c r="C966" s="14" t="str">
        <f>VLOOKUP(B966,Family!B:C,2,FALSE)</f>
        <v>F</v>
      </c>
      <c r="D966" s="15">
        <v>499</v>
      </c>
      <c r="E966" s="14">
        <f>ROUND(VLOOKUP(C966,'Production Plan'!A:B,2,FALSE),2)</f>
        <v>394.98</v>
      </c>
      <c r="F966" s="16">
        <v>45897</v>
      </c>
      <c r="G966" s="17">
        <f>F966+6*7</f>
        <v>45939</v>
      </c>
      <c r="H966" s="14">
        <f>G966-F966</f>
        <v>42</v>
      </c>
      <c r="I966" s="14">
        <f>ROUND(D966/E966,3)</f>
        <v>1.2629999999999999</v>
      </c>
      <c r="J966" s="14">
        <f>I966*24</f>
        <v>30.311999999999998</v>
      </c>
      <c r="K966" s="14">
        <f>VLOOKUP($C966,Rotation!$A$2:$J$10,2,FALSE)</f>
        <v>1</v>
      </c>
      <c r="L966" s="14">
        <f>VLOOKUP($C966,Rotation!$A$2:$J$10,3,FALSE)</f>
        <v>0</v>
      </c>
      <c r="M966" s="14">
        <f>VLOOKUP($C966,Rotation!$A$2:$J$10,4,FALSE)</f>
        <v>0</v>
      </c>
      <c r="N966" s="14">
        <f>VLOOKUP($C966,Rotation!$A$2:$J$10,5,FALSE)</f>
        <v>1</v>
      </c>
      <c r="O966" s="14">
        <f>VLOOKUP($C966,Rotation!$A$2:$J$10,6,FALSE)</f>
        <v>1</v>
      </c>
      <c r="P966" s="14">
        <f>VLOOKUP($C966,Rotation!$A$2:$J$10,7,FALSE)</f>
        <v>1</v>
      </c>
      <c r="Q966" s="14">
        <f>VLOOKUP($C966,Rotation!$A$2:$J$10,8,FALSE)</f>
        <v>1</v>
      </c>
      <c r="R966" s="14">
        <f>VLOOKUP($C966,Rotation!$A$2:$J$10,9,FALSE)</f>
        <v>1</v>
      </c>
      <c r="S966" s="14">
        <f>VLOOKUP($C966,Rotation!$A$2:$J$10,10,FALSE)</f>
        <v>1</v>
      </c>
    </row>
    <row r="967" spans="1:19" ht="18">
      <c r="A967" s="14">
        <v>965</v>
      </c>
      <c r="B967" s="14" t="s">
        <v>96</v>
      </c>
      <c r="C967" s="14" t="str">
        <f>VLOOKUP(B967,Family!B:C,2,FALSE)</f>
        <v>F</v>
      </c>
      <c r="D967" s="15">
        <v>490</v>
      </c>
      <c r="E967" s="14">
        <f>ROUND(VLOOKUP(C967,'Production Plan'!A:B,2,FALSE),2)</f>
        <v>394.98</v>
      </c>
      <c r="F967" s="16">
        <v>45896</v>
      </c>
      <c r="G967" s="17">
        <f>F967+6*7</f>
        <v>45938</v>
      </c>
      <c r="H967" s="14">
        <f>G967-F967</f>
        <v>42</v>
      </c>
      <c r="I967" s="14">
        <f>ROUND(D967/E967,3)</f>
        <v>1.2410000000000001</v>
      </c>
      <c r="J967" s="14">
        <f>I967*24</f>
        <v>29.784000000000002</v>
      </c>
      <c r="K967" s="14">
        <f>VLOOKUP($C967,Rotation!$A$2:$J$10,2,FALSE)</f>
        <v>1</v>
      </c>
      <c r="L967" s="14">
        <f>VLOOKUP($C967,Rotation!$A$2:$J$10,3,FALSE)</f>
        <v>0</v>
      </c>
      <c r="M967" s="14">
        <f>VLOOKUP($C967,Rotation!$A$2:$J$10,4,FALSE)</f>
        <v>0</v>
      </c>
      <c r="N967" s="14">
        <f>VLOOKUP($C967,Rotation!$A$2:$J$10,5,FALSE)</f>
        <v>1</v>
      </c>
      <c r="O967" s="14">
        <f>VLOOKUP($C967,Rotation!$A$2:$J$10,6,FALSE)</f>
        <v>1</v>
      </c>
      <c r="P967" s="14">
        <f>VLOOKUP($C967,Rotation!$A$2:$J$10,7,FALSE)</f>
        <v>1</v>
      </c>
      <c r="Q967" s="14">
        <f>VLOOKUP($C967,Rotation!$A$2:$J$10,8,FALSE)</f>
        <v>1</v>
      </c>
      <c r="R967" s="14">
        <f>VLOOKUP($C967,Rotation!$A$2:$J$10,9,FALSE)</f>
        <v>1</v>
      </c>
      <c r="S967" s="14">
        <f>VLOOKUP($C967,Rotation!$A$2:$J$10,10,FALSE)</f>
        <v>1</v>
      </c>
    </row>
    <row r="968" spans="1:19" ht="18">
      <c r="A968" s="14">
        <v>966</v>
      </c>
      <c r="B968" s="14" t="s">
        <v>77</v>
      </c>
      <c r="C968" s="14" t="str">
        <f>VLOOKUP(B968,Family!B:C,2,FALSE)</f>
        <v>E</v>
      </c>
      <c r="D968" s="15">
        <v>18</v>
      </c>
      <c r="E968" s="14">
        <f>ROUND(VLOOKUP(C968,'Production Plan'!A:B,2,FALSE),2)</f>
        <v>333.66</v>
      </c>
      <c r="F968" s="16">
        <v>45904</v>
      </c>
      <c r="G968" s="17">
        <f>F968+6*7</f>
        <v>45946</v>
      </c>
      <c r="H968" s="14">
        <f>G968-F968</f>
        <v>42</v>
      </c>
      <c r="I968" s="14">
        <f>ROUND(D968/E968,3)</f>
        <v>5.3999999999999999E-2</v>
      </c>
      <c r="J968" s="14">
        <f>I968*24</f>
        <v>1.296</v>
      </c>
      <c r="K968" s="14">
        <f>VLOOKUP($C968,Rotation!$A$2:$J$10,2,FALSE)</f>
        <v>1</v>
      </c>
      <c r="L968" s="14">
        <f>VLOOKUP($C968,Rotation!$A$2:$J$10,3,FALSE)</f>
        <v>0</v>
      </c>
      <c r="M968" s="14">
        <f>VLOOKUP($C968,Rotation!$A$2:$J$10,4,FALSE)</f>
        <v>0</v>
      </c>
      <c r="N968" s="14">
        <f>VLOOKUP($C968,Rotation!$A$2:$J$10,5,FALSE)</f>
        <v>0</v>
      </c>
      <c r="O968" s="14">
        <f>VLOOKUP($C968,Rotation!$A$2:$J$10,6,FALSE)</f>
        <v>0</v>
      </c>
      <c r="P968" s="14">
        <f>VLOOKUP($C968,Rotation!$A$2:$J$10,7,FALSE)</f>
        <v>1</v>
      </c>
      <c r="Q968" s="14">
        <f>VLOOKUP($C968,Rotation!$A$2:$J$10,8,FALSE)</f>
        <v>0</v>
      </c>
      <c r="R968" s="14">
        <f>VLOOKUP($C968,Rotation!$A$2:$J$10,9,FALSE)</f>
        <v>0</v>
      </c>
      <c r="S968" s="14">
        <f>VLOOKUP($C968,Rotation!$A$2:$J$10,10,FALSE)</f>
        <v>0</v>
      </c>
    </row>
    <row r="969" spans="1:19" ht="18">
      <c r="A969" s="14">
        <v>967</v>
      </c>
      <c r="B969" s="14" t="s">
        <v>64</v>
      </c>
      <c r="C969" s="14" t="str">
        <f>VLOOKUP(B969,Family!B:C,2,FALSE)</f>
        <v>A</v>
      </c>
      <c r="D969" s="15">
        <v>111</v>
      </c>
      <c r="E969" s="14">
        <f>ROUND(VLOOKUP(C969,'Production Plan'!A:B,2,FALSE),2)</f>
        <v>407.17</v>
      </c>
      <c r="F969" s="16">
        <v>45855</v>
      </c>
      <c r="G969" s="17">
        <f>F969+6*7</f>
        <v>45897</v>
      </c>
      <c r="H969" s="14">
        <f>G969-F969</f>
        <v>42</v>
      </c>
      <c r="I969" s="14">
        <f>ROUND(D969/E969,3)</f>
        <v>0.27300000000000002</v>
      </c>
      <c r="J969" s="14">
        <f>I969*24</f>
        <v>6.5520000000000005</v>
      </c>
      <c r="K969" s="14">
        <f>VLOOKUP($C969,Rotation!$A$2:$J$10,2,FALSE)</f>
        <v>1</v>
      </c>
      <c r="L969" s="14">
        <f>VLOOKUP($C969,Rotation!$A$2:$J$10,3,FALSE)</f>
        <v>1</v>
      </c>
      <c r="M969" s="14">
        <f>VLOOKUP($C969,Rotation!$A$2:$J$10,4,FALSE)</f>
        <v>1</v>
      </c>
      <c r="N969" s="14">
        <f>VLOOKUP($C969,Rotation!$A$2:$J$10,5,FALSE)</f>
        <v>0</v>
      </c>
      <c r="O969" s="14">
        <f>VLOOKUP($C969,Rotation!$A$2:$J$10,6,FALSE)</f>
        <v>0</v>
      </c>
      <c r="P969" s="14">
        <f>VLOOKUP($C969,Rotation!$A$2:$J$10,7,FALSE)</f>
        <v>0</v>
      </c>
      <c r="Q969" s="14">
        <f>VLOOKUP($C969,Rotation!$A$2:$J$10,8,FALSE)</f>
        <v>0</v>
      </c>
      <c r="R969" s="14">
        <f>VLOOKUP($C969,Rotation!$A$2:$J$10,9,FALSE)</f>
        <v>0</v>
      </c>
      <c r="S969" s="14">
        <f>VLOOKUP($C969,Rotation!$A$2:$J$10,10,FALSE)</f>
        <v>0</v>
      </c>
    </row>
    <row r="970" spans="1:19" ht="18">
      <c r="A970" s="14">
        <v>968</v>
      </c>
      <c r="B970" s="14" t="s">
        <v>71</v>
      </c>
      <c r="C970" s="14" t="str">
        <f>VLOOKUP(B970,Family!B:C,2,FALSE)</f>
        <v>A</v>
      </c>
      <c r="D970" s="15">
        <v>391</v>
      </c>
      <c r="E970" s="14">
        <f>ROUND(VLOOKUP(C970,'Production Plan'!A:B,2,FALSE),2)</f>
        <v>407.17</v>
      </c>
      <c r="F970" s="16">
        <v>45862</v>
      </c>
      <c r="G970" s="17">
        <f>F970+6*7</f>
        <v>45904</v>
      </c>
      <c r="H970" s="14">
        <f>G970-F970</f>
        <v>42</v>
      </c>
      <c r="I970" s="14">
        <f>ROUND(D970/E970,3)</f>
        <v>0.96</v>
      </c>
      <c r="J970" s="14">
        <f>I970*24</f>
        <v>23.04</v>
      </c>
      <c r="K970" s="14">
        <f>VLOOKUP($C970,Rotation!$A$2:$J$10,2,FALSE)</f>
        <v>1</v>
      </c>
      <c r="L970" s="14">
        <f>VLOOKUP($C970,Rotation!$A$2:$J$10,3,FALSE)</f>
        <v>1</v>
      </c>
      <c r="M970" s="14">
        <f>VLOOKUP($C970,Rotation!$A$2:$J$10,4,FALSE)</f>
        <v>1</v>
      </c>
      <c r="N970" s="14">
        <f>VLOOKUP($C970,Rotation!$A$2:$J$10,5,FALSE)</f>
        <v>0</v>
      </c>
      <c r="O970" s="14">
        <f>VLOOKUP($C970,Rotation!$A$2:$J$10,6,FALSE)</f>
        <v>0</v>
      </c>
      <c r="P970" s="14">
        <f>VLOOKUP($C970,Rotation!$A$2:$J$10,7,FALSE)</f>
        <v>0</v>
      </c>
      <c r="Q970" s="14">
        <f>VLOOKUP($C970,Rotation!$A$2:$J$10,8,FALSE)</f>
        <v>0</v>
      </c>
      <c r="R970" s="14">
        <f>VLOOKUP($C970,Rotation!$A$2:$J$10,9,FALSE)</f>
        <v>0</v>
      </c>
      <c r="S970" s="14">
        <f>VLOOKUP($C970,Rotation!$A$2:$J$10,10,FALSE)</f>
        <v>0</v>
      </c>
    </row>
    <row r="971" spans="1:19" ht="18">
      <c r="A971" s="14">
        <v>969</v>
      </c>
      <c r="B971" s="14" t="s">
        <v>80</v>
      </c>
      <c r="C971" s="14" t="str">
        <f>VLOOKUP(B971,Family!B:C,2,FALSE)</f>
        <v>C</v>
      </c>
      <c r="D971" s="15">
        <v>19</v>
      </c>
      <c r="E971" s="14">
        <f>ROUND(VLOOKUP(C971,'Production Plan'!A:B,2,FALSE),2)</f>
        <v>411.11</v>
      </c>
      <c r="F971" s="16">
        <v>45862</v>
      </c>
      <c r="G971" s="17">
        <f>F971+6*7</f>
        <v>45904</v>
      </c>
      <c r="H971" s="14">
        <f>G971-F971</f>
        <v>42</v>
      </c>
      <c r="I971" s="14">
        <f>ROUND(D971/E971,3)</f>
        <v>4.5999999999999999E-2</v>
      </c>
      <c r="J971" s="14">
        <f>I971*24</f>
        <v>1.1040000000000001</v>
      </c>
      <c r="K971" s="14">
        <f>VLOOKUP($C971,Rotation!$A$2:$J$10,2,FALSE)</f>
        <v>1</v>
      </c>
      <c r="L971" s="14">
        <f>VLOOKUP($C971,Rotation!$A$2:$J$10,3,FALSE)</f>
        <v>0</v>
      </c>
      <c r="M971" s="14">
        <f>VLOOKUP($C971,Rotation!$A$2:$J$10,4,FALSE)</f>
        <v>0</v>
      </c>
      <c r="N971" s="14">
        <f>VLOOKUP($C971,Rotation!$A$2:$J$10,5,FALSE)</f>
        <v>0</v>
      </c>
      <c r="O971" s="14">
        <f>VLOOKUP($C971,Rotation!$A$2:$J$10,6,FALSE)</f>
        <v>1</v>
      </c>
      <c r="P971" s="14">
        <f>VLOOKUP($C971,Rotation!$A$2:$J$10,7,FALSE)</f>
        <v>0</v>
      </c>
      <c r="Q971" s="14">
        <f>VLOOKUP($C971,Rotation!$A$2:$J$10,8,FALSE)</f>
        <v>0</v>
      </c>
      <c r="R971" s="14">
        <f>VLOOKUP($C971,Rotation!$A$2:$J$10,9,FALSE)</f>
        <v>0</v>
      </c>
      <c r="S971" s="14">
        <f>VLOOKUP($C971,Rotation!$A$2:$J$10,10,FALSE)</f>
        <v>0</v>
      </c>
    </row>
    <row r="972" spans="1:19" ht="18">
      <c r="A972" s="14">
        <v>970</v>
      </c>
      <c r="B972" s="14" t="s">
        <v>80</v>
      </c>
      <c r="C972" s="14" t="str">
        <f>VLOOKUP(B972,Family!B:C,2,FALSE)</f>
        <v>C</v>
      </c>
      <c r="D972" s="15">
        <v>19</v>
      </c>
      <c r="E972" s="14">
        <f>ROUND(VLOOKUP(C972,'Production Plan'!A:B,2,FALSE),2)</f>
        <v>411.11</v>
      </c>
      <c r="F972" s="16">
        <v>45862</v>
      </c>
      <c r="G972" s="17">
        <f>F972+6*7</f>
        <v>45904</v>
      </c>
      <c r="H972" s="14">
        <f>G972-F972</f>
        <v>42</v>
      </c>
      <c r="I972" s="14">
        <f>ROUND(D972/E972,3)</f>
        <v>4.5999999999999999E-2</v>
      </c>
      <c r="J972" s="14">
        <f>I972*24</f>
        <v>1.1040000000000001</v>
      </c>
      <c r="K972" s="14">
        <f>VLOOKUP($C972,Rotation!$A$2:$J$10,2,FALSE)</f>
        <v>1</v>
      </c>
      <c r="L972" s="14">
        <f>VLOOKUP($C972,Rotation!$A$2:$J$10,3,FALSE)</f>
        <v>0</v>
      </c>
      <c r="M972" s="14">
        <f>VLOOKUP($C972,Rotation!$A$2:$J$10,4,FALSE)</f>
        <v>0</v>
      </c>
      <c r="N972" s="14">
        <f>VLOOKUP($C972,Rotation!$A$2:$J$10,5,FALSE)</f>
        <v>0</v>
      </c>
      <c r="O972" s="14">
        <f>VLOOKUP($C972,Rotation!$A$2:$J$10,6,FALSE)</f>
        <v>1</v>
      </c>
      <c r="P972" s="14">
        <f>VLOOKUP($C972,Rotation!$A$2:$J$10,7,FALSE)</f>
        <v>0</v>
      </c>
      <c r="Q972" s="14">
        <f>VLOOKUP($C972,Rotation!$A$2:$J$10,8,FALSE)</f>
        <v>0</v>
      </c>
      <c r="R972" s="14">
        <f>VLOOKUP($C972,Rotation!$A$2:$J$10,9,FALSE)</f>
        <v>0</v>
      </c>
      <c r="S972" s="14">
        <f>VLOOKUP($C972,Rotation!$A$2:$J$10,10,FALSE)</f>
        <v>0</v>
      </c>
    </row>
    <row r="973" spans="1:19" ht="18">
      <c r="A973" s="14">
        <v>971</v>
      </c>
      <c r="B973" s="14" t="s">
        <v>80</v>
      </c>
      <c r="C973" s="14" t="str">
        <f>VLOOKUP(B973,Family!B:C,2,FALSE)</f>
        <v>C</v>
      </c>
      <c r="D973" s="15">
        <v>19</v>
      </c>
      <c r="E973" s="14">
        <f>ROUND(VLOOKUP(C973,'Production Plan'!A:B,2,FALSE),2)</f>
        <v>411.11</v>
      </c>
      <c r="F973" s="16">
        <v>45862</v>
      </c>
      <c r="G973" s="17">
        <f>F973+6*7</f>
        <v>45904</v>
      </c>
      <c r="H973" s="14">
        <f>G973-F973</f>
        <v>42</v>
      </c>
      <c r="I973" s="14">
        <f>ROUND(D973/E973,3)</f>
        <v>4.5999999999999999E-2</v>
      </c>
      <c r="J973" s="14">
        <f>I973*24</f>
        <v>1.1040000000000001</v>
      </c>
      <c r="K973" s="14">
        <f>VLOOKUP($C973,Rotation!$A$2:$J$10,2,FALSE)</f>
        <v>1</v>
      </c>
      <c r="L973" s="14">
        <f>VLOOKUP($C973,Rotation!$A$2:$J$10,3,FALSE)</f>
        <v>0</v>
      </c>
      <c r="M973" s="14">
        <f>VLOOKUP($C973,Rotation!$A$2:$J$10,4,FALSE)</f>
        <v>0</v>
      </c>
      <c r="N973" s="14">
        <f>VLOOKUP($C973,Rotation!$A$2:$J$10,5,FALSE)</f>
        <v>0</v>
      </c>
      <c r="O973" s="14">
        <f>VLOOKUP($C973,Rotation!$A$2:$J$10,6,FALSE)</f>
        <v>1</v>
      </c>
      <c r="P973" s="14">
        <f>VLOOKUP($C973,Rotation!$A$2:$J$10,7,FALSE)</f>
        <v>0</v>
      </c>
      <c r="Q973" s="14">
        <f>VLOOKUP($C973,Rotation!$A$2:$J$10,8,FALSE)</f>
        <v>0</v>
      </c>
      <c r="R973" s="14">
        <f>VLOOKUP($C973,Rotation!$A$2:$J$10,9,FALSE)</f>
        <v>0</v>
      </c>
      <c r="S973" s="14">
        <f>VLOOKUP($C973,Rotation!$A$2:$J$10,10,FALSE)</f>
        <v>0</v>
      </c>
    </row>
    <row r="974" spans="1:19" ht="18">
      <c r="A974" s="14">
        <v>972</v>
      </c>
      <c r="B974" s="14" t="s">
        <v>111</v>
      </c>
      <c r="C974" s="14" t="str">
        <f>VLOOKUP(B974,Family!B:C,2,FALSE)</f>
        <v>N</v>
      </c>
      <c r="D974" s="15">
        <v>45</v>
      </c>
      <c r="E974" s="14">
        <f>ROUND(VLOOKUP(C974,'Production Plan'!A:B,2,FALSE),2)</f>
        <v>334.18</v>
      </c>
      <c r="F974" s="16">
        <v>45854</v>
      </c>
      <c r="G974" s="17">
        <f>F974+6*7</f>
        <v>45896</v>
      </c>
      <c r="H974" s="14">
        <f>G974-F974</f>
        <v>42</v>
      </c>
      <c r="I974" s="14">
        <f>ROUND(D974/E974,3)</f>
        <v>0.13500000000000001</v>
      </c>
      <c r="J974" s="14">
        <f>I974*24</f>
        <v>3.24</v>
      </c>
      <c r="K974" s="14">
        <f>VLOOKUP($C974,Rotation!$A$2:$J$10,2,FALSE)</f>
        <v>1</v>
      </c>
      <c r="L974" s="14">
        <f>VLOOKUP($C974,Rotation!$A$2:$J$10,3,FALSE)</f>
        <v>0</v>
      </c>
      <c r="M974" s="14">
        <f>VLOOKUP($C974,Rotation!$A$2:$J$10,4,FALSE)</f>
        <v>0</v>
      </c>
      <c r="N974" s="14">
        <f>VLOOKUP($C974,Rotation!$A$2:$J$10,5,FALSE)</f>
        <v>0</v>
      </c>
      <c r="O974" s="14">
        <f>VLOOKUP($C974,Rotation!$A$2:$J$10,6,FALSE)</f>
        <v>0</v>
      </c>
      <c r="P974" s="14">
        <f>VLOOKUP($C974,Rotation!$A$2:$J$10,7,FALSE)</f>
        <v>0</v>
      </c>
      <c r="Q974" s="14">
        <f>VLOOKUP($C974,Rotation!$A$2:$J$10,8,FALSE)</f>
        <v>1</v>
      </c>
      <c r="R974" s="14">
        <f>VLOOKUP($C974,Rotation!$A$2:$J$10,9,FALSE)</f>
        <v>0</v>
      </c>
      <c r="S974" s="14">
        <f>VLOOKUP($C974,Rotation!$A$2:$J$10,10,FALSE)</f>
        <v>0</v>
      </c>
    </row>
    <row r="975" spans="1:19" ht="18">
      <c r="A975" s="14">
        <v>973</v>
      </c>
      <c r="B975" s="14" t="s">
        <v>64</v>
      </c>
      <c r="C975" s="14" t="str">
        <f>VLOOKUP(B975,Family!B:C,2,FALSE)</f>
        <v>A</v>
      </c>
      <c r="D975" s="15">
        <v>111</v>
      </c>
      <c r="E975" s="14">
        <f>ROUND(VLOOKUP(C975,'Production Plan'!A:B,2,FALSE),2)</f>
        <v>407.17</v>
      </c>
      <c r="F975" s="16">
        <v>45855</v>
      </c>
      <c r="G975" s="17">
        <f>F975+6*7</f>
        <v>45897</v>
      </c>
      <c r="H975" s="14">
        <f>G975-F975</f>
        <v>42</v>
      </c>
      <c r="I975" s="14">
        <f>ROUND(D975/E975,3)</f>
        <v>0.27300000000000002</v>
      </c>
      <c r="J975" s="14">
        <f>I975*24</f>
        <v>6.5520000000000005</v>
      </c>
      <c r="K975" s="14">
        <f>VLOOKUP($C975,Rotation!$A$2:$J$10,2,FALSE)</f>
        <v>1</v>
      </c>
      <c r="L975" s="14">
        <f>VLOOKUP($C975,Rotation!$A$2:$J$10,3,FALSE)</f>
        <v>1</v>
      </c>
      <c r="M975" s="14">
        <f>VLOOKUP($C975,Rotation!$A$2:$J$10,4,FALSE)</f>
        <v>1</v>
      </c>
      <c r="N975" s="14">
        <f>VLOOKUP($C975,Rotation!$A$2:$J$10,5,FALSE)</f>
        <v>0</v>
      </c>
      <c r="O975" s="14">
        <f>VLOOKUP($C975,Rotation!$A$2:$J$10,6,FALSE)</f>
        <v>0</v>
      </c>
      <c r="P975" s="14">
        <f>VLOOKUP($C975,Rotation!$A$2:$J$10,7,FALSE)</f>
        <v>0</v>
      </c>
      <c r="Q975" s="14">
        <f>VLOOKUP($C975,Rotation!$A$2:$J$10,8,FALSE)</f>
        <v>0</v>
      </c>
      <c r="R975" s="14">
        <f>VLOOKUP($C975,Rotation!$A$2:$J$10,9,FALSE)</f>
        <v>0</v>
      </c>
      <c r="S975" s="14">
        <f>VLOOKUP($C975,Rotation!$A$2:$J$10,10,FALSE)</f>
        <v>0</v>
      </c>
    </row>
    <row r="976" spans="1:19" ht="18">
      <c r="A976" s="14">
        <v>974</v>
      </c>
      <c r="B976" s="14" t="s">
        <v>111</v>
      </c>
      <c r="C976" s="14" t="str">
        <f>VLOOKUP(B976,Family!B:C,2,FALSE)</f>
        <v>N</v>
      </c>
      <c r="D976" s="15">
        <v>22</v>
      </c>
      <c r="E976" s="14">
        <f>ROUND(VLOOKUP(C976,'Production Plan'!A:B,2,FALSE),2)</f>
        <v>334.18</v>
      </c>
      <c r="F976" s="16">
        <v>45863</v>
      </c>
      <c r="G976" s="17">
        <f>F976+6*7</f>
        <v>45905</v>
      </c>
      <c r="H976" s="14">
        <f>G976-F976</f>
        <v>42</v>
      </c>
      <c r="I976" s="14">
        <f>ROUND(D976/E976,3)</f>
        <v>6.6000000000000003E-2</v>
      </c>
      <c r="J976" s="14">
        <f>I976*24</f>
        <v>1.5840000000000001</v>
      </c>
      <c r="K976" s="14">
        <f>VLOOKUP($C976,Rotation!$A$2:$J$10,2,FALSE)</f>
        <v>1</v>
      </c>
      <c r="L976" s="14">
        <f>VLOOKUP($C976,Rotation!$A$2:$J$10,3,FALSE)</f>
        <v>0</v>
      </c>
      <c r="M976" s="14">
        <f>VLOOKUP($C976,Rotation!$A$2:$J$10,4,FALSE)</f>
        <v>0</v>
      </c>
      <c r="N976" s="14">
        <f>VLOOKUP($C976,Rotation!$A$2:$J$10,5,FALSE)</f>
        <v>0</v>
      </c>
      <c r="O976" s="14">
        <f>VLOOKUP($C976,Rotation!$A$2:$J$10,6,FALSE)</f>
        <v>0</v>
      </c>
      <c r="P976" s="14">
        <f>VLOOKUP($C976,Rotation!$A$2:$J$10,7,FALSE)</f>
        <v>0</v>
      </c>
      <c r="Q976" s="14">
        <f>VLOOKUP($C976,Rotation!$A$2:$J$10,8,FALSE)</f>
        <v>1</v>
      </c>
      <c r="R976" s="14">
        <f>VLOOKUP($C976,Rotation!$A$2:$J$10,9,FALSE)</f>
        <v>0</v>
      </c>
      <c r="S976" s="14">
        <f>VLOOKUP($C976,Rotation!$A$2:$J$10,10,FALSE)</f>
        <v>0</v>
      </c>
    </row>
    <row r="977" spans="1:19" ht="18">
      <c r="A977" s="14">
        <v>975</v>
      </c>
      <c r="B977" s="14" t="s">
        <v>111</v>
      </c>
      <c r="C977" s="14" t="str">
        <f>VLOOKUP(B977,Family!B:C,2,FALSE)</f>
        <v>N</v>
      </c>
      <c r="D977" s="15">
        <v>22</v>
      </c>
      <c r="E977" s="14">
        <f>ROUND(VLOOKUP(C977,'Production Plan'!A:B,2,FALSE),2)</f>
        <v>334.18</v>
      </c>
      <c r="F977" s="16">
        <v>45863</v>
      </c>
      <c r="G977" s="17">
        <f>F977+6*7</f>
        <v>45905</v>
      </c>
      <c r="H977" s="14">
        <f>G977-F977</f>
        <v>42</v>
      </c>
      <c r="I977" s="14">
        <f>ROUND(D977/E977,3)</f>
        <v>6.6000000000000003E-2</v>
      </c>
      <c r="J977" s="14">
        <f>I977*24</f>
        <v>1.5840000000000001</v>
      </c>
      <c r="K977" s="14">
        <f>VLOOKUP($C977,Rotation!$A$2:$J$10,2,FALSE)</f>
        <v>1</v>
      </c>
      <c r="L977" s="14">
        <f>VLOOKUP($C977,Rotation!$A$2:$J$10,3,FALSE)</f>
        <v>0</v>
      </c>
      <c r="M977" s="14">
        <f>VLOOKUP($C977,Rotation!$A$2:$J$10,4,FALSE)</f>
        <v>0</v>
      </c>
      <c r="N977" s="14">
        <f>VLOOKUP($C977,Rotation!$A$2:$J$10,5,FALSE)</f>
        <v>0</v>
      </c>
      <c r="O977" s="14">
        <f>VLOOKUP($C977,Rotation!$A$2:$J$10,6,FALSE)</f>
        <v>0</v>
      </c>
      <c r="P977" s="14">
        <f>VLOOKUP($C977,Rotation!$A$2:$J$10,7,FALSE)</f>
        <v>0</v>
      </c>
      <c r="Q977" s="14">
        <f>VLOOKUP($C977,Rotation!$A$2:$J$10,8,FALSE)</f>
        <v>1</v>
      </c>
      <c r="R977" s="14">
        <f>VLOOKUP($C977,Rotation!$A$2:$J$10,9,FALSE)</f>
        <v>0</v>
      </c>
      <c r="S977" s="14">
        <f>VLOOKUP($C977,Rotation!$A$2:$J$10,10,FALSE)</f>
        <v>0</v>
      </c>
    </row>
    <row r="978" spans="1:19" ht="18">
      <c r="A978" s="14">
        <v>976</v>
      </c>
      <c r="B978" s="14" t="s">
        <v>83</v>
      </c>
      <c r="C978" s="14" t="str">
        <f>VLOOKUP(B978,Family!B:C,2,FALSE)</f>
        <v>C</v>
      </c>
      <c r="D978" s="15">
        <v>148</v>
      </c>
      <c r="E978" s="14">
        <f>ROUND(VLOOKUP(C978,'Production Plan'!A:B,2,FALSE),2)</f>
        <v>411.11</v>
      </c>
      <c r="F978" s="16">
        <v>45874</v>
      </c>
      <c r="G978" s="17">
        <f>F978+6*7</f>
        <v>45916</v>
      </c>
      <c r="H978" s="14">
        <f>G978-F978</f>
        <v>42</v>
      </c>
      <c r="I978" s="14">
        <f>ROUND(D978/E978,3)</f>
        <v>0.36</v>
      </c>
      <c r="J978" s="14">
        <f>I978*24</f>
        <v>8.64</v>
      </c>
      <c r="K978" s="14">
        <f>VLOOKUP($C978,Rotation!$A$2:$J$10,2,FALSE)</f>
        <v>1</v>
      </c>
      <c r="L978" s="14">
        <f>VLOOKUP($C978,Rotation!$A$2:$J$10,3,FALSE)</f>
        <v>0</v>
      </c>
      <c r="M978" s="14">
        <f>VLOOKUP($C978,Rotation!$A$2:$J$10,4,FALSE)</f>
        <v>0</v>
      </c>
      <c r="N978" s="14">
        <f>VLOOKUP($C978,Rotation!$A$2:$J$10,5,FALSE)</f>
        <v>0</v>
      </c>
      <c r="O978" s="14">
        <f>VLOOKUP($C978,Rotation!$A$2:$J$10,6,FALSE)</f>
        <v>1</v>
      </c>
      <c r="P978" s="14">
        <f>VLOOKUP($C978,Rotation!$A$2:$J$10,7,FALSE)</f>
        <v>0</v>
      </c>
      <c r="Q978" s="14">
        <f>VLOOKUP($C978,Rotation!$A$2:$J$10,8,FALSE)</f>
        <v>0</v>
      </c>
      <c r="R978" s="14">
        <f>VLOOKUP($C978,Rotation!$A$2:$J$10,9,FALSE)</f>
        <v>0</v>
      </c>
      <c r="S978" s="14">
        <f>VLOOKUP($C978,Rotation!$A$2:$J$10,10,FALSE)</f>
        <v>0</v>
      </c>
    </row>
    <row r="979" spans="1:19" ht="18">
      <c r="A979" s="14">
        <v>977</v>
      </c>
      <c r="B979" s="14" t="s">
        <v>64</v>
      </c>
      <c r="C979" s="14" t="str">
        <f>VLOOKUP(B979,Family!B:C,2,FALSE)</f>
        <v>A</v>
      </c>
      <c r="D979" s="15">
        <v>111</v>
      </c>
      <c r="E979" s="14">
        <f>ROUND(VLOOKUP(C979,'Production Plan'!A:B,2,FALSE),2)</f>
        <v>407.17</v>
      </c>
      <c r="F979" s="16">
        <v>45855</v>
      </c>
      <c r="G979" s="17">
        <f>F979+6*7</f>
        <v>45897</v>
      </c>
      <c r="H979" s="14">
        <f>G979-F979</f>
        <v>42</v>
      </c>
      <c r="I979" s="14">
        <f>ROUND(D979/E979,3)</f>
        <v>0.27300000000000002</v>
      </c>
      <c r="J979" s="14">
        <f>I979*24</f>
        <v>6.5520000000000005</v>
      </c>
      <c r="K979" s="14">
        <f>VLOOKUP($C979,Rotation!$A$2:$J$10,2,FALSE)</f>
        <v>1</v>
      </c>
      <c r="L979" s="14">
        <f>VLOOKUP($C979,Rotation!$A$2:$J$10,3,FALSE)</f>
        <v>1</v>
      </c>
      <c r="M979" s="14">
        <f>VLOOKUP($C979,Rotation!$A$2:$J$10,4,FALSE)</f>
        <v>1</v>
      </c>
      <c r="N979" s="14">
        <f>VLOOKUP($C979,Rotation!$A$2:$J$10,5,FALSE)</f>
        <v>0</v>
      </c>
      <c r="O979" s="14">
        <f>VLOOKUP($C979,Rotation!$A$2:$J$10,6,FALSE)</f>
        <v>0</v>
      </c>
      <c r="P979" s="14">
        <f>VLOOKUP($C979,Rotation!$A$2:$J$10,7,FALSE)</f>
        <v>0</v>
      </c>
      <c r="Q979" s="14">
        <f>VLOOKUP($C979,Rotation!$A$2:$J$10,8,FALSE)</f>
        <v>0</v>
      </c>
      <c r="R979" s="14">
        <f>VLOOKUP($C979,Rotation!$A$2:$J$10,9,FALSE)</f>
        <v>0</v>
      </c>
      <c r="S979" s="14">
        <f>VLOOKUP($C979,Rotation!$A$2:$J$10,10,FALSE)</f>
        <v>0</v>
      </c>
    </row>
    <row r="980" spans="1:19" ht="18">
      <c r="A980" s="14">
        <v>978</v>
      </c>
      <c r="B980" s="14" t="s">
        <v>64</v>
      </c>
      <c r="C980" s="14" t="str">
        <f>VLOOKUP(B980,Family!B:C,2,FALSE)</f>
        <v>A</v>
      </c>
      <c r="D980" s="15">
        <v>74</v>
      </c>
      <c r="E980" s="14">
        <f>ROUND(VLOOKUP(C980,'Production Plan'!A:B,2,FALSE),2)</f>
        <v>407.17</v>
      </c>
      <c r="F980" s="16">
        <v>45855</v>
      </c>
      <c r="G980" s="17">
        <f>F980+6*7</f>
        <v>45897</v>
      </c>
      <c r="H980" s="14">
        <f>G980-F980</f>
        <v>42</v>
      </c>
      <c r="I980" s="14">
        <f>ROUND(D980/E980,3)</f>
        <v>0.182</v>
      </c>
      <c r="J980" s="14">
        <f>I980*24</f>
        <v>4.3680000000000003</v>
      </c>
      <c r="K980" s="14">
        <f>VLOOKUP($C980,Rotation!$A$2:$J$10,2,FALSE)</f>
        <v>1</v>
      </c>
      <c r="L980" s="14">
        <f>VLOOKUP($C980,Rotation!$A$2:$J$10,3,FALSE)</f>
        <v>1</v>
      </c>
      <c r="M980" s="14">
        <f>VLOOKUP($C980,Rotation!$A$2:$J$10,4,FALSE)</f>
        <v>1</v>
      </c>
      <c r="N980" s="14">
        <f>VLOOKUP($C980,Rotation!$A$2:$J$10,5,FALSE)</f>
        <v>0</v>
      </c>
      <c r="O980" s="14">
        <f>VLOOKUP($C980,Rotation!$A$2:$J$10,6,FALSE)</f>
        <v>0</v>
      </c>
      <c r="P980" s="14">
        <f>VLOOKUP($C980,Rotation!$A$2:$J$10,7,FALSE)</f>
        <v>0</v>
      </c>
      <c r="Q980" s="14">
        <f>VLOOKUP($C980,Rotation!$A$2:$J$10,8,FALSE)</f>
        <v>0</v>
      </c>
      <c r="R980" s="14">
        <f>VLOOKUP($C980,Rotation!$A$2:$J$10,9,FALSE)</f>
        <v>0</v>
      </c>
      <c r="S980" s="14">
        <f>VLOOKUP($C980,Rotation!$A$2:$J$10,10,FALSE)</f>
        <v>0</v>
      </c>
    </row>
    <row r="981" spans="1:19" ht="18">
      <c r="A981" s="14">
        <v>979</v>
      </c>
      <c r="B981" s="14" t="s">
        <v>112</v>
      </c>
      <c r="C981" s="14" t="str">
        <f>VLOOKUP(B981,Family!B:C,2,FALSE)</f>
        <v>N</v>
      </c>
      <c r="D981" s="15">
        <v>63.968000000000004</v>
      </c>
      <c r="E981" s="14">
        <f>ROUND(VLOOKUP(C981,'Production Plan'!A:B,2,FALSE),2)</f>
        <v>334.18</v>
      </c>
      <c r="F981" s="16">
        <v>45854</v>
      </c>
      <c r="G981" s="17">
        <f>F981+6*7</f>
        <v>45896</v>
      </c>
      <c r="H981" s="14">
        <f>G981-F981</f>
        <v>42</v>
      </c>
      <c r="I981" s="14">
        <f>ROUND(D981/E981,3)</f>
        <v>0.191</v>
      </c>
      <c r="J981" s="14">
        <f>I981*24</f>
        <v>4.5839999999999996</v>
      </c>
      <c r="K981" s="14">
        <f>VLOOKUP($C981,Rotation!$A$2:$J$10,2,FALSE)</f>
        <v>1</v>
      </c>
      <c r="L981" s="14">
        <f>VLOOKUP($C981,Rotation!$A$2:$J$10,3,FALSE)</f>
        <v>0</v>
      </c>
      <c r="M981" s="14">
        <f>VLOOKUP($C981,Rotation!$A$2:$J$10,4,FALSE)</f>
        <v>0</v>
      </c>
      <c r="N981" s="14">
        <f>VLOOKUP($C981,Rotation!$A$2:$J$10,5,FALSE)</f>
        <v>0</v>
      </c>
      <c r="O981" s="14">
        <f>VLOOKUP($C981,Rotation!$A$2:$J$10,6,FALSE)</f>
        <v>0</v>
      </c>
      <c r="P981" s="14">
        <f>VLOOKUP($C981,Rotation!$A$2:$J$10,7,FALSE)</f>
        <v>0</v>
      </c>
      <c r="Q981" s="14">
        <f>VLOOKUP($C981,Rotation!$A$2:$J$10,8,FALSE)</f>
        <v>1</v>
      </c>
      <c r="R981" s="14">
        <f>VLOOKUP($C981,Rotation!$A$2:$J$10,9,FALSE)</f>
        <v>0</v>
      </c>
      <c r="S981" s="14">
        <f>VLOOKUP($C981,Rotation!$A$2:$J$10,10,FALSE)</f>
        <v>0</v>
      </c>
    </row>
    <row r="982" spans="1:19" ht="18">
      <c r="A982" s="14">
        <v>980</v>
      </c>
      <c r="B982" s="14" t="s">
        <v>71</v>
      </c>
      <c r="C982" s="14" t="str">
        <f>VLOOKUP(B982,Family!B:C,2,FALSE)</f>
        <v>A</v>
      </c>
      <c r="D982" s="15">
        <v>391</v>
      </c>
      <c r="E982" s="14">
        <f>ROUND(VLOOKUP(C982,'Production Plan'!A:B,2,FALSE),2)</f>
        <v>407.17</v>
      </c>
      <c r="F982" s="16">
        <v>45862</v>
      </c>
      <c r="G982" s="17">
        <f>F982+6*7</f>
        <v>45904</v>
      </c>
      <c r="H982" s="14">
        <f>G982-F982</f>
        <v>42</v>
      </c>
      <c r="I982" s="14">
        <f>ROUND(D982/E982,3)</f>
        <v>0.96</v>
      </c>
      <c r="J982" s="14">
        <f>I982*24</f>
        <v>23.04</v>
      </c>
      <c r="K982" s="14">
        <f>VLOOKUP($C982,Rotation!$A$2:$J$10,2,FALSE)</f>
        <v>1</v>
      </c>
      <c r="L982" s="14">
        <f>VLOOKUP($C982,Rotation!$A$2:$J$10,3,FALSE)</f>
        <v>1</v>
      </c>
      <c r="M982" s="14">
        <f>VLOOKUP($C982,Rotation!$A$2:$J$10,4,FALSE)</f>
        <v>1</v>
      </c>
      <c r="N982" s="14">
        <f>VLOOKUP($C982,Rotation!$A$2:$J$10,5,FALSE)</f>
        <v>0</v>
      </c>
      <c r="O982" s="14">
        <f>VLOOKUP($C982,Rotation!$A$2:$J$10,6,FALSE)</f>
        <v>0</v>
      </c>
      <c r="P982" s="14">
        <f>VLOOKUP($C982,Rotation!$A$2:$J$10,7,FALSE)</f>
        <v>0</v>
      </c>
      <c r="Q982" s="14">
        <f>VLOOKUP($C982,Rotation!$A$2:$J$10,8,FALSE)</f>
        <v>0</v>
      </c>
      <c r="R982" s="14">
        <f>VLOOKUP($C982,Rotation!$A$2:$J$10,9,FALSE)</f>
        <v>0</v>
      </c>
      <c r="S982" s="14">
        <f>VLOOKUP($C982,Rotation!$A$2:$J$10,10,FALSE)</f>
        <v>0</v>
      </c>
    </row>
    <row r="983" spans="1:19" ht="18">
      <c r="A983" s="14">
        <v>981</v>
      </c>
      <c r="B983" s="14" t="s">
        <v>71</v>
      </c>
      <c r="C983" s="14" t="str">
        <f>VLOOKUP(B983,Family!B:C,2,FALSE)</f>
        <v>A</v>
      </c>
      <c r="D983" s="15">
        <v>391</v>
      </c>
      <c r="E983" s="14">
        <f>ROUND(VLOOKUP(C983,'Production Plan'!A:B,2,FALSE),2)</f>
        <v>407.17</v>
      </c>
      <c r="F983" s="16">
        <v>45862</v>
      </c>
      <c r="G983" s="17">
        <f>F983+6*7</f>
        <v>45904</v>
      </c>
      <c r="H983" s="14">
        <f>G983-F983</f>
        <v>42</v>
      </c>
      <c r="I983" s="14">
        <f>ROUND(D983/E983,3)</f>
        <v>0.96</v>
      </c>
      <c r="J983" s="14">
        <f>I983*24</f>
        <v>23.04</v>
      </c>
      <c r="K983" s="14">
        <f>VLOOKUP($C983,Rotation!$A$2:$J$10,2,FALSE)</f>
        <v>1</v>
      </c>
      <c r="L983" s="14">
        <f>VLOOKUP($C983,Rotation!$A$2:$J$10,3,FALSE)</f>
        <v>1</v>
      </c>
      <c r="M983" s="14">
        <f>VLOOKUP($C983,Rotation!$A$2:$J$10,4,FALSE)</f>
        <v>1</v>
      </c>
      <c r="N983" s="14">
        <f>VLOOKUP($C983,Rotation!$A$2:$J$10,5,FALSE)</f>
        <v>0</v>
      </c>
      <c r="O983" s="14">
        <f>VLOOKUP($C983,Rotation!$A$2:$J$10,6,FALSE)</f>
        <v>0</v>
      </c>
      <c r="P983" s="14">
        <f>VLOOKUP($C983,Rotation!$A$2:$J$10,7,FALSE)</f>
        <v>0</v>
      </c>
      <c r="Q983" s="14">
        <f>VLOOKUP($C983,Rotation!$A$2:$J$10,8,FALSE)</f>
        <v>0</v>
      </c>
      <c r="R983" s="14">
        <f>VLOOKUP($C983,Rotation!$A$2:$J$10,9,FALSE)</f>
        <v>0</v>
      </c>
      <c r="S983" s="14">
        <f>VLOOKUP($C983,Rotation!$A$2:$J$10,10,FALSE)</f>
        <v>0</v>
      </c>
    </row>
    <row r="984" spans="1:19" ht="18">
      <c r="A984" s="14">
        <v>982</v>
      </c>
      <c r="B984" s="14" t="s">
        <v>71</v>
      </c>
      <c r="C984" s="14" t="str">
        <f>VLOOKUP(B984,Family!B:C,2,FALSE)</f>
        <v>A</v>
      </c>
      <c r="D984" s="15">
        <v>391</v>
      </c>
      <c r="E984" s="14">
        <f>ROUND(VLOOKUP(C984,'Production Plan'!A:B,2,FALSE),2)</f>
        <v>407.17</v>
      </c>
      <c r="F984" s="16">
        <v>45862</v>
      </c>
      <c r="G984" s="17">
        <f>F984+6*7</f>
        <v>45904</v>
      </c>
      <c r="H984" s="14">
        <f>G984-F984</f>
        <v>42</v>
      </c>
      <c r="I984" s="14">
        <f>ROUND(D984/E984,3)</f>
        <v>0.96</v>
      </c>
      <c r="J984" s="14">
        <f>I984*24</f>
        <v>23.04</v>
      </c>
      <c r="K984" s="14">
        <f>VLOOKUP($C984,Rotation!$A$2:$J$10,2,FALSE)</f>
        <v>1</v>
      </c>
      <c r="L984" s="14">
        <f>VLOOKUP($C984,Rotation!$A$2:$J$10,3,FALSE)</f>
        <v>1</v>
      </c>
      <c r="M984" s="14">
        <f>VLOOKUP($C984,Rotation!$A$2:$J$10,4,FALSE)</f>
        <v>1</v>
      </c>
      <c r="N984" s="14">
        <f>VLOOKUP($C984,Rotation!$A$2:$J$10,5,FALSE)</f>
        <v>0</v>
      </c>
      <c r="O984" s="14">
        <f>VLOOKUP($C984,Rotation!$A$2:$J$10,6,FALSE)</f>
        <v>0</v>
      </c>
      <c r="P984" s="14">
        <f>VLOOKUP($C984,Rotation!$A$2:$J$10,7,FALSE)</f>
        <v>0</v>
      </c>
      <c r="Q984" s="14">
        <f>VLOOKUP($C984,Rotation!$A$2:$J$10,8,FALSE)</f>
        <v>0</v>
      </c>
      <c r="R984" s="14">
        <f>VLOOKUP($C984,Rotation!$A$2:$J$10,9,FALSE)</f>
        <v>0</v>
      </c>
      <c r="S984" s="14">
        <f>VLOOKUP($C984,Rotation!$A$2:$J$10,10,FALSE)</f>
        <v>0</v>
      </c>
    </row>
    <row r="985" spans="1:19" ht="18">
      <c r="A985" s="14">
        <v>983</v>
      </c>
      <c r="B985" s="14" t="s">
        <v>93</v>
      </c>
      <c r="C985" s="14" t="str">
        <f>VLOOKUP(B985,Family!B:C,2,FALSE)</f>
        <v>F</v>
      </c>
      <c r="D985" s="15">
        <v>499</v>
      </c>
      <c r="E985" s="14">
        <f>ROUND(VLOOKUP(C985,'Production Plan'!A:B,2,FALSE),2)</f>
        <v>394.98</v>
      </c>
      <c r="F985" s="16">
        <v>45895</v>
      </c>
      <c r="G985" s="17">
        <f>F985+6*7</f>
        <v>45937</v>
      </c>
      <c r="H985" s="14">
        <f>G985-F985</f>
        <v>42</v>
      </c>
      <c r="I985" s="14">
        <f>ROUND(D985/E985,3)</f>
        <v>1.2629999999999999</v>
      </c>
      <c r="J985" s="14">
        <f>I985*24</f>
        <v>30.311999999999998</v>
      </c>
      <c r="K985" s="14">
        <f>VLOOKUP($C985,Rotation!$A$2:$J$10,2,FALSE)</f>
        <v>1</v>
      </c>
      <c r="L985" s="14">
        <f>VLOOKUP($C985,Rotation!$A$2:$J$10,3,FALSE)</f>
        <v>0</v>
      </c>
      <c r="M985" s="14">
        <f>VLOOKUP($C985,Rotation!$A$2:$J$10,4,FALSE)</f>
        <v>0</v>
      </c>
      <c r="N985" s="14">
        <f>VLOOKUP($C985,Rotation!$A$2:$J$10,5,FALSE)</f>
        <v>1</v>
      </c>
      <c r="O985" s="14">
        <f>VLOOKUP($C985,Rotation!$A$2:$J$10,6,FALSE)</f>
        <v>1</v>
      </c>
      <c r="P985" s="14">
        <f>VLOOKUP($C985,Rotation!$A$2:$J$10,7,FALSE)</f>
        <v>1</v>
      </c>
      <c r="Q985" s="14">
        <f>VLOOKUP($C985,Rotation!$A$2:$J$10,8,FALSE)</f>
        <v>1</v>
      </c>
      <c r="R985" s="14">
        <f>VLOOKUP($C985,Rotation!$A$2:$J$10,9,FALSE)</f>
        <v>1</v>
      </c>
      <c r="S985" s="14">
        <f>VLOOKUP($C985,Rotation!$A$2:$J$10,10,FALSE)</f>
        <v>1</v>
      </c>
    </row>
    <row r="986" spans="1:19" ht="18">
      <c r="A986" s="14">
        <v>984</v>
      </c>
      <c r="B986" s="14" t="s">
        <v>93</v>
      </c>
      <c r="C986" s="14" t="str">
        <f>VLOOKUP(B986,Family!B:C,2,FALSE)</f>
        <v>F</v>
      </c>
      <c r="D986" s="15">
        <v>499</v>
      </c>
      <c r="E986" s="14">
        <f>ROUND(VLOOKUP(C986,'Production Plan'!A:B,2,FALSE),2)</f>
        <v>394.98</v>
      </c>
      <c r="F986" s="16">
        <v>45894</v>
      </c>
      <c r="G986" s="17">
        <f>F986+6*7</f>
        <v>45936</v>
      </c>
      <c r="H986" s="14">
        <f>G986-F986</f>
        <v>42</v>
      </c>
      <c r="I986" s="14">
        <f>ROUND(D986/E986,3)</f>
        <v>1.2629999999999999</v>
      </c>
      <c r="J986" s="14">
        <f>I986*24</f>
        <v>30.311999999999998</v>
      </c>
      <c r="K986" s="14">
        <f>VLOOKUP($C986,Rotation!$A$2:$J$10,2,FALSE)</f>
        <v>1</v>
      </c>
      <c r="L986" s="14">
        <f>VLOOKUP($C986,Rotation!$A$2:$J$10,3,FALSE)</f>
        <v>0</v>
      </c>
      <c r="M986" s="14">
        <f>VLOOKUP($C986,Rotation!$A$2:$J$10,4,FALSE)</f>
        <v>0</v>
      </c>
      <c r="N986" s="14">
        <f>VLOOKUP($C986,Rotation!$A$2:$J$10,5,FALSE)</f>
        <v>1</v>
      </c>
      <c r="O986" s="14">
        <f>VLOOKUP($C986,Rotation!$A$2:$J$10,6,FALSE)</f>
        <v>1</v>
      </c>
      <c r="P986" s="14">
        <f>VLOOKUP($C986,Rotation!$A$2:$J$10,7,FALSE)</f>
        <v>1</v>
      </c>
      <c r="Q986" s="14">
        <f>VLOOKUP($C986,Rotation!$A$2:$J$10,8,FALSE)</f>
        <v>1</v>
      </c>
      <c r="R986" s="14">
        <f>VLOOKUP($C986,Rotation!$A$2:$J$10,9,FALSE)</f>
        <v>1</v>
      </c>
      <c r="S986" s="14">
        <f>VLOOKUP($C986,Rotation!$A$2:$J$10,10,FALSE)</f>
        <v>1</v>
      </c>
    </row>
    <row r="987" spans="1:19" ht="18">
      <c r="A987" s="14">
        <v>985</v>
      </c>
      <c r="B987" s="14" t="s">
        <v>96</v>
      </c>
      <c r="C987" s="14" t="str">
        <f>VLOOKUP(B987,Family!B:C,2,FALSE)</f>
        <v>F</v>
      </c>
      <c r="D987" s="15">
        <v>490</v>
      </c>
      <c r="E987" s="14">
        <f>ROUND(VLOOKUP(C987,'Production Plan'!A:B,2,FALSE),2)</f>
        <v>394.98</v>
      </c>
      <c r="F987" s="16">
        <v>45897</v>
      </c>
      <c r="G987" s="17">
        <f>F987+6*7</f>
        <v>45939</v>
      </c>
      <c r="H987" s="14">
        <f>G987-F987</f>
        <v>42</v>
      </c>
      <c r="I987" s="14">
        <f>ROUND(D987/E987,3)</f>
        <v>1.2410000000000001</v>
      </c>
      <c r="J987" s="14">
        <f>I987*24</f>
        <v>29.784000000000002</v>
      </c>
      <c r="K987" s="14">
        <f>VLOOKUP($C987,Rotation!$A$2:$J$10,2,FALSE)</f>
        <v>1</v>
      </c>
      <c r="L987" s="14">
        <f>VLOOKUP($C987,Rotation!$A$2:$J$10,3,FALSE)</f>
        <v>0</v>
      </c>
      <c r="M987" s="14">
        <f>VLOOKUP($C987,Rotation!$A$2:$J$10,4,FALSE)</f>
        <v>0</v>
      </c>
      <c r="N987" s="14">
        <f>VLOOKUP($C987,Rotation!$A$2:$J$10,5,FALSE)</f>
        <v>1</v>
      </c>
      <c r="O987" s="14">
        <f>VLOOKUP($C987,Rotation!$A$2:$J$10,6,FALSE)</f>
        <v>1</v>
      </c>
      <c r="P987" s="14">
        <f>VLOOKUP($C987,Rotation!$A$2:$J$10,7,FALSE)</f>
        <v>1</v>
      </c>
      <c r="Q987" s="14">
        <f>VLOOKUP($C987,Rotation!$A$2:$J$10,8,FALSE)</f>
        <v>1</v>
      </c>
      <c r="R987" s="14">
        <f>VLOOKUP($C987,Rotation!$A$2:$J$10,9,FALSE)</f>
        <v>1</v>
      </c>
      <c r="S987" s="14">
        <f>VLOOKUP($C987,Rotation!$A$2:$J$10,10,FALSE)</f>
        <v>1</v>
      </c>
    </row>
    <row r="988" spans="1:19" ht="18">
      <c r="A988" s="14">
        <v>986</v>
      </c>
      <c r="B988" s="14" t="s">
        <v>96</v>
      </c>
      <c r="C988" s="14" t="str">
        <f>VLOOKUP(B988,Family!B:C,2,FALSE)</f>
        <v>F</v>
      </c>
      <c r="D988" s="15">
        <v>490</v>
      </c>
      <c r="E988" s="14">
        <f>ROUND(VLOOKUP(C988,'Production Plan'!A:B,2,FALSE),2)</f>
        <v>394.98</v>
      </c>
      <c r="F988" s="16">
        <v>45895</v>
      </c>
      <c r="G988" s="17">
        <f>F988+6*7</f>
        <v>45937</v>
      </c>
      <c r="H988" s="14">
        <f>G988-F988</f>
        <v>42</v>
      </c>
      <c r="I988" s="14">
        <f>ROUND(D988/E988,3)</f>
        <v>1.2410000000000001</v>
      </c>
      <c r="J988" s="14">
        <f>I988*24</f>
        <v>29.784000000000002</v>
      </c>
      <c r="K988" s="14">
        <f>VLOOKUP($C988,Rotation!$A$2:$J$10,2,FALSE)</f>
        <v>1</v>
      </c>
      <c r="L988" s="14">
        <f>VLOOKUP($C988,Rotation!$A$2:$J$10,3,FALSE)</f>
        <v>0</v>
      </c>
      <c r="M988" s="14">
        <f>VLOOKUP($C988,Rotation!$A$2:$J$10,4,FALSE)</f>
        <v>0</v>
      </c>
      <c r="N988" s="14">
        <f>VLOOKUP($C988,Rotation!$A$2:$J$10,5,FALSE)</f>
        <v>1</v>
      </c>
      <c r="O988" s="14">
        <f>VLOOKUP($C988,Rotation!$A$2:$J$10,6,FALSE)</f>
        <v>1</v>
      </c>
      <c r="P988" s="14">
        <f>VLOOKUP($C988,Rotation!$A$2:$J$10,7,FALSE)</f>
        <v>1</v>
      </c>
      <c r="Q988" s="14">
        <f>VLOOKUP($C988,Rotation!$A$2:$J$10,8,FALSE)</f>
        <v>1</v>
      </c>
      <c r="R988" s="14">
        <f>VLOOKUP($C988,Rotation!$A$2:$J$10,9,FALSE)</f>
        <v>1</v>
      </c>
      <c r="S988" s="14">
        <f>VLOOKUP($C988,Rotation!$A$2:$J$10,10,FALSE)</f>
        <v>1</v>
      </c>
    </row>
    <row r="989" spans="1:19" ht="18">
      <c r="A989" s="14">
        <v>987</v>
      </c>
      <c r="B989" s="14" t="s">
        <v>112</v>
      </c>
      <c r="C989" s="14" t="str">
        <f>VLOOKUP(B989,Family!B:C,2,FALSE)</f>
        <v>N</v>
      </c>
      <c r="D989" s="15">
        <v>70</v>
      </c>
      <c r="E989" s="14">
        <f>ROUND(VLOOKUP(C989,'Production Plan'!A:B,2,FALSE),2)</f>
        <v>334.18</v>
      </c>
      <c r="F989" s="16">
        <v>45847</v>
      </c>
      <c r="G989" s="17">
        <f>F989+6*7</f>
        <v>45889</v>
      </c>
      <c r="H989" s="14">
        <f>G989-F989</f>
        <v>42</v>
      </c>
      <c r="I989" s="14">
        <f>ROUND(D989/E989,3)</f>
        <v>0.20899999999999999</v>
      </c>
      <c r="J989" s="14">
        <f>I989*24</f>
        <v>5.016</v>
      </c>
      <c r="K989" s="14">
        <f>VLOOKUP($C989,Rotation!$A$2:$J$10,2,FALSE)</f>
        <v>1</v>
      </c>
      <c r="L989" s="14">
        <f>VLOOKUP($C989,Rotation!$A$2:$J$10,3,FALSE)</f>
        <v>0</v>
      </c>
      <c r="M989" s="14">
        <f>VLOOKUP($C989,Rotation!$A$2:$J$10,4,FALSE)</f>
        <v>0</v>
      </c>
      <c r="N989" s="14">
        <f>VLOOKUP($C989,Rotation!$A$2:$J$10,5,FALSE)</f>
        <v>0</v>
      </c>
      <c r="O989" s="14">
        <f>VLOOKUP($C989,Rotation!$A$2:$J$10,6,FALSE)</f>
        <v>0</v>
      </c>
      <c r="P989" s="14">
        <f>VLOOKUP($C989,Rotation!$A$2:$J$10,7,FALSE)</f>
        <v>0</v>
      </c>
      <c r="Q989" s="14">
        <f>VLOOKUP($C989,Rotation!$A$2:$J$10,8,FALSE)</f>
        <v>1</v>
      </c>
      <c r="R989" s="14">
        <f>VLOOKUP($C989,Rotation!$A$2:$J$10,9,FALSE)</f>
        <v>0</v>
      </c>
      <c r="S989" s="14">
        <f>VLOOKUP($C989,Rotation!$A$2:$J$10,10,FALSE)</f>
        <v>0</v>
      </c>
    </row>
    <row r="990" spans="1:19" ht="18">
      <c r="A990" s="14">
        <v>988</v>
      </c>
      <c r="B990" s="14" t="s">
        <v>77</v>
      </c>
      <c r="C990" s="14" t="str">
        <f>VLOOKUP(B990,Family!B:C,2,FALSE)</f>
        <v>E</v>
      </c>
      <c r="D990" s="15">
        <v>18</v>
      </c>
      <c r="E990" s="14">
        <f>ROUND(VLOOKUP(C990,'Production Plan'!A:B,2,FALSE),2)</f>
        <v>333.66</v>
      </c>
      <c r="F990" s="16">
        <v>45904</v>
      </c>
      <c r="G990" s="17">
        <f>F990+6*7</f>
        <v>45946</v>
      </c>
      <c r="H990" s="14">
        <f>G990-F990</f>
        <v>42</v>
      </c>
      <c r="I990" s="14">
        <f>ROUND(D990/E990,3)</f>
        <v>5.3999999999999999E-2</v>
      </c>
      <c r="J990" s="14">
        <f>I990*24</f>
        <v>1.296</v>
      </c>
      <c r="K990" s="14">
        <f>VLOOKUP($C990,Rotation!$A$2:$J$10,2,FALSE)</f>
        <v>1</v>
      </c>
      <c r="L990" s="14">
        <f>VLOOKUP($C990,Rotation!$A$2:$J$10,3,FALSE)</f>
        <v>0</v>
      </c>
      <c r="M990" s="14">
        <f>VLOOKUP($C990,Rotation!$A$2:$J$10,4,FALSE)</f>
        <v>0</v>
      </c>
      <c r="N990" s="14">
        <f>VLOOKUP($C990,Rotation!$A$2:$J$10,5,FALSE)</f>
        <v>0</v>
      </c>
      <c r="O990" s="14">
        <f>VLOOKUP($C990,Rotation!$A$2:$J$10,6,FALSE)</f>
        <v>0</v>
      </c>
      <c r="P990" s="14">
        <f>VLOOKUP($C990,Rotation!$A$2:$J$10,7,FALSE)</f>
        <v>1</v>
      </c>
      <c r="Q990" s="14">
        <f>VLOOKUP($C990,Rotation!$A$2:$J$10,8,FALSE)</f>
        <v>0</v>
      </c>
      <c r="R990" s="14">
        <f>VLOOKUP($C990,Rotation!$A$2:$J$10,9,FALSE)</f>
        <v>0</v>
      </c>
      <c r="S990" s="14">
        <f>VLOOKUP($C990,Rotation!$A$2:$J$10,10,FALSE)</f>
        <v>0</v>
      </c>
    </row>
    <row r="991" spans="1:19" ht="18">
      <c r="A991" s="14">
        <v>989</v>
      </c>
      <c r="B991" s="14" t="s">
        <v>99</v>
      </c>
      <c r="C991" s="14" t="str">
        <f>VLOOKUP(B991,Family!B:C,2,FALSE)</f>
        <v>N</v>
      </c>
      <c r="D991" s="15">
        <v>238</v>
      </c>
      <c r="E991" s="14">
        <f>ROUND(VLOOKUP(C991,'Production Plan'!A:B,2,FALSE),2)</f>
        <v>334.18</v>
      </c>
      <c r="F991" s="16">
        <v>45880</v>
      </c>
      <c r="G991" s="17">
        <f>F991+6*7</f>
        <v>45922</v>
      </c>
      <c r="H991" s="14">
        <f>G991-F991</f>
        <v>42</v>
      </c>
      <c r="I991" s="14">
        <f>ROUND(D991/E991,3)</f>
        <v>0.71199999999999997</v>
      </c>
      <c r="J991" s="14">
        <f>I991*24</f>
        <v>17.088000000000001</v>
      </c>
      <c r="K991" s="14">
        <f>VLOOKUP($C991,Rotation!$A$2:$J$10,2,FALSE)</f>
        <v>1</v>
      </c>
      <c r="L991" s="14">
        <f>VLOOKUP($C991,Rotation!$A$2:$J$10,3,FALSE)</f>
        <v>0</v>
      </c>
      <c r="M991" s="14">
        <f>VLOOKUP($C991,Rotation!$A$2:$J$10,4,FALSE)</f>
        <v>0</v>
      </c>
      <c r="N991" s="14">
        <f>VLOOKUP($C991,Rotation!$A$2:$J$10,5,FALSE)</f>
        <v>0</v>
      </c>
      <c r="O991" s="14">
        <f>VLOOKUP($C991,Rotation!$A$2:$J$10,6,FALSE)</f>
        <v>0</v>
      </c>
      <c r="P991" s="14">
        <f>VLOOKUP($C991,Rotation!$A$2:$J$10,7,FALSE)</f>
        <v>0</v>
      </c>
      <c r="Q991" s="14">
        <f>VLOOKUP($C991,Rotation!$A$2:$J$10,8,FALSE)</f>
        <v>1</v>
      </c>
      <c r="R991" s="14">
        <f>VLOOKUP($C991,Rotation!$A$2:$J$10,9,FALSE)</f>
        <v>0</v>
      </c>
      <c r="S991" s="14">
        <f>VLOOKUP($C991,Rotation!$A$2:$J$10,10,FALSE)</f>
        <v>0</v>
      </c>
    </row>
    <row r="992" spans="1:19" ht="18">
      <c r="A992" s="14">
        <v>990</v>
      </c>
      <c r="B992" s="14" t="s">
        <v>94</v>
      </c>
      <c r="C992" s="14" t="str">
        <f>VLOOKUP(B992,Family!B:C,2,FALSE)</f>
        <v>H</v>
      </c>
      <c r="D992" s="15">
        <v>99</v>
      </c>
      <c r="E992" s="14">
        <f>ROUND(VLOOKUP(C992,'Production Plan'!A:B,2,FALSE),2)</f>
        <v>402.02</v>
      </c>
      <c r="F992" s="16">
        <v>45824</v>
      </c>
      <c r="G992" s="17">
        <f>F992+6*7</f>
        <v>45866</v>
      </c>
      <c r="H992" s="14">
        <f>G992-F992</f>
        <v>42</v>
      </c>
      <c r="I992" s="14">
        <f>ROUND(D992/E992,3)</f>
        <v>0.246</v>
      </c>
      <c r="J992" s="14">
        <f>I992*24</f>
        <v>5.9039999999999999</v>
      </c>
      <c r="K992" s="14">
        <f>VLOOKUP($C992,Rotation!$A$2:$J$10,2,FALSE)</f>
        <v>0</v>
      </c>
      <c r="L992" s="14">
        <f>VLOOKUP($C992,Rotation!$A$2:$J$10,3,FALSE)</f>
        <v>0</v>
      </c>
      <c r="M992" s="14">
        <f>VLOOKUP($C992,Rotation!$A$2:$J$10,4,FALSE)</f>
        <v>1</v>
      </c>
      <c r="N992" s="14">
        <f>VLOOKUP($C992,Rotation!$A$2:$J$10,5,FALSE)</f>
        <v>1</v>
      </c>
      <c r="O992" s="14">
        <f>VLOOKUP($C992,Rotation!$A$2:$J$10,6,FALSE)</f>
        <v>0</v>
      </c>
      <c r="P992" s="14">
        <f>VLOOKUP($C992,Rotation!$A$2:$J$10,7,FALSE)</f>
        <v>0</v>
      </c>
      <c r="Q992" s="14">
        <f>VLOOKUP($C992,Rotation!$A$2:$J$10,8,FALSE)</f>
        <v>0</v>
      </c>
      <c r="R992" s="14">
        <f>VLOOKUP($C992,Rotation!$A$2:$J$10,9,FALSE)</f>
        <v>0</v>
      </c>
      <c r="S992" s="14">
        <f>VLOOKUP($C992,Rotation!$A$2:$J$10,10,FALSE)</f>
        <v>0</v>
      </c>
    </row>
    <row r="993" spans="1:19" ht="18">
      <c r="A993" s="14">
        <v>991</v>
      </c>
      <c r="B993" s="14" t="s">
        <v>104</v>
      </c>
      <c r="C993" s="14" t="str">
        <f>VLOOKUP(B993,Family!B:C,2,FALSE)</f>
        <v>H</v>
      </c>
      <c r="D993" s="15">
        <v>21</v>
      </c>
      <c r="E993" s="14">
        <f>ROUND(VLOOKUP(C993,'Production Plan'!A:B,2,FALSE),2)</f>
        <v>402.02</v>
      </c>
      <c r="F993" s="16">
        <v>45880</v>
      </c>
      <c r="G993" s="17">
        <f>F993+6*7</f>
        <v>45922</v>
      </c>
      <c r="H993" s="14">
        <f>G993-F993</f>
        <v>42</v>
      </c>
      <c r="I993" s="14">
        <f>ROUND(D993/E993,3)</f>
        <v>5.1999999999999998E-2</v>
      </c>
      <c r="J993" s="14">
        <f>I993*24</f>
        <v>1.248</v>
      </c>
      <c r="K993" s="14">
        <f>VLOOKUP($C993,Rotation!$A$2:$J$10,2,FALSE)</f>
        <v>0</v>
      </c>
      <c r="L993" s="14">
        <f>VLOOKUP($C993,Rotation!$A$2:$J$10,3,FALSE)</f>
        <v>0</v>
      </c>
      <c r="M993" s="14">
        <f>VLOOKUP($C993,Rotation!$A$2:$J$10,4,FALSE)</f>
        <v>1</v>
      </c>
      <c r="N993" s="14">
        <f>VLOOKUP($C993,Rotation!$A$2:$J$10,5,FALSE)</f>
        <v>1</v>
      </c>
      <c r="O993" s="14">
        <f>VLOOKUP($C993,Rotation!$A$2:$J$10,6,FALSE)</f>
        <v>0</v>
      </c>
      <c r="P993" s="14">
        <f>VLOOKUP($C993,Rotation!$A$2:$J$10,7,FALSE)</f>
        <v>0</v>
      </c>
      <c r="Q993" s="14">
        <f>VLOOKUP($C993,Rotation!$A$2:$J$10,8,FALSE)</f>
        <v>0</v>
      </c>
      <c r="R993" s="14">
        <f>VLOOKUP($C993,Rotation!$A$2:$J$10,9,FALSE)</f>
        <v>0</v>
      </c>
      <c r="S993" s="14">
        <f>VLOOKUP($C993,Rotation!$A$2:$J$10,10,FALSE)</f>
        <v>0</v>
      </c>
    </row>
    <row r="994" spans="1:19" ht="18">
      <c r="A994" s="14">
        <v>992</v>
      </c>
      <c r="B994" s="14" t="s">
        <v>109</v>
      </c>
      <c r="C994" s="14" t="str">
        <f>VLOOKUP(B994,Family!B:C,2,FALSE)</f>
        <v>V</v>
      </c>
      <c r="D994" s="15">
        <v>53</v>
      </c>
      <c r="E994" s="14">
        <f>ROUND(VLOOKUP(C994,'Production Plan'!A:B,2,FALSE),2)</f>
        <v>334.18</v>
      </c>
      <c r="F994" s="16">
        <v>45917</v>
      </c>
      <c r="G994" s="17">
        <f>F994+6*7</f>
        <v>45959</v>
      </c>
      <c r="H994" s="14">
        <f>G994-F994</f>
        <v>42</v>
      </c>
      <c r="I994" s="14">
        <f>ROUND(D994/E994,3)</f>
        <v>0.159</v>
      </c>
      <c r="J994" s="14">
        <f>I994*24</f>
        <v>3.8159999999999998</v>
      </c>
      <c r="K994" s="14">
        <f>VLOOKUP($C994,Rotation!$A$2:$J$10,2,FALSE)</f>
        <v>1</v>
      </c>
      <c r="L994" s="14">
        <f>VLOOKUP($C994,Rotation!$A$2:$J$10,3,FALSE)</f>
        <v>0</v>
      </c>
      <c r="M994" s="14">
        <f>VLOOKUP($C994,Rotation!$A$2:$J$10,4,FALSE)</f>
        <v>0</v>
      </c>
      <c r="N994" s="14">
        <f>VLOOKUP($C994,Rotation!$A$2:$J$10,5,FALSE)</f>
        <v>0</v>
      </c>
      <c r="O994" s="14">
        <f>VLOOKUP($C994,Rotation!$A$2:$J$10,6,FALSE)</f>
        <v>0</v>
      </c>
      <c r="P994" s="14">
        <f>VLOOKUP($C994,Rotation!$A$2:$J$10,7,FALSE)</f>
        <v>0</v>
      </c>
      <c r="Q994" s="14">
        <f>VLOOKUP($C994,Rotation!$A$2:$J$10,8,FALSE)</f>
        <v>0</v>
      </c>
      <c r="R994" s="14">
        <f>VLOOKUP($C994,Rotation!$A$2:$J$10,9,FALSE)</f>
        <v>0</v>
      </c>
      <c r="S994" s="14">
        <f>VLOOKUP($C994,Rotation!$A$2:$J$10,10,FALSE)</f>
        <v>1</v>
      </c>
    </row>
    <row r="995" spans="1:19" ht="18">
      <c r="A995" s="14">
        <v>993</v>
      </c>
      <c r="B995" s="14" t="s">
        <v>105</v>
      </c>
      <c r="C995" s="14" t="str">
        <f>VLOOKUP(B995,Family!B:C,2,FALSE)</f>
        <v>N</v>
      </c>
      <c r="D995" s="15">
        <v>358</v>
      </c>
      <c r="E995" s="14">
        <f>ROUND(VLOOKUP(C995,'Production Plan'!A:B,2,FALSE),2)</f>
        <v>334.18</v>
      </c>
      <c r="F995" s="16">
        <v>45905</v>
      </c>
      <c r="G995" s="17">
        <f>F995+6*7</f>
        <v>45947</v>
      </c>
      <c r="H995" s="14">
        <f>G995-F995</f>
        <v>42</v>
      </c>
      <c r="I995" s="14">
        <f>ROUND(D995/E995,3)</f>
        <v>1.071</v>
      </c>
      <c r="J995" s="14">
        <f>I995*24</f>
        <v>25.704000000000001</v>
      </c>
      <c r="K995" s="14">
        <f>VLOOKUP($C995,Rotation!$A$2:$J$10,2,FALSE)</f>
        <v>1</v>
      </c>
      <c r="L995" s="14">
        <f>VLOOKUP($C995,Rotation!$A$2:$J$10,3,FALSE)</f>
        <v>0</v>
      </c>
      <c r="M995" s="14">
        <f>VLOOKUP($C995,Rotation!$A$2:$J$10,4,FALSE)</f>
        <v>0</v>
      </c>
      <c r="N995" s="14">
        <f>VLOOKUP($C995,Rotation!$A$2:$J$10,5,FALSE)</f>
        <v>0</v>
      </c>
      <c r="O995" s="14">
        <f>VLOOKUP($C995,Rotation!$A$2:$J$10,6,FALSE)</f>
        <v>0</v>
      </c>
      <c r="P995" s="14">
        <f>VLOOKUP($C995,Rotation!$A$2:$J$10,7,FALSE)</f>
        <v>0</v>
      </c>
      <c r="Q995" s="14">
        <f>VLOOKUP($C995,Rotation!$A$2:$J$10,8,FALSE)</f>
        <v>1</v>
      </c>
      <c r="R995" s="14">
        <f>VLOOKUP($C995,Rotation!$A$2:$J$10,9,FALSE)</f>
        <v>0</v>
      </c>
      <c r="S995" s="14">
        <f>VLOOKUP($C995,Rotation!$A$2:$J$10,10,FALSE)</f>
        <v>0</v>
      </c>
    </row>
    <row r="996" spans="1:19" ht="18">
      <c r="A996" s="14">
        <v>994</v>
      </c>
      <c r="B996" s="14" t="s">
        <v>72</v>
      </c>
      <c r="C996" s="14" t="str">
        <f>VLOOKUP(B996,Family!B:C,2,FALSE)</f>
        <v>A</v>
      </c>
      <c r="D996" s="15">
        <v>24</v>
      </c>
      <c r="E996" s="14">
        <f>ROUND(VLOOKUP(C996,'Production Plan'!A:B,2,FALSE),2)</f>
        <v>407.17</v>
      </c>
      <c r="F996" s="16">
        <v>45890</v>
      </c>
      <c r="G996" s="17">
        <f>F996+6*7</f>
        <v>45932</v>
      </c>
      <c r="H996" s="14">
        <f>G996-F996</f>
        <v>42</v>
      </c>
      <c r="I996" s="14">
        <f>ROUND(D996/E996,3)</f>
        <v>5.8999999999999997E-2</v>
      </c>
      <c r="J996" s="14">
        <f>I996*24</f>
        <v>1.4159999999999999</v>
      </c>
      <c r="K996" s="14">
        <f>VLOOKUP($C996,Rotation!$A$2:$J$10,2,FALSE)</f>
        <v>1</v>
      </c>
      <c r="L996" s="14">
        <f>VLOOKUP($C996,Rotation!$A$2:$J$10,3,FALSE)</f>
        <v>1</v>
      </c>
      <c r="M996" s="14">
        <f>VLOOKUP($C996,Rotation!$A$2:$J$10,4,FALSE)</f>
        <v>1</v>
      </c>
      <c r="N996" s="14">
        <f>VLOOKUP($C996,Rotation!$A$2:$J$10,5,FALSE)</f>
        <v>0</v>
      </c>
      <c r="O996" s="14">
        <f>VLOOKUP($C996,Rotation!$A$2:$J$10,6,FALSE)</f>
        <v>0</v>
      </c>
      <c r="P996" s="14">
        <f>VLOOKUP($C996,Rotation!$A$2:$J$10,7,FALSE)</f>
        <v>0</v>
      </c>
      <c r="Q996" s="14">
        <f>VLOOKUP($C996,Rotation!$A$2:$J$10,8,FALSE)</f>
        <v>0</v>
      </c>
      <c r="R996" s="14">
        <f>VLOOKUP($C996,Rotation!$A$2:$J$10,9,FALSE)</f>
        <v>0</v>
      </c>
      <c r="S996" s="14">
        <f>VLOOKUP($C996,Rotation!$A$2:$J$10,10,FALSE)</f>
        <v>0</v>
      </c>
    </row>
    <row r="997" spans="1:19" ht="18">
      <c r="A997" s="14">
        <v>995</v>
      </c>
      <c r="B997" s="14" t="s">
        <v>111</v>
      </c>
      <c r="C997" s="14" t="str">
        <f>VLOOKUP(B997,Family!B:C,2,FALSE)</f>
        <v>N</v>
      </c>
      <c r="D997" s="15">
        <v>45</v>
      </c>
      <c r="E997" s="14">
        <f>ROUND(VLOOKUP(C997,'Production Plan'!A:B,2,FALSE),2)</f>
        <v>334.18</v>
      </c>
      <c r="F997" s="16">
        <v>45867</v>
      </c>
      <c r="G997" s="17">
        <f>F997+6*7</f>
        <v>45909</v>
      </c>
      <c r="H997" s="14">
        <f>G997-F997</f>
        <v>42</v>
      </c>
      <c r="I997" s="14">
        <f>ROUND(D997/E997,3)</f>
        <v>0.13500000000000001</v>
      </c>
      <c r="J997" s="14">
        <f>I997*24</f>
        <v>3.24</v>
      </c>
      <c r="K997" s="14">
        <f>VLOOKUP($C997,Rotation!$A$2:$J$10,2,FALSE)</f>
        <v>1</v>
      </c>
      <c r="L997" s="14">
        <f>VLOOKUP($C997,Rotation!$A$2:$J$10,3,FALSE)</f>
        <v>0</v>
      </c>
      <c r="M997" s="14">
        <f>VLOOKUP($C997,Rotation!$A$2:$J$10,4,FALSE)</f>
        <v>0</v>
      </c>
      <c r="N997" s="14">
        <f>VLOOKUP($C997,Rotation!$A$2:$J$10,5,FALSE)</f>
        <v>0</v>
      </c>
      <c r="O997" s="14">
        <f>VLOOKUP($C997,Rotation!$A$2:$J$10,6,FALSE)</f>
        <v>0</v>
      </c>
      <c r="P997" s="14">
        <f>VLOOKUP($C997,Rotation!$A$2:$J$10,7,FALSE)</f>
        <v>0</v>
      </c>
      <c r="Q997" s="14">
        <f>VLOOKUP($C997,Rotation!$A$2:$J$10,8,FALSE)</f>
        <v>1</v>
      </c>
      <c r="R997" s="14">
        <f>VLOOKUP($C997,Rotation!$A$2:$J$10,9,FALSE)</f>
        <v>0</v>
      </c>
      <c r="S997" s="14">
        <f>VLOOKUP($C997,Rotation!$A$2:$J$10,10,FALSE)</f>
        <v>0</v>
      </c>
    </row>
    <row r="998" spans="1:19" ht="18">
      <c r="A998" s="14">
        <v>996</v>
      </c>
      <c r="B998" s="14" t="s">
        <v>93</v>
      </c>
      <c r="C998" s="14" t="str">
        <f>VLOOKUP(B998,Family!B:C,2,FALSE)</f>
        <v>F</v>
      </c>
      <c r="D998" s="15">
        <v>499</v>
      </c>
      <c r="E998" s="14">
        <f>ROUND(VLOOKUP(C998,'Production Plan'!A:B,2,FALSE),2)</f>
        <v>394.98</v>
      </c>
      <c r="F998" s="16">
        <v>45894</v>
      </c>
      <c r="G998" s="17">
        <f>F998+6*7</f>
        <v>45936</v>
      </c>
      <c r="H998" s="14">
        <f>G998-F998</f>
        <v>42</v>
      </c>
      <c r="I998" s="14">
        <f>ROUND(D998/E998,3)</f>
        <v>1.2629999999999999</v>
      </c>
      <c r="J998" s="14">
        <f>I998*24</f>
        <v>30.311999999999998</v>
      </c>
      <c r="K998" s="14">
        <f>VLOOKUP($C998,Rotation!$A$2:$J$10,2,FALSE)</f>
        <v>1</v>
      </c>
      <c r="L998" s="14">
        <f>VLOOKUP($C998,Rotation!$A$2:$J$10,3,FALSE)</f>
        <v>0</v>
      </c>
      <c r="M998" s="14">
        <f>VLOOKUP($C998,Rotation!$A$2:$J$10,4,FALSE)</f>
        <v>0</v>
      </c>
      <c r="N998" s="14">
        <f>VLOOKUP($C998,Rotation!$A$2:$J$10,5,FALSE)</f>
        <v>1</v>
      </c>
      <c r="O998" s="14">
        <f>VLOOKUP($C998,Rotation!$A$2:$J$10,6,FALSE)</f>
        <v>1</v>
      </c>
      <c r="P998" s="14">
        <f>VLOOKUP($C998,Rotation!$A$2:$J$10,7,FALSE)</f>
        <v>1</v>
      </c>
      <c r="Q998" s="14">
        <f>VLOOKUP($C998,Rotation!$A$2:$J$10,8,FALSE)</f>
        <v>1</v>
      </c>
      <c r="R998" s="14">
        <f>VLOOKUP($C998,Rotation!$A$2:$J$10,9,FALSE)</f>
        <v>1</v>
      </c>
      <c r="S998" s="14">
        <f>VLOOKUP($C998,Rotation!$A$2:$J$10,10,FALSE)</f>
        <v>1</v>
      </c>
    </row>
    <row r="999" spans="1:19" ht="18">
      <c r="A999" s="14">
        <v>997</v>
      </c>
      <c r="B999" s="14" t="s">
        <v>93</v>
      </c>
      <c r="C999" s="14" t="str">
        <f>VLOOKUP(B999,Family!B:C,2,FALSE)</f>
        <v>F</v>
      </c>
      <c r="D999" s="15">
        <v>499</v>
      </c>
      <c r="E999" s="14">
        <f>ROUND(VLOOKUP(C999,'Production Plan'!A:B,2,FALSE),2)</f>
        <v>394.98</v>
      </c>
      <c r="F999" s="16">
        <v>45895</v>
      </c>
      <c r="G999" s="17">
        <f>F999+6*7</f>
        <v>45937</v>
      </c>
      <c r="H999" s="14">
        <f>G999-F999</f>
        <v>42</v>
      </c>
      <c r="I999" s="14">
        <f>ROUND(D999/E999,3)</f>
        <v>1.2629999999999999</v>
      </c>
      <c r="J999" s="14">
        <f>I999*24</f>
        <v>30.311999999999998</v>
      </c>
      <c r="K999" s="14">
        <f>VLOOKUP($C999,Rotation!$A$2:$J$10,2,FALSE)</f>
        <v>1</v>
      </c>
      <c r="L999" s="14">
        <f>VLOOKUP($C999,Rotation!$A$2:$J$10,3,FALSE)</f>
        <v>0</v>
      </c>
      <c r="M999" s="14">
        <f>VLOOKUP($C999,Rotation!$A$2:$J$10,4,FALSE)</f>
        <v>0</v>
      </c>
      <c r="N999" s="14">
        <f>VLOOKUP($C999,Rotation!$A$2:$J$10,5,FALSE)</f>
        <v>1</v>
      </c>
      <c r="O999" s="14">
        <f>VLOOKUP($C999,Rotation!$A$2:$J$10,6,FALSE)</f>
        <v>1</v>
      </c>
      <c r="P999" s="14">
        <f>VLOOKUP($C999,Rotation!$A$2:$J$10,7,FALSE)</f>
        <v>1</v>
      </c>
      <c r="Q999" s="14">
        <f>VLOOKUP($C999,Rotation!$A$2:$J$10,8,FALSE)</f>
        <v>1</v>
      </c>
      <c r="R999" s="14">
        <f>VLOOKUP($C999,Rotation!$A$2:$J$10,9,FALSE)</f>
        <v>1</v>
      </c>
      <c r="S999" s="14">
        <f>VLOOKUP($C999,Rotation!$A$2:$J$10,10,FALSE)</f>
        <v>1</v>
      </c>
    </row>
    <row r="1000" spans="1:19" ht="18">
      <c r="A1000" s="14">
        <v>998</v>
      </c>
      <c r="B1000" s="14" t="s">
        <v>93</v>
      </c>
      <c r="C1000" s="14" t="str">
        <f>VLOOKUP(B1000,Family!B:C,2,FALSE)</f>
        <v>F</v>
      </c>
      <c r="D1000" s="15">
        <v>499</v>
      </c>
      <c r="E1000" s="14">
        <f>ROUND(VLOOKUP(C1000,'Production Plan'!A:B,2,FALSE),2)</f>
        <v>394.98</v>
      </c>
      <c r="F1000" s="16">
        <v>45897</v>
      </c>
      <c r="G1000" s="17">
        <f>F1000+6*7</f>
        <v>45939</v>
      </c>
      <c r="H1000" s="14">
        <f>G1000-F1000</f>
        <v>42</v>
      </c>
      <c r="I1000" s="14">
        <f>ROUND(D1000/E1000,3)</f>
        <v>1.2629999999999999</v>
      </c>
      <c r="J1000" s="14">
        <f>I1000*24</f>
        <v>30.311999999999998</v>
      </c>
      <c r="K1000" s="14">
        <f>VLOOKUP($C1000,Rotation!$A$2:$J$10,2,FALSE)</f>
        <v>1</v>
      </c>
      <c r="L1000" s="14">
        <f>VLOOKUP($C1000,Rotation!$A$2:$J$10,3,FALSE)</f>
        <v>0</v>
      </c>
      <c r="M1000" s="14">
        <f>VLOOKUP($C1000,Rotation!$A$2:$J$10,4,FALSE)</f>
        <v>0</v>
      </c>
      <c r="N1000" s="14">
        <f>VLOOKUP($C1000,Rotation!$A$2:$J$10,5,FALSE)</f>
        <v>1</v>
      </c>
      <c r="O1000" s="14">
        <f>VLOOKUP($C1000,Rotation!$A$2:$J$10,6,FALSE)</f>
        <v>1</v>
      </c>
      <c r="P1000" s="14">
        <f>VLOOKUP($C1000,Rotation!$A$2:$J$10,7,FALSE)</f>
        <v>1</v>
      </c>
      <c r="Q1000" s="14">
        <f>VLOOKUP($C1000,Rotation!$A$2:$J$10,8,FALSE)</f>
        <v>1</v>
      </c>
      <c r="R1000" s="14">
        <f>VLOOKUP($C1000,Rotation!$A$2:$J$10,9,FALSE)</f>
        <v>1</v>
      </c>
      <c r="S1000" s="14">
        <f>VLOOKUP($C1000,Rotation!$A$2:$J$10,10,FALSE)</f>
        <v>1</v>
      </c>
    </row>
    <row r="1001" spans="1:19" ht="18">
      <c r="A1001" s="14">
        <v>999</v>
      </c>
      <c r="B1001" s="14" t="s">
        <v>96</v>
      </c>
      <c r="C1001" s="14" t="str">
        <f>VLOOKUP(B1001,Family!B:C,2,FALSE)</f>
        <v>F</v>
      </c>
      <c r="D1001" s="15">
        <v>490</v>
      </c>
      <c r="E1001" s="14">
        <f>ROUND(VLOOKUP(C1001,'Production Plan'!A:B,2,FALSE),2)</f>
        <v>394.98</v>
      </c>
      <c r="F1001" s="16">
        <v>45895</v>
      </c>
      <c r="G1001" s="17">
        <f>F1001+6*7</f>
        <v>45937</v>
      </c>
      <c r="H1001" s="14">
        <f>G1001-F1001</f>
        <v>42</v>
      </c>
      <c r="I1001" s="14">
        <f>ROUND(D1001/E1001,3)</f>
        <v>1.2410000000000001</v>
      </c>
      <c r="J1001" s="14">
        <f>I1001*24</f>
        <v>29.784000000000002</v>
      </c>
      <c r="K1001" s="14">
        <f>VLOOKUP($C1001,Rotation!$A$2:$J$10,2,FALSE)</f>
        <v>1</v>
      </c>
      <c r="L1001" s="14">
        <f>VLOOKUP($C1001,Rotation!$A$2:$J$10,3,FALSE)</f>
        <v>0</v>
      </c>
      <c r="M1001" s="14">
        <f>VLOOKUP($C1001,Rotation!$A$2:$J$10,4,FALSE)</f>
        <v>0</v>
      </c>
      <c r="N1001" s="14">
        <f>VLOOKUP($C1001,Rotation!$A$2:$J$10,5,FALSE)</f>
        <v>1</v>
      </c>
      <c r="O1001" s="14">
        <f>VLOOKUP($C1001,Rotation!$A$2:$J$10,6,FALSE)</f>
        <v>1</v>
      </c>
      <c r="P1001" s="14">
        <f>VLOOKUP($C1001,Rotation!$A$2:$J$10,7,FALSE)</f>
        <v>1</v>
      </c>
      <c r="Q1001" s="14">
        <f>VLOOKUP($C1001,Rotation!$A$2:$J$10,8,FALSE)</f>
        <v>1</v>
      </c>
      <c r="R1001" s="14">
        <f>VLOOKUP($C1001,Rotation!$A$2:$J$10,9,FALSE)</f>
        <v>1</v>
      </c>
      <c r="S1001" s="14">
        <f>VLOOKUP($C1001,Rotation!$A$2:$J$10,10,FALSE)</f>
        <v>1</v>
      </c>
    </row>
    <row r="1002" spans="1:19" ht="18">
      <c r="A1002" s="14">
        <v>1000</v>
      </c>
      <c r="B1002" s="14" t="s">
        <v>109</v>
      </c>
      <c r="C1002" s="14" t="str">
        <f>VLOOKUP(B1002,Family!B:C,2,FALSE)</f>
        <v>V</v>
      </c>
      <c r="D1002" s="15">
        <v>500</v>
      </c>
      <c r="E1002" s="14">
        <f>ROUND(VLOOKUP(C1002,'Production Plan'!A:B,2,FALSE),2)</f>
        <v>334.18</v>
      </c>
      <c r="F1002" s="16">
        <v>45909</v>
      </c>
      <c r="G1002" s="17">
        <f>F1002+6*7</f>
        <v>45951</v>
      </c>
      <c r="H1002" s="14">
        <f>G1002-F1002</f>
        <v>42</v>
      </c>
      <c r="I1002" s="14">
        <f>ROUND(D1002/E1002,3)</f>
        <v>1.496</v>
      </c>
      <c r="J1002" s="14">
        <f>I1002*24</f>
        <v>35.903999999999996</v>
      </c>
      <c r="K1002" s="14">
        <f>VLOOKUP($C1002,Rotation!$A$2:$J$10,2,FALSE)</f>
        <v>1</v>
      </c>
      <c r="L1002" s="14">
        <f>VLOOKUP($C1002,Rotation!$A$2:$J$10,3,FALSE)</f>
        <v>0</v>
      </c>
      <c r="M1002" s="14">
        <f>VLOOKUP($C1002,Rotation!$A$2:$J$10,4,FALSE)</f>
        <v>0</v>
      </c>
      <c r="N1002" s="14">
        <f>VLOOKUP($C1002,Rotation!$A$2:$J$10,5,FALSE)</f>
        <v>0</v>
      </c>
      <c r="O1002" s="14">
        <f>VLOOKUP($C1002,Rotation!$A$2:$J$10,6,FALSE)</f>
        <v>0</v>
      </c>
      <c r="P1002" s="14">
        <f>VLOOKUP($C1002,Rotation!$A$2:$J$10,7,FALSE)</f>
        <v>0</v>
      </c>
      <c r="Q1002" s="14">
        <f>VLOOKUP($C1002,Rotation!$A$2:$J$10,8,FALSE)</f>
        <v>0</v>
      </c>
      <c r="R1002" s="14">
        <f>VLOOKUP($C1002,Rotation!$A$2:$J$10,9,FALSE)</f>
        <v>0</v>
      </c>
      <c r="S1002" s="14">
        <f>VLOOKUP($C1002,Rotation!$A$2:$J$10,10,FALSE)</f>
        <v>1</v>
      </c>
    </row>
    <row r="1003" spans="1:19" ht="18">
      <c r="A1003" s="14">
        <v>1001</v>
      </c>
      <c r="B1003" s="14" t="s">
        <v>99</v>
      </c>
      <c r="C1003" s="14" t="str">
        <f>VLOOKUP(B1003,Family!B:C,2,FALSE)</f>
        <v>N</v>
      </c>
      <c r="D1003" s="15">
        <v>238</v>
      </c>
      <c r="E1003" s="14">
        <f>ROUND(VLOOKUP(C1003,'Production Plan'!A:B,2,FALSE),2)</f>
        <v>334.18</v>
      </c>
      <c r="F1003" s="16">
        <v>45880</v>
      </c>
      <c r="G1003" s="17">
        <f>F1003+6*7</f>
        <v>45922</v>
      </c>
      <c r="H1003" s="14">
        <f>G1003-F1003</f>
        <v>42</v>
      </c>
      <c r="I1003" s="14">
        <f>ROUND(D1003/E1003,3)</f>
        <v>0.71199999999999997</v>
      </c>
      <c r="J1003" s="14">
        <f>I1003*24</f>
        <v>17.088000000000001</v>
      </c>
      <c r="K1003" s="14">
        <f>VLOOKUP($C1003,Rotation!$A$2:$J$10,2,FALSE)</f>
        <v>1</v>
      </c>
      <c r="L1003" s="14">
        <f>VLOOKUP($C1003,Rotation!$A$2:$J$10,3,FALSE)</f>
        <v>0</v>
      </c>
      <c r="M1003" s="14">
        <f>VLOOKUP($C1003,Rotation!$A$2:$J$10,4,FALSE)</f>
        <v>0</v>
      </c>
      <c r="N1003" s="14">
        <f>VLOOKUP($C1003,Rotation!$A$2:$J$10,5,FALSE)</f>
        <v>0</v>
      </c>
      <c r="O1003" s="14">
        <f>VLOOKUP($C1003,Rotation!$A$2:$J$10,6,FALSE)</f>
        <v>0</v>
      </c>
      <c r="P1003" s="14">
        <f>VLOOKUP($C1003,Rotation!$A$2:$J$10,7,FALSE)</f>
        <v>0</v>
      </c>
      <c r="Q1003" s="14">
        <f>VLOOKUP($C1003,Rotation!$A$2:$J$10,8,FALSE)</f>
        <v>1</v>
      </c>
      <c r="R1003" s="14">
        <f>VLOOKUP($C1003,Rotation!$A$2:$J$10,9,FALSE)</f>
        <v>0</v>
      </c>
      <c r="S1003" s="14">
        <f>VLOOKUP($C1003,Rotation!$A$2:$J$10,10,FALSE)</f>
        <v>0</v>
      </c>
    </row>
    <row r="1004" spans="1:19" ht="18">
      <c r="A1004" s="14">
        <v>1002</v>
      </c>
      <c r="B1004" s="14" t="s">
        <v>77</v>
      </c>
      <c r="C1004" s="14" t="str">
        <f>VLOOKUP(B1004,Family!B:C,2,FALSE)</f>
        <v>E</v>
      </c>
      <c r="D1004" s="15">
        <v>18</v>
      </c>
      <c r="E1004" s="14">
        <f>ROUND(VLOOKUP(C1004,'Production Plan'!A:B,2,FALSE),2)</f>
        <v>333.66</v>
      </c>
      <c r="F1004" s="16">
        <v>45904</v>
      </c>
      <c r="G1004" s="17">
        <f>F1004+6*7</f>
        <v>45946</v>
      </c>
      <c r="H1004" s="14">
        <f>G1004-F1004</f>
        <v>42</v>
      </c>
      <c r="I1004" s="14">
        <f>ROUND(D1004/E1004,3)</f>
        <v>5.3999999999999999E-2</v>
      </c>
      <c r="J1004" s="14">
        <f>I1004*24</f>
        <v>1.296</v>
      </c>
      <c r="K1004" s="14">
        <f>VLOOKUP($C1004,Rotation!$A$2:$J$10,2,FALSE)</f>
        <v>1</v>
      </c>
      <c r="L1004" s="14">
        <f>VLOOKUP($C1004,Rotation!$A$2:$J$10,3,FALSE)</f>
        <v>0</v>
      </c>
      <c r="M1004" s="14">
        <f>VLOOKUP($C1004,Rotation!$A$2:$J$10,4,FALSE)</f>
        <v>0</v>
      </c>
      <c r="N1004" s="14">
        <f>VLOOKUP($C1004,Rotation!$A$2:$J$10,5,FALSE)</f>
        <v>0</v>
      </c>
      <c r="O1004" s="14">
        <f>VLOOKUP($C1004,Rotation!$A$2:$J$10,6,FALSE)</f>
        <v>0</v>
      </c>
      <c r="P1004" s="14">
        <f>VLOOKUP($C1004,Rotation!$A$2:$J$10,7,FALSE)</f>
        <v>1</v>
      </c>
      <c r="Q1004" s="14">
        <f>VLOOKUP($C1004,Rotation!$A$2:$J$10,8,FALSE)</f>
        <v>0</v>
      </c>
      <c r="R1004" s="14">
        <f>VLOOKUP($C1004,Rotation!$A$2:$J$10,9,FALSE)</f>
        <v>0</v>
      </c>
      <c r="S1004" s="14">
        <f>VLOOKUP($C1004,Rotation!$A$2:$J$10,10,FALSE)</f>
        <v>0</v>
      </c>
    </row>
    <row r="1005" spans="1:19" ht="18">
      <c r="A1005" s="22"/>
      <c r="B1005" s="22"/>
      <c r="C1005" s="22"/>
      <c r="D1005" s="22"/>
      <c r="E1005" s="22"/>
      <c r="F1005" s="22"/>
      <c r="G1005" s="22"/>
      <c r="H1005" s="22"/>
      <c r="I1005" s="18" t="s">
        <v>130</v>
      </c>
      <c r="J1005" s="18" t="s">
        <v>129</v>
      </c>
      <c r="K1005" s="22"/>
      <c r="L1005" s="22"/>
      <c r="M1005" s="22"/>
      <c r="N1005" s="22"/>
      <c r="O1005" s="22"/>
      <c r="P1005" s="22"/>
      <c r="Q1005" s="22"/>
      <c r="R1005" s="22"/>
      <c r="S1005" s="22"/>
    </row>
    <row r="1006" spans="1:19" ht="18">
      <c r="A1006" s="22"/>
      <c r="B1006" s="22"/>
      <c r="C1006" s="22"/>
      <c r="D1006" s="22"/>
      <c r="E1006" s="22"/>
      <c r="F1006" s="22"/>
      <c r="G1006" s="22"/>
      <c r="H1006" s="22"/>
      <c r="I1006" s="14">
        <f>SUM(I1003:I1004)</f>
        <v>0.76600000000000001</v>
      </c>
      <c r="J1006" s="14">
        <f>SUM(J1003:J1004)</f>
        <v>18.384</v>
      </c>
      <c r="K1006" s="22"/>
      <c r="L1006" s="22"/>
      <c r="M1006" s="22"/>
      <c r="N1006" s="22"/>
      <c r="O1006" s="22"/>
      <c r="P1006" s="22"/>
      <c r="Q1006" s="22"/>
      <c r="R1006" s="22"/>
      <c r="S1006" s="22"/>
    </row>
  </sheetData>
  <autoFilter ref="A1:A1008" xr:uid="{8BC17962-5BB2-654C-92F1-424E01EE0532}">
    <sortState ref="A4:S1008">
      <sortCondition ref="A1:A1008"/>
    </sortState>
  </autoFilter>
  <mergeCells count="11"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</vt:lpstr>
      <vt:lpstr>Family</vt:lpstr>
      <vt:lpstr>Production Plan</vt:lpstr>
      <vt:lpstr>Rotation</vt:lpstr>
      <vt:lpstr>Collecte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Blais</dc:creator>
  <cp:lastModifiedBy>Microsoft Office User</cp:lastModifiedBy>
  <dcterms:created xsi:type="dcterms:W3CDTF">2026-01-16T19:23:20Z</dcterms:created>
  <dcterms:modified xsi:type="dcterms:W3CDTF">2026-03-08T06:49:27Z</dcterms:modified>
</cp:coreProperties>
</file>